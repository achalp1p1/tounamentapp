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3.xml" ContentType="application/vnd.openxmlformats-officedocument.spreadsheetml.table+xml"/>
  <Override PartName="/xl/drawings/drawing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4.xml" ContentType="application/vnd.openxmlformats-officedocument.drawing+xml"/>
  <Override PartName="/xl/ctrlProps/ctrlProp91.xml" ContentType="application/vnd.ms-excel.controlproperties+xml"/>
  <Override PartName="/xl/ctrlProps/ctrlProp92.xml" ContentType="application/vnd.ms-excel.controlproperties+xml"/>
  <Override PartName="/xl/drawings/drawing5.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6.xml" ContentType="application/vnd.openxmlformats-officedocument.drawing+xml"/>
  <Override PartName="/xl/ctrlProps/ctrlProp131.xml" ContentType="application/vnd.ms-excel.controlproperties+xml"/>
  <Override PartName="/xl/ctrlProps/ctrlProp132.xml" ContentType="application/vnd.ms-excel.controlproperties+xml"/>
  <Override PartName="/xl/drawings/drawing7.xml" ContentType="application/vnd.openxmlformats-officedocument.drawing+xml"/>
  <Override PartName="/xl/ctrlProps/ctrlProp133.xml" ContentType="application/vnd.ms-excel.controlproperties+xml"/>
  <Override PartName="/xl/ctrlProps/ctrlProp134.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comments1.xml" ContentType="application/vnd.openxmlformats-officedocument.spreadsheetml.comments+xml"/>
  <Override PartName="/xl/threadedComments/threadedComment1.xml" ContentType="application/vnd.ms-excel.threadedcomments+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drawings/drawing9.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ashish\Backup\Desktop\Other\ITTF\TournamentSoftware\DrawSoftware\DilliLabsTournamentSoftware\"/>
    </mc:Choice>
  </mc:AlternateContent>
  <xr:revisionPtr revIDLastSave="0" documentId="13_ncr:1_{B725A3AD-9694-4536-8F45-B5BE5E1A3B33}" xr6:coauthVersionLast="47" xr6:coauthVersionMax="47" xr10:uidLastSave="{00000000-0000-0000-0000-000000000000}"/>
  <bookViews>
    <workbookView xWindow="-108" yWindow="-108" windowWidth="23256" windowHeight="12456" firstSheet="3" activeTab="13" xr2:uid="{00000000-000D-0000-FFFF-FFFF00000000}"/>
  </bookViews>
  <sheets>
    <sheet name="Draw" sheetId="3" r:id="rId1"/>
    <sheet name="Group Stage" sheetId="32" r:id="rId2"/>
    <sheet name="Qualifiers" sheetId="33" r:id="rId3"/>
    <sheet name="Bracket" sheetId="12" r:id="rId4"/>
    <sheet name="PBracket" sheetId="13" state="hidden" r:id="rId5"/>
    <sheet name="Merit List" sheetId="31" r:id="rId6"/>
    <sheet name="Matches" sheetId="8" r:id="rId7"/>
    <sheet name="Final Seeding" sheetId="11" r:id="rId8"/>
    <sheet name="Participants" sheetId="4" r:id="rId9"/>
    <sheet name="ScoreSheetTemplate" sheetId="9" state="hidden" r:id="rId10"/>
    <sheet name="PlayerEntries" sheetId="1" r:id="rId11"/>
    <sheet name="ScoreSheets" sheetId="28" state="hidden" r:id="rId12"/>
    <sheet name="General Inputs" sheetId="2" r:id="rId13"/>
    <sheet name="TODO" sheetId="30" r:id="rId14"/>
    <sheet name="iDSTTAData" sheetId="24" state="hidden" r:id="rId15"/>
    <sheet name="iRanking" sheetId="27" state="hidden" r:id="rId16"/>
    <sheet name="iTournamentEntries" sheetId="29" state="hidden" r:id="rId17"/>
  </sheets>
  <functionGroups builtInGroupCount="19"/>
  <definedNames>
    <definedName name="_xleta.ADDRESS" hidden="1" xlm="1">#NAME?</definedName>
    <definedName name="_xleta.FIND" hidden="1" xlm="1">#NAME?</definedName>
    <definedName name="_xleta.IF" hidden="1" xlm="1">#NAME?</definedName>
    <definedName name="_xleta.INDIRECT" hidden="1" xlm="1">#NAME?</definedName>
    <definedName name="_xleta.SUM" hidden="1" xlm="1">#NAME?</definedName>
    <definedName name="ExternalData_1" localSheetId="14">iDSTTAData!$B$1:$E$488</definedName>
    <definedName name="ExternalData_1" localSheetId="15">iRanking!$A$1:$F$381</definedName>
    <definedName name="ExternalData_1" localSheetId="16">iTournamentEntries!$Q$1:$CM$10</definedName>
    <definedName name="ExternalData_1" localSheetId="10">PlayerEntries!$B$1:$AL$10</definedName>
    <definedName name="ExternalData_10" localSheetId="14">iDSTTAData!$B$1:$E$488</definedName>
    <definedName name="ExternalData_10" localSheetId="15">iRanking!$A$1:$K$359</definedName>
    <definedName name="ExternalData_10" localSheetId="16">iTournamentEntries!$H$1:$CD$59</definedName>
    <definedName name="ExternalData_10" localSheetId="10">PlayerEntries!$B$1:$AL$59</definedName>
    <definedName name="ExternalData_100" localSheetId="10">PlayerEntries!#REF!</definedName>
    <definedName name="ExternalData_1000" localSheetId="10">PlayerEntries!#REF!</definedName>
    <definedName name="ExternalData_1001" localSheetId="10">PlayerEntries!#REF!</definedName>
    <definedName name="ExternalData_1002" localSheetId="10">PlayerEntries!#REF!</definedName>
    <definedName name="ExternalData_1003" localSheetId="10">PlayerEntries!#REF!</definedName>
    <definedName name="ExternalData_1004" localSheetId="10">PlayerEntries!#REF!</definedName>
    <definedName name="ExternalData_1005" localSheetId="10">PlayerEntries!#REF!</definedName>
    <definedName name="ExternalData_1006" localSheetId="10">PlayerEntries!#REF!</definedName>
    <definedName name="ExternalData_1007" localSheetId="10">PlayerEntries!#REF!</definedName>
    <definedName name="ExternalData_1008" localSheetId="10">PlayerEntries!#REF!</definedName>
    <definedName name="ExternalData_1009" localSheetId="10">PlayerEntries!#REF!</definedName>
    <definedName name="ExternalData_101" localSheetId="10">PlayerEntries!#REF!</definedName>
    <definedName name="ExternalData_1010" localSheetId="10">PlayerEntries!#REF!</definedName>
    <definedName name="ExternalData_1011" localSheetId="10">PlayerEntries!#REF!</definedName>
    <definedName name="ExternalData_1012" localSheetId="10">PlayerEntries!#REF!</definedName>
    <definedName name="ExternalData_1013" localSheetId="10">PlayerEntries!#REF!</definedName>
    <definedName name="ExternalData_1014" localSheetId="10">PlayerEntries!#REF!</definedName>
    <definedName name="ExternalData_1015" localSheetId="10">PlayerEntries!#REF!</definedName>
    <definedName name="ExternalData_1016" localSheetId="10">PlayerEntries!#REF!</definedName>
    <definedName name="ExternalData_1017" localSheetId="10">PlayerEntries!#REF!</definedName>
    <definedName name="ExternalData_1018" localSheetId="10">PlayerEntries!#REF!</definedName>
    <definedName name="ExternalData_1019" localSheetId="10">PlayerEntries!#REF!</definedName>
    <definedName name="ExternalData_102" localSheetId="10">PlayerEntries!#REF!</definedName>
    <definedName name="ExternalData_1020" localSheetId="10">PlayerEntries!#REF!</definedName>
    <definedName name="ExternalData_1021" localSheetId="10">PlayerEntries!#REF!</definedName>
    <definedName name="ExternalData_1022" localSheetId="10">PlayerEntries!#REF!</definedName>
    <definedName name="ExternalData_1023" localSheetId="10">PlayerEntries!#REF!</definedName>
    <definedName name="ExternalData_1024" localSheetId="10">PlayerEntries!#REF!</definedName>
    <definedName name="ExternalData_1025" localSheetId="10">PlayerEntries!#REF!</definedName>
    <definedName name="ExternalData_1026" localSheetId="10">PlayerEntries!#REF!</definedName>
    <definedName name="ExternalData_1027" localSheetId="10">PlayerEntries!#REF!</definedName>
    <definedName name="ExternalData_1028" localSheetId="10">PlayerEntries!#REF!</definedName>
    <definedName name="ExternalData_1029" localSheetId="10">PlayerEntries!#REF!</definedName>
    <definedName name="ExternalData_103" localSheetId="10">PlayerEntries!#REF!</definedName>
    <definedName name="ExternalData_1030" localSheetId="10">PlayerEntries!#REF!</definedName>
    <definedName name="ExternalData_1031" localSheetId="10">PlayerEntries!#REF!</definedName>
    <definedName name="ExternalData_1032" localSheetId="10">PlayerEntries!#REF!</definedName>
    <definedName name="ExternalData_1033" localSheetId="10">PlayerEntries!#REF!</definedName>
    <definedName name="ExternalData_1034" localSheetId="10">PlayerEntries!#REF!</definedName>
    <definedName name="ExternalData_1035" localSheetId="10">PlayerEntries!#REF!</definedName>
    <definedName name="ExternalData_1036" localSheetId="10">PlayerEntries!#REF!</definedName>
    <definedName name="ExternalData_1037" localSheetId="10">PlayerEntries!#REF!</definedName>
    <definedName name="ExternalData_1038" localSheetId="10">PlayerEntries!#REF!</definedName>
    <definedName name="ExternalData_1039" localSheetId="10">PlayerEntries!#REF!</definedName>
    <definedName name="ExternalData_104" localSheetId="10">PlayerEntries!#REF!</definedName>
    <definedName name="ExternalData_1040" localSheetId="10">PlayerEntries!#REF!</definedName>
    <definedName name="ExternalData_1041" localSheetId="10">PlayerEntries!#REF!</definedName>
    <definedName name="ExternalData_1042" localSheetId="10">PlayerEntries!#REF!</definedName>
    <definedName name="ExternalData_1043" localSheetId="10">PlayerEntries!#REF!</definedName>
    <definedName name="ExternalData_1044" localSheetId="10">PlayerEntries!#REF!</definedName>
    <definedName name="ExternalData_1045" localSheetId="10">PlayerEntries!#REF!</definedName>
    <definedName name="ExternalData_1046" localSheetId="10">PlayerEntries!#REF!</definedName>
    <definedName name="ExternalData_1047" localSheetId="10">PlayerEntries!#REF!</definedName>
    <definedName name="ExternalData_1048" localSheetId="10">PlayerEntries!#REF!</definedName>
    <definedName name="ExternalData_1049" localSheetId="10">PlayerEntries!#REF!</definedName>
    <definedName name="ExternalData_105" localSheetId="10">PlayerEntries!#REF!</definedName>
    <definedName name="ExternalData_1050" localSheetId="10">PlayerEntries!#REF!</definedName>
    <definedName name="ExternalData_1051" localSheetId="10">PlayerEntries!#REF!</definedName>
    <definedName name="ExternalData_1052" localSheetId="10">PlayerEntries!#REF!</definedName>
    <definedName name="ExternalData_1053" localSheetId="10">PlayerEntries!#REF!</definedName>
    <definedName name="ExternalData_1054" localSheetId="10">PlayerEntries!#REF!</definedName>
    <definedName name="ExternalData_1055" localSheetId="10">PlayerEntries!#REF!</definedName>
    <definedName name="ExternalData_1056" localSheetId="10">PlayerEntries!#REF!</definedName>
    <definedName name="ExternalData_1057" localSheetId="10">PlayerEntries!#REF!</definedName>
    <definedName name="ExternalData_1058" localSheetId="10">PlayerEntries!#REF!</definedName>
    <definedName name="ExternalData_1059" localSheetId="10">PlayerEntries!#REF!</definedName>
    <definedName name="ExternalData_106" localSheetId="10">PlayerEntries!#REF!</definedName>
    <definedName name="ExternalData_1060" localSheetId="10">PlayerEntries!#REF!</definedName>
    <definedName name="ExternalData_1061" localSheetId="10">PlayerEntries!#REF!</definedName>
    <definedName name="ExternalData_1062" localSheetId="10">PlayerEntries!#REF!</definedName>
    <definedName name="ExternalData_1063" localSheetId="10">PlayerEntries!#REF!</definedName>
    <definedName name="ExternalData_1064" localSheetId="10">PlayerEntries!#REF!</definedName>
    <definedName name="ExternalData_1065" localSheetId="10">PlayerEntries!#REF!</definedName>
    <definedName name="ExternalData_1066" localSheetId="10">PlayerEntries!#REF!</definedName>
    <definedName name="ExternalData_1067" localSheetId="10">PlayerEntries!#REF!</definedName>
    <definedName name="ExternalData_1068" localSheetId="10">PlayerEntries!#REF!</definedName>
    <definedName name="ExternalData_1069" localSheetId="10">PlayerEntries!#REF!</definedName>
    <definedName name="ExternalData_107" localSheetId="10">PlayerEntries!#REF!</definedName>
    <definedName name="ExternalData_1070" localSheetId="10">PlayerEntries!#REF!</definedName>
    <definedName name="ExternalData_1071" localSheetId="10">PlayerEntries!#REF!</definedName>
    <definedName name="ExternalData_1072" localSheetId="10">PlayerEntries!#REF!</definedName>
    <definedName name="ExternalData_1073" localSheetId="10">PlayerEntries!#REF!</definedName>
    <definedName name="ExternalData_1074" localSheetId="10">PlayerEntries!#REF!</definedName>
    <definedName name="ExternalData_1075" localSheetId="10">PlayerEntries!#REF!</definedName>
    <definedName name="ExternalData_1076" localSheetId="10">PlayerEntries!#REF!</definedName>
    <definedName name="ExternalData_1077" localSheetId="10">PlayerEntries!#REF!</definedName>
    <definedName name="ExternalData_1078" localSheetId="10">PlayerEntries!#REF!</definedName>
    <definedName name="ExternalData_1079" localSheetId="10">PlayerEntries!#REF!</definedName>
    <definedName name="ExternalData_108" localSheetId="10">PlayerEntries!#REF!</definedName>
    <definedName name="ExternalData_1080" localSheetId="10">PlayerEntries!#REF!</definedName>
    <definedName name="ExternalData_1081" localSheetId="10">PlayerEntries!#REF!</definedName>
    <definedName name="ExternalData_1082" localSheetId="10">PlayerEntries!#REF!</definedName>
    <definedName name="ExternalData_1083" localSheetId="10">PlayerEntries!#REF!</definedName>
    <definedName name="ExternalData_1084" localSheetId="10">PlayerEntries!#REF!</definedName>
    <definedName name="ExternalData_1085" localSheetId="10">PlayerEntries!#REF!</definedName>
    <definedName name="ExternalData_1086" localSheetId="10">PlayerEntries!#REF!</definedName>
    <definedName name="ExternalData_1087" localSheetId="10">PlayerEntries!#REF!</definedName>
    <definedName name="ExternalData_1088" localSheetId="10">PlayerEntries!#REF!</definedName>
    <definedName name="ExternalData_1089" localSheetId="10">PlayerEntries!#REF!</definedName>
    <definedName name="ExternalData_109" localSheetId="10">PlayerEntries!#REF!</definedName>
    <definedName name="ExternalData_1090" localSheetId="10">PlayerEntries!#REF!</definedName>
    <definedName name="ExternalData_1091" localSheetId="10">PlayerEntries!#REF!</definedName>
    <definedName name="ExternalData_1092" localSheetId="10">PlayerEntries!#REF!</definedName>
    <definedName name="ExternalData_1093" localSheetId="10">PlayerEntries!#REF!</definedName>
    <definedName name="ExternalData_1094" localSheetId="10">PlayerEntries!#REF!</definedName>
    <definedName name="ExternalData_1095" localSheetId="10">PlayerEntries!#REF!</definedName>
    <definedName name="ExternalData_1096" localSheetId="10">PlayerEntries!#REF!</definedName>
    <definedName name="ExternalData_1097" localSheetId="10">PlayerEntries!#REF!</definedName>
    <definedName name="ExternalData_1098" localSheetId="10">PlayerEntries!#REF!</definedName>
    <definedName name="ExternalData_1099" localSheetId="10">PlayerEntries!#REF!</definedName>
    <definedName name="ExternalData_11" localSheetId="14">iDSTTAData!$B$1:$E$488</definedName>
    <definedName name="ExternalData_11" localSheetId="15">iRanking!$A$1:$K$359</definedName>
    <definedName name="ExternalData_11" localSheetId="16">iTournamentEntries!$G$1:$CC$68</definedName>
    <definedName name="ExternalData_11" localSheetId="10">PlayerEntries!$B$1:$AL$68</definedName>
    <definedName name="ExternalData_110" localSheetId="10">PlayerEntries!#REF!</definedName>
    <definedName name="ExternalData_1100" localSheetId="10">PlayerEntries!#REF!</definedName>
    <definedName name="ExternalData_1101" localSheetId="10">PlayerEntries!#REF!</definedName>
    <definedName name="ExternalData_1102" localSheetId="10">PlayerEntries!#REF!</definedName>
    <definedName name="ExternalData_1103" localSheetId="10">PlayerEntries!#REF!</definedName>
    <definedName name="ExternalData_1104" localSheetId="10">PlayerEntries!#REF!</definedName>
    <definedName name="ExternalData_1105" localSheetId="10">PlayerEntries!#REF!</definedName>
    <definedName name="ExternalData_1106" localSheetId="10">PlayerEntries!#REF!</definedName>
    <definedName name="ExternalData_1107" localSheetId="10">PlayerEntries!#REF!</definedName>
    <definedName name="ExternalData_1108" localSheetId="10">PlayerEntries!#REF!</definedName>
    <definedName name="ExternalData_1109" localSheetId="10">PlayerEntries!#REF!</definedName>
    <definedName name="ExternalData_111" localSheetId="10">PlayerEntries!#REF!</definedName>
    <definedName name="ExternalData_1110" localSheetId="10">PlayerEntries!#REF!</definedName>
    <definedName name="ExternalData_1111" localSheetId="10">PlayerEntries!#REF!</definedName>
    <definedName name="ExternalData_1112" localSheetId="10">PlayerEntries!#REF!</definedName>
    <definedName name="ExternalData_1113" localSheetId="10">PlayerEntries!#REF!</definedName>
    <definedName name="ExternalData_1114" localSheetId="10">PlayerEntries!#REF!</definedName>
    <definedName name="ExternalData_1115" localSheetId="10">PlayerEntries!#REF!</definedName>
    <definedName name="ExternalData_1116" localSheetId="10">PlayerEntries!#REF!</definedName>
    <definedName name="ExternalData_1117" localSheetId="10">PlayerEntries!#REF!</definedName>
    <definedName name="ExternalData_1118" localSheetId="10">PlayerEntries!#REF!</definedName>
    <definedName name="ExternalData_1119" localSheetId="10">PlayerEntries!#REF!</definedName>
    <definedName name="ExternalData_112" localSheetId="10">PlayerEntries!#REF!</definedName>
    <definedName name="ExternalData_1120" localSheetId="10">PlayerEntries!#REF!</definedName>
    <definedName name="ExternalData_1121" localSheetId="10">PlayerEntries!#REF!</definedName>
    <definedName name="ExternalData_1122" localSheetId="10">PlayerEntries!#REF!</definedName>
    <definedName name="ExternalData_1123" localSheetId="10">PlayerEntries!#REF!</definedName>
    <definedName name="ExternalData_1124" localSheetId="10">PlayerEntries!#REF!</definedName>
    <definedName name="ExternalData_1125" localSheetId="10">PlayerEntries!#REF!</definedName>
    <definedName name="ExternalData_1126" localSheetId="10">PlayerEntries!#REF!</definedName>
    <definedName name="ExternalData_1127" localSheetId="10">PlayerEntries!#REF!</definedName>
    <definedName name="ExternalData_1128" localSheetId="10">PlayerEntries!#REF!</definedName>
    <definedName name="ExternalData_1129" localSheetId="10">PlayerEntries!#REF!</definedName>
    <definedName name="ExternalData_113" localSheetId="10">PlayerEntries!#REF!</definedName>
    <definedName name="ExternalData_1130" localSheetId="10">PlayerEntries!#REF!</definedName>
    <definedName name="ExternalData_1131" localSheetId="10">PlayerEntries!#REF!</definedName>
    <definedName name="ExternalData_1132" localSheetId="10">PlayerEntries!#REF!</definedName>
    <definedName name="ExternalData_1133" localSheetId="10">PlayerEntries!#REF!</definedName>
    <definedName name="ExternalData_1134" localSheetId="10">PlayerEntries!#REF!</definedName>
    <definedName name="ExternalData_1135" localSheetId="10">PlayerEntries!#REF!</definedName>
    <definedName name="ExternalData_1136" localSheetId="10">PlayerEntries!#REF!</definedName>
    <definedName name="ExternalData_1137" localSheetId="10">PlayerEntries!#REF!</definedName>
    <definedName name="ExternalData_1138" localSheetId="10">PlayerEntries!#REF!</definedName>
    <definedName name="ExternalData_1139" localSheetId="10">PlayerEntries!#REF!</definedName>
    <definedName name="ExternalData_114" localSheetId="10">PlayerEntries!#REF!</definedName>
    <definedName name="ExternalData_1140" localSheetId="10">PlayerEntries!#REF!</definedName>
    <definedName name="ExternalData_1141" localSheetId="10">PlayerEntries!#REF!</definedName>
    <definedName name="ExternalData_1142" localSheetId="10">PlayerEntries!#REF!</definedName>
    <definedName name="ExternalData_1143" localSheetId="10">PlayerEntries!#REF!</definedName>
    <definedName name="ExternalData_1144" localSheetId="10">PlayerEntries!#REF!</definedName>
    <definedName name="ExternalData_1145" localSheetId="10">PlayerEntries!#REF!</definedName>
    <definedName name="ExternalData_1146" localSheetId="10">PlayerEntries!#REF!</definedName>
    <definedName name="ExternalData_1147" localSheetId="10">PlayerEntries!#REF!</definedName>
    <definedName name="ExternalData_1148" localSheetId="10">PlayerEntries!#REF!</definedName>
    <definedName name="ExternalData_1149" localSheetId="10">PlayerEntries!#REF!</definedName>
    <definedName name="ExternalData_115" localSheetId="10">PlayerEntries!#REF!</definedName>
    <definedName name="ExternalData_1150" localSheetId="10">PlayerEntries!#REF!</definedName>
    <definedName name="ExternalData_1151" localSheetId="10">PlayerEntries!#REF!</definedName>
    <definedName name="ExternalData_1152" localSheetId="10">PlayerEntries!#REF!</definedName>
    <definedName name="ExternalData_1153" localSheetId="10">PlayerEntries!#REF!</definedName>
    <definedName name="ExternalData_1154" localSheetId="10">PlayerEntries!#REF!</definedName>
    <definedName name="ExternalData_1155" localSheetId="10">PlayerEntries!#REF!</definedName>
    <definedName name="ExternalData_1156" localSheetId="10">PlayerEntries!#REF!</definedName>
    <definedName name="ExternalData_1157" localSheetId="10">PlayerEntries!#REF!</definedName>
    <definedName name="ExternalData_1158" localSheetId="10">PlayerEntries!#REF!</definedName>
    <definedName name="ExternalData_1159" localSheetId="10">PlayerEntries!#REF!</definedName>
    <definedName name="ExternalData_116" localSheetId="10">PlayerEntries!#REF!</definedName>
    <definedName name="ExternalData_1160" localSheetId="10">PlayerEntries!#REF!</definedName>
    <definedName name="ExternalData_1161" localSheetId="10">PlayerEntries!#REF!</definedName>
    <definedName name="ExternalData_1162" localSheetId="10">PlayerEntries!#REF!</definedName>
    <definedName name="ExternalData_1163" localSheetId="10">PlayerEntries!#REF!</definedName>
    <definedName name="ExternalData_1164" localSheetId="10">PlayerEntries!#REF!</definedName>
    <definedName name="ExternalData_1165" localSheetId="10">PlayerEntries!#REF!</definedName>
    <definedName name="ExternalData_1166" localSheetId="10">PlayerEntries!#REF!</definedName>
    <definedName name="ExternalData_1167" localSheetId="10">PlayerEntries!#REF!</definedName>
    <definedName name="ExternalData_1168" localSheetId="10">PlayerEntries!#REF!</definedName>
    <definedName name="ExternalData_1169" localSheetId="10">PlayerEntries!#REF!</definedName>
    <definedName name="ExternalData_117" localSheetId="10">PlayerEntries!#REF!</definedName>
    <definedName name="ExternalData_1170" localSheetId="10">PlayerEntries!#REF!</definedName>
    <definedName name="ExternalData_1171" localSheetId="10">PlayerEntries!#REF!</definedName>
    <definedName name="ExternalData_1172" localSheetId="10">PlayerEntries!#REF!</definedName>
    <definedName name="ExternalData_1173" localSheetId="10">PlayerEntries!#REF!</definedName>
    <definedName name="ExternalData_1174" localSheetId="10">PlayerEntries!#REF!</definedName>
    <definedName name="ExternalData_1175" localSheetId="10">PlayerEntries!#REF!</definedName>
    <definedName name="ExternalData_1176" localSheetId="10">PlayerEntries!#REF!</definedName>
    <definedName name="ExternalData_1177" localSheetId="10">PlayerEntries!#REF!</definedName>
    <definedName name="ExternalData_1178" localSheetId="10">PlayerEntries!#REF!</definedName>
    <definedName name="ExternalData_1179" localSheetId="10">PlayerEntries!#REF!</definedName>
    <definedName name="ExternalData_118" localSheetId="10">PlayerEntries!#REF!</definedName>
    <definedName name="ExternalData_1180" localSheetId="10">PlayerEntries!#REF!</definedName>
    <definedName name="ExternalData_1181" localSheetId="10">PlayerEntries!#REF!</definedName>
    <definedName name="ExternalData_1182" localSheetId="10">PlayerEntries!#REF!</definedName>
    <definedName name="ExternalData_1183" localSheetId="10">PlayerEntries!#REF!</definedName>
    <definedName name="ExternalData_1184" localSheetId="10">PlayerEntries!#REF!</definedName>
    <definedName name="ExternalData_1185" localSheetId="10">PlayerEntries!#REF!</definedName>
    <definedName name="ExternalData_1186" localSheetId="10">PlayerEntries!#REF!</definedName>
    <definedName name="ExternalData_1187" localSheetId="10">PlayerEntries!#REF!</definedName>
    <definedName name="ExternalData_1188" localSheetId="10">PlayerEntries!#REF!</definedName>
    <definedName name="ExternalData_1189" localSheetId="10">PlayerEntries!#REF!</definedName>
    <definedName name="ExternalData_119" localSheetId="10">PlayerEntries!#REF!</definedName>
    <definedName name="ExternalData_1190" localSheetId="10">PlayerEntries!#REF!</definedName>
    <definedName name="ExternalData_1191" localSheetId="10">PlayerEntries!#REF!</definedName>
    <definedName name="ExternalData_1192" localSheetId="10">PlayerEntries!#REF!</definedName>
    <definedName name="ExternalData_1193" localSheetId="10">PlayerEntries!#REF!</definedName>
    <definedName name="ExternalData_1194" localSheetId="10">PlayerEntries!#REF!</definedName>
    <definedName name="ExternalData_1195" localSheetId="10">PlayerEntries!#REF!</definedName>
    <definedName name="ExternalData_1196" localSheetId="10">PlayerEntries!#REF!</definedName>
    <definedName name="ExternalData_1197" localSheetId="10">PlayerEntries!#REF!</definedName>
    <definedName name="ExternalData_1198" localSheetId="10">PlayerEntries!#REF!</definedName>
    <definedName name="ExternalData_1199" localSheetId="10">PlayerEntries!#REF!</definedName>
    <definedName name="ExternalData_12" localSheetId="14">iDSTTAData!$B$1:$E$488</definedName>
    <definedName name="ExternalData_12" localSheetId="15">iRanking!$A$1:$K$359</definedName>
    <definedName name="ExternalData_12" localSheetId="16">iTournamentEntries!$F$1:$CB$68</definedName>
    <definedName name="ExternalData_12" localSheetId="10">PlayerEntries!$B$1:$AL$68</definedName>
    <definedName name="ExternalData_120" localSheetId="10">PlayerEntries!#REF!</definedName>
    <definedName name="ExternalData_1200" localSheetId="10">PlayerEntries!#REF!</definedName>
    <definedName name="ExternalData_1201" localSheetId="10">PlayerEntries!#REF!</definedName>
    <definedName name="ExternalData_1202" localSheetId="10">PlayerEntries!#REF!</definedName>
    <definedName name="ExternalData_1203" localSheetId="10">PlayerEntries!#REF!</definedName>
    <definedName name="ExternalData_1204" localSheetId="10">PlayerEntries!#REF!</definedName>
    <definedName name="ExternalData_1205" localSheetId="10">PlayerEntries!#REF!</definedName>
    <definedName name="ExternalData_1206" localSheetId="10">PlayerEntries!#REF!</definedName>
    <definedName name="ExternalData_1207" localSheetId="10">PlayerEntries!#REF!</definedName>
    <definedName name="ExternalData_1208" localSheetId="10">PlayerEntries!#REF!</definedName>
    <definedName name="ExternalData_1209" localSheetId="10">PlayerEntries!#REF!</definedName>
    <definedName name="ExternalData_121" localSheetId="10">PlayerEntries!#REF!</definedName>
    <definedName name="ExternalData_1210" localSheetId="10">PlayerEntries!#REF!</definedName>
    <definedName name="ExternalData_1211" localSheetId="10">PlayerEntries!#REF!</definedName>
    <definedName name="ExternalData_1212" localSheetId="10">PlayerEntries!#REF!</definedName>
    <definedName name="ExternalData_1213" localSheetId="10">PlayerEntries!#REF!</definedName>
    <definedName name="ExternalData_1214" localSheetId="10">PlayerEntries!#REF!</definedName>
    <definedName name="ExternalData_1215" localSheetId="10">PlayerEntries!#REF!</definedName>
    <definedName name="ExternalData_1216" localSheetId="10">PlayerEntries!#REF!</definedName>
    <definedName name="ExternalData_1217" localSheetId="10">PlayerEntries!#REF!</definedName>
    <definedName name="ExternalData_1218" localSheetId="10">PlayerEntries!#REF!</definedName>
    <definedName name="ExternalData_1219" localSheetId="10">PlayerEntries!#REF!</definedName>
    <definedName name="ExternalData_122" localSheetId="10">PlayerEntries!#REF!</definedName>
    <definedName name="ExternalData_1220" localSheetId="10">PlayerEntries!#REF!</definedName>
    <definedName name="ExternalData_1221" localSheetId="10">PlayerEntries!#REF!</definedName>
    <definedName name="ExternalData_1222" localSheetId="10">PlayerEntries!#REF!</definedName>
    <definedName name="ExternalData_1223" localSheetId="10">PlayerEntries!#REF!</definedName>
    <definedName name="ExternalData_1224" localSheetId="10">PlayerEntries!#REF!</definedName>
    <definedName name="ExternalData_1225" localSheetId="10">PlayerEntries!#REF!</definedName>
    <definedName name="ExternalData_1226" localSheetId="10">PlayerEntries!#REF!</definedName>
    <definedName name="ExternalData_1227" localSheetId="10">PlayerEntries!#REF!</definedName>
    <definedName name="ExternalData_1228" localSheetId="10">PlayerEntries!#REF!</definedName>
    <definedName name="ExternalData_1229" localSheetId="10">PlayerEntries!#REF!</definedName>
    <definedName name="ExternalData_123" localSheetId="10">PlayerEntries!#REF!</definedName>
    <definedName name="ExternalData_1230" localSheetId="10">PlayerEntries!#REF!</definedName>
    <definedName name="ExternalData_1231" localSheetId="10">PlayerEntries!#REF!</definedName>
    <definedName name="ExternalData_1232" localSheetId="10">PlayerEntries!#REF!</definedName>
    <definedName name="ExternalData_1233" localSheetId="10">PlayerEntries!#REF!</definedName>
    <definedName name="ExternalData_1234" localSheetId="10">PlayerEntries!#REF!</definedName>
    <definedName name="ExternalData_1235" localSheetId="10">PlayerEntries!#REF!</definedName>
    <definedName name="ExternalData_1236" localSheetId="10">PlayerEntries!#REF!</definedName>
    <definedName name="ExternalData_1237" localSheetId="10">PlayerEntries!#REF!</definedName>
    <definedName name="ExternalData_1238" localSheetId="10">PlayerEntries!#REF!</definedName>
    <definedName name="ExternalData_1239" localSheetId="10">PlayerEntries!#REF!</definedName>
    <definedName name="ExternalData_124" localSheetId="10">PlayerEntries!#REF!</definedName>
    <definedName name="ExternalData_1240" localSheetId="10">PlayerEntries!#REF!</definedName>
    <definedName name="ExternalData_1241" localSheetId="10">PlayerEntries!#REF!</definedName>
    <definedName name="ExternalData_1242" localSheetId="10">PlayerEntries!#REF!</definedName>
    <definedName name="ExternalData_1243" localSheetId="10">PlayerEntries!#REF!</definedName>
    <definedName name="ExternalData_1244" localSheetId="10">PlayerEntries!#REF!</definedName>
    <definedName name="ExternalData_1245" localSheetId="10">PlayerEntries!#REF!</definedName>
    <definedName name="ExternalData_1246" localSheetId="10">PlayerEntries!#REF!</definedName>
    <definedName name="ExternalData_1247" localSheetId="10">PlayerEntries!#REF!</definedName>
    <definedName name="ExternalData_1248" localSheetId="10">PlayerEntries!#REF!</definedName>
    <definedName name="ExternalData_1249" localSheetId="10">PlayerEntries!#REF!</definedName>
    <definedName name="ExternalData_125" localSheetId="10">PlayerEntries!#REF!</definedName>
    <definedName name="ExternalData_1250" localSheetId="10">PlayerEntries!#REF!</definedName>
    <definedName name="ExternalData_1251" localSheetId="10">PlayerEntries!#REF!</definedName>
    <definedName name="ExternalData_1252" localSheetId="10">PlayerEntries!#REF!</definedName>
    <definedName name="ExternalData_1253" localSheetId="10">PlayerEntries!#REF!</definedName>
    <definedName name="ExternalData_1254" localSheetId="10">PlayerEntries!#REF!</definedName>
    <definedName name="ExternalData_1255" localSheetId="10">PlayerEntries!#REF!</definedName>
    <definedName name="ExternalData_1256" localSheetId="10">PlayerEntries!#REF!</definedName>
    <definedName name="ExternalData_1257" localSheetId="10">PlayerEntries!#REF!</definedName>
    <definedName name="ExternalData_1258" localSheetId="10">PlayerEntries!#REF!</definedName>
    <definedName name="ExternalData_1259" localSheetId="10">PlayerEntries!#REF!</definedName>
    <definedName name="ExternalData_126" localSheetId="10">PlayerEntries!#REF!</definedName>
    <definedName name="ExternalData_1260" localSheetId="10">PlayerEntries!#REF!</definedName>
    <definedName name="ExternalData_1261" localSheetId="10">PlayerEntries!#REF!</definedName>
    <definedName name="ExternalData_1262" localSheetId="10">PlayerEntries!#REF!</definedName>
    <definedName name="ExternalData_1263" localSheetId="10">PlayerEntries!#REF!</definedName>
    <definedName name="ExternalData_1264" localSheetId="10">PlayerEntries!#REF!</definedName>
    <definedName name="ExternalData_1265" localSheetId="10">PlayerEntries!#REF!</definedName>
    <definedName name="ExternalData_1266" localSheetId="10">PlayerEntries!#REF!</definedName>
    <definedName name="ExternalData_1267" localSheetId="10">PlayerEntries!#REF!</definedName>
    <definedName name="ExternalData_1268" localSheetId="10">PlayerEntries!#REF!</definedName>
    <definedName name="ExternalData_1269" localSheetId="10">PlayerEntries!#REF!</definedName>
    <definedName name="ExternalData_127" localSheetId="10">PlayerEntries!#REF!</definedName>
    <definedName name="ExternalData_1270" localSheetId="10">PlayerEntries!#REF!</definedName>
    <definedName name="ExternalData_1271" localSheetId="10">PlayerEntries!#REF!</definedName>
    <definedName name="ExternalData_1272" localSheetId="10">PlayerEntries!#REF!</definedName>
    <definedName name="ExternalData_1273" localSheetId="10">PlayerEntries!#REF!</definedName>
    <definedName name="ExternalData_1274" localSheetId="10">PlayerEntries!#REF!</definedName>
    <definedName name="ExternalData_1275" localSheetId="10">PlayerEntries!#REF!</definedName>
    <definedName name="ExternalData_1276" localSheetId="10">PlayerEntries!#REF!</definedName>
    <definedName name="ExternalData_1277" localSheetId="10">PlayerEntries!#REF!</definedName>
    <definedName name="ExternalData_1278" localSheetId="10">PlayerEntries!#REF!</definedName>
    <definedName name="ExternalData_1279" localSheetId="10">PlayerEntries!#REF!</definedName>
    <definedName name="ExternalData_128" localSheetId="10">PlayerEntries!#REF!</definedName>
    <definedName name="ExternalData_1280" localSheetId="10">PlayerEntries!#REF!</definedName>
    <definedName name="ExternalData_1281" localSheetId="10">PlayerEntries!#REF!</definedName>
    <definedName name="ExternalData_1282" localSheetId="10">PlayerEntries!#REF!</definedName>
    <definedName name="ExternalData_1283" localSheetId="10">PlayerEntries!#REF!</definedName>
    <definedName name="ExternalData_1284" localSheetId="10">PlayerEntries!#REF!</definedName>
    <definedName name="ExternalData_1285" localSheetId="10">PlayerEntries!#REF!</definedName>
    <definedName name="ExternalData_1286" localSheetId="10">PlayerEntries!#REF!</definedName>
    <definedName name="ExternalData_1287" localSheetId="10">PlayerEntries!#REF!</definedName>
    <definedName name="ExternalData_1288" localSheetId="10">PlayerEntries!#REF!</definedName>
    <definedName name="ExternalData_1289" localSheetId="10">PlayerEntries!#REF!</definedName>
    <definedName name="ExternalData_129" localSheetId="10">PlayerEntries!#REF!</definedName>
    <definedName name="ExternalData_1290" localSheetId="10">PlayerEntries!#REF!</definedName>
    <definedName name="ExternalData_1291" localSheetId="10">PlayerEntries!#REF!</definedName>
    <definedName name="ExternalData_1292" localSheetId="10">PlayerEntries!#REF!</definedName>
    <definedName name="ExternalData_1293" localSheetId="10">PlayerEntries!#REF!</definedName>
    <definedName name="ExternalData_1294" localSheetId="10">PlayerEntries!#REF!</definedName>
    <definedName name="ExternalData_1295" localSheetId="10">PlayerEntries!#REF!</definedName>
    <definedName name="ExternalData_1296" localSheetId="10">PlayerEntries!#REF!</definedName>
    <definedName name="ExternalData_1297" localSheetId="10">PlayerEntries!#REF!</definedName>
    <definedName name="ExternalData_1298" localSheetId="10">PlayerEntries!#REF!</definedName>
    <definedName name="ExternalData_1299" localSheetId="10">PlayerEntries!#REF!</definedName>
    <definedName name="ExternalData_13" localSheetId="14">iDSTTAData!$B$1:$E$488</definedName>
    <definedName name="ExternalData_13" localSheetId="15">iRanking!$A$1:$K$359</definedName>
    <definedName name="ExternalData_13" localSheetId="16">iTournamentEntries!$E$1:$CA$70</definedName>
    <definedName name="ExternalData_13" localSheetId="10">PlayerEntries!$B$1:$AL$70</definedName>
    <definedName name="ExternalData_130" localSheetId="10">PlayerEntries!#REF!</definedName>
    <definedName name="ExternalData_1300" localSheetId="10">PlayerEntries!#REF!</definedName>
    <definedName name="ExternalData_1301" localSheetId="10">PlayerEntries!#REF!</definedName>
    <definedName name="ExternalData_1302" localSheetId="10">PlayerEntries!#REF!</definedName>
    <definedName name="ExternalData_1303" localSheetId="10">PlayerEntries!#REF!</definedName>
    <definedName name="ExternalData_1304" localSheetId="10">PlayerEntries!#REF!</definedName>
    <definedName name="ExternalData_1305" localSheetId="10">PlayerEntries!#REF!</definedName>
    <definedName name="ExternalData_1306" localSheetId="10">PlayerEntries!#REF!</definedName>
    <definedName name="ExternalData_1307" localSheetId="10">PlayerEntries!#REF!</definedName>
    <definedName name="ExternalData_1308" localSheetId="10">PlayerEntries!#REF!</definedName>
    <definedName name="ExternalData_1309" localSheetId="10">PlayerEntries!#REF!</definedName>
    <definedName name="ExternalData_131" localSheetId="10">PlayerEntries!#REF!</definedName>
    <definedName name="ExternalData_1310" localSheetId="10">PlayerEntries!#REF!</definedName>
    <definedName name="ExternalData_1311" localSheetId="10">PlayerEntries!#REF!</definedName>
    <definedName name="ExternalData_1312" localSheetId="10">PlayerEntries!#REF!</definedName>
    <definedName name="ExternalData_1313" localSheetId="10">PlayerEntries!#REF!</definedName>
    <definedName name="ExternalData_1314" localSheetId="10">PlayerEntries!#REF!</definedName>
    <definedName name="ExternalData_1315" localSheetId="10">PlayerEntries!#REF!</definedName>
    <definedName name="ExternalData_1316" localSheetId="10">PlayerEntries!#REF!</definedName>
    <definedName name="ExternalData_1317" localSheetId="10">PlayerEntries!#REF!</definedName>
    <definedName name="ExternalData_1318" localSheetId="10">PlayerEntries!#REF!</definedName>
    <definedName name="ExternalData_1319" localSheetId="10">PlayerEntries!#REF!</definedName>
    <definedName name="ExternalData_132" localSheetId="10">PlayerEntries!#REF!</definedName>
    <definedName name="ExternalData_1320" localSheetId="10">PlayerEntries!#REF!</definedName>
    <definedName name="ExternalData_1321" localSheetId="10">PlayerEntries!#REF!</definedName>
    <definedName name="ExternalData_1322" localSheetId="10">PlayerEntries!#REF!</definedName>
    <definedName name="ExternalData_1323" localSheetId="10">PlayerEntries!#REF!</definedName>
    <definedName name="ExternalData_1324" localSheetId="10">PlayerEntries!#REF!</definedName>
    <definedName name="ExternalData_1325" localSheetId="10">PlayerEntries!#REF!</definedName>
    <definedName name="ExternalData_1326" localSheetId="10">PlayerEntries!#REF!</definedName>
    <definedName name="ExternalData_1327" localSheetId="10">PlayerEntries!#REF!</definedName>
    <definedName name="ExternalData_1328" localSheetId="10">PlayerEntries!#REF!</definedName>
    <definedName name="ExternalData_1329" localSheetId="10">PlayerEntries!#REF!</definedName>
    <definedName name="ExternalData_133" localSheetId="10">PlayerEntries!#REF!</definedName>
    <definedName name="ExternalData_1330" localSheetId="10">PlayerEntries!#REF!</definedName>
    <definedName name="ExternalData_1331" localSheetId="10">PlayerEntries!#REF!</definedName>
    <definedName name="ExternalData_1332" localSheetId="10">PlayerEntries!#REF!</definedName>
    <definedName name="ExternalData_1333" localSheetId="10">PlayerEntries!#REF!</definedName>
    <definedName name="ExternalData_1334" localSheetId="10">PlayerEntries!#REF!</definedName>
    <definedName name="ExternalData_1335" localSheetId="10">PlayerEntries!#REF!</definedName>
    <definedName name="ExternalData_1336" localSheetId="10">PlayerEntries!#REF!</definedName>
    <definedName name="ExternalData_1337" localSheetId="10">PlayerEntries!#REF!</definedName>
    <definedName name="ExternalData_1338" localSheetId="10">PlayerEntries!#REF!</definedName>
    <definedName name="ExternalData_1339" localSheetId="10">PlayerEntries!#REF!</definedName>
    <definedName name="ExternalData_134" localSheetId="10">PlayerEntries!#REF!</definedName>
    <definedName name="ExternalData_1340" localSheetId="10">PlayerEntries!#REF!</definedName>
    <definedName name="ExternalData_1341" localSheetId="10">PlayerEntries!#REF!</definedName>
    <definedName name="ExternalData_1342" localSheetId="10">PlayerEntries!#REF!</definedName>
    <definedName name="ExternalData_1343" localSheetId="10">PlayerEntries!#REF!</definedName>
    <definedName name="ExternalData_1344" localSheetId="10">PlayerEntries!#REF!</definedName>
    <definedName name="ExternalData_1345" localSheetId="10">PlayerEntries!#REF!</definedName>
    <definedName name="ExternalData_1346" localSheetId="10">PlayerEntries!#REF!</definedName>
    <definedName name="ExternalData_1347" localSheetId="10">PlayerEntries!#REF!</definedName>
    <definedName name="ExternalData_1348" localSheetId="10">PlayerEntries!#REF!</definedName>
    <definedName name="ExternalData_1349" localSheetId="10">PlayerEntries!#REF!</definedName>
    <definedName name="ExternalData_135" localSheetId="10">PlayerEntries!#REF!</definedName>
    <definedName name="ExternalData_1350" localSheetId="10">PlayerEntries!#REF!</definedName>
    <definedName name="ExternalData_1351" localSheetId="10">PlayerEntries!#REF!</definedName>
    <definedName name="ExternalData_1352" localSheetId="10">PlayerEntries!#REF!</definedName>
    <definedName name="ExternalData_1353" localSheetId="10">PlayerEntries!#REF!</definedName>
    <definedName name="ExternalData_1354" localSheetId="10">PlayerEntries!#REF!</definedName>
    <definedName name="ExternalData_1355" localSheetId="10">PlayerEntries!#REF!</definedName>
    <definedName name="ExternalData_1356" localSheetId="10">PlayerEntries!#REF!</definedName>
    <definedName name="ExternalData_1357" localSheetId="10">PlayerEntries!#REF!</definedName>
    <definedName name="ExternalData_1358" localSheetId="10">PlayerEntries!#REF!</definedName>
    <definedName name="ExternalData_1359" localSheetId="10">PlayerEntries!#REF!</definedName>
    <definedName name="ExternalData_136" localSheetId="10">PlayerEntries!#REF!</definedName>
    <definedName name="ExternalData_1360" localSheetId="10">PlayerEntries!#REF!</definedName>
    <definedName name="ExternalData_1361" localSheetId="10">PlayerEntries!#REF!</definedName>
    <definedName name="ExternalData_1362" localSheetId="10">PlayerEntries!#REF!</definedName>
    <definedName name="ExternalData_1363" localSheetId="10">PlayerEntries!#REF!</definedName>
    <definedName name="ExternalData_1364" localSheetId="10">PlayerEntries!#REF!</definedName>
    <definedName name="ExternalData_1365" localSheetId="10">PlayerEntries!#REF!</definedName>
    <definedName name="ExternalData_1366" localSheetId="10">PlayerEntries!#REF!</definedName>
    <definedName name="ExternalData_1367" localSheetId="10">PlayerEntries!#REF!</definedName>
    <definedName name="ExternalData_1368" localSheetId="10">PlayerEntries!#REF!</definedName>
    <definedName name="ExternalData_1369" localSheetId="10">PlayerEntries!#REF!</definedName>
    <definedName name="ExternalData_137" localSheetId="10">PlayerEntries!#REF!</definedName>
    <definedName name="ExternalData_1370" localSheetId="10">PlayerEntries!#REF!</definedName>
    <definedName name="ExternalData_1371" localSheetId="10">PlayerEntries!#REF!</definedName>
    <definedName name="ExternalData_1372" localSheetId="10">PlayerEntries!#REF!</definedName>
    <definedName name="ExternalData_1373" localSheetId="10">PlayerEntries!#REF!</definedName>
    <definedName name="ExternalData_1374" localSheetId="10">PlayerEntries!#REF!</definedName>
    <definedName name="ExternalData_1375" localSheetId="10">PlayerEntries!#REF!</definedName>
    <definedName name="ExternalData_1376" localSheetId="10">PlayerEntries!#REF!</definedName>
    <definedName name="ExternalData_1377" localSheetId="10">PlayerEntries!#REF!</definedName>
    <definedName name="ExternalData_1378" localSheetId="10">PlayerEntries!#REF!</definedName>
    <definedName name="ExternalData_1379" localSheetId="10">PlayerEntries!#REF!</definedName>
    <definedName name="ExternalData_138" localSheetId="10">PlayerEntries!#REF!</definedName>
    <definedName name="ExternalData_1380" localSheetId="10">PlayerEntries!#REF!</definedName>
    <definedName name="ExternalData_1381" localSheetId="10">PlayerEntries!#REF!</definedName>
    <definedName name="ExternalData_1382" localSheetId="10">PlayerEntries!#REF!</definedName>
    <definedName name="ExternalData_1383" localSheetId="10">PlayerEntries!#REF!</definedName>
    <definedName name="ExternalData_1384" localSheetId="10">PlayerEntries!#REF!</definedName>
    <definedName name="ExternalData_1385" localSheetId="10">PlayerEntries!#REF!</definedName>
    <definedName name="ExternalData_1386" localSheetId="10">PlayerEntries!#REF!</definedName>
    <definedName name="ExternalData_1387" localSheetId="10">PlayerEntries!#REF!</definedName>
    <definedName name="ExternalData_1388" localSheetId="10">PlayerEntries!#REF!</definedName>
    <definedName name="ExternalData_1389" localSheetId="10">PlayerEntries!#REF!</definedName>
    <definedName name="ExternalData_139" localSheetId="10">PlayerEntries!#REF!</definedName>
    <definedName name="ExternalData_1390" localSheetId="10">PlayerEntries!#REF!</definedName>
    <definedName name="ExternalData_1391" localSheetId="10">PlayerEntries!#REF!</definedName>
    <definedName name="ExternalData_1392" localSheetId="10">PlayerEntries!#REF!</definedName>
    <definedName name="ExternalData_1393" localSheetId="10">PlayerEntries!#REF!</definedName>
    <definedName name="ExternalData_1394" localSheetId="10">PlayerEntries!#REF!</definedName>
    <definedName name="ExternalData_1395" localSheetId="10">PlayerEntries!#REF!</definedName>
    <definedName name="ExternalData_1396" localSheetId="10">PlayerEntries!#REF!</definedName>
    <definedName name="ExternalData_1397" localSheetId="10">PlayerEntries!#REF!</definedName>
    <definedName name="ExternalData_1398" localSheetId="10">PlayerEntries!#REF!</definedName>
    <definedName name="ExternalData_1399" localSheetId="10">PlayerEntries!#REF!</definedName>
    <definedName name="ExternalData_14" localSheetId="14">iDSTTAData!$B$1:$E$488</definedName>
    <definedName name="ExternalData_14" localSheetId="15">iRanking!$A$1:$K$359</definedName>
    <definedName name="ExternalData_14" localSheetId="16">iTournamentEntries!$D$1:$BZ$70</definedName>
    <definedName name="ExternalData_14" localSheetId="10">PlayerEntries!$B$1:$AL$70</definedName>
    <definedName name="ExternalData_140" localSheetId="10">PlayerEntries!#REF!</definedName>
    <definedName name="ExternalData_1400" localSheetId="10">PlayerEntries!#REF!</definedName>
    <definedName name="ExternalData_1401" localSheetId="10">PlayerEntries!#REF!</definedName>
    <definedName name="ExternalData_1402" localSheetId="10">PlayerEntries!#REF!</definedName>
    <definedName name="ExternalData_1403" localSheetId="10">PlayerEntries!#REF!</definedName>
    <definedName name="ExternalData_1404" localSheetId="10">PlayerEntries!#REF!</definedName>
    <definedName name="ExternalData_1405" localSheetId="10">PlayerEntries!#REF!</definedName>
    <definedName name="ExternalData_1406" localSheetId="10">PlayerEntries!#REF!</definedName>
    <definedName name="ExternalData_1407" localSheetId="10">PlayerEntries!#REF!</definedName>
    <definedName name="ExternalData_1408" localSheetId="10">PlayerEntries!#REF!</definedName>
    <definedName name="ExternalData_1409" localSheetId="10">PlayerEntries!#REF!</definedName>
    <definedName name="ExternalData_141" localSheetId="10">PlayerEntries!#REF!</definedName>
    <definedName name="ExternalData_1410" localSheetId="10">PlayerEntries!#REF!</definedName>
    <definedName name="ExternalData_1411" localSheetId="10">PlayerEntries!#REF!</definedName>
    <definedName name="ExternalData_1412" localSheetId="10">PlayerEntries!#REF!</definedName>
    <definedName name="ExternalData_1413" localSheetId="10">PlayerEntries!#REF!</definedName>
    <definedName name="ExternalData_1414" localSheetId="10">PlayerEntries!#REF!</definedName>
    <definedName name="ExternalData_1415" localSheetId="10">PlayerEntries!#REF!</definedName>
    <definedName name="ExternalData_1416" localSheetId="10">PlayerEntries!#REF!</definedName>
    <definedName name="ExternalData_1417" localSheetId="10">PlayerEntries!#REF!</definedName>
    <definedName name="ExternalData_1418" localSheetId="10">PlayerEntries!#REF!</definedName>
    <definedName name="ExternalData_1419" localSheetId="10">PlayerEntries!#REF!</definedName>
    <definedName name="ExternalData_142" localSheetId="10">PlayerEntries!#REF!</definedName>
    <definedName name="ExternalData_1420" localSheetId="10">PlayerEntries!#REF!</definedName>
    <definedName name="ExternalData_1421" localSheetId="10">PlayerEntries!#REF!</definedName>
    <definedName name="ExternalData_1422" localSheetId="10">PlayerEntries!#REF!</definedName>
    <definedName name="ExternalData_1423" localSheetId="10">PlayerEntries!#REF!</definedName>
    <definedName name="ExternalData_1424" localSheetId="10">PlayerEntries!#REF!</definedName>
    <definedName name="ExternalData_1425" localSheetId="10">PlayerEntries!#REF!</definedName>
    <definedName name="ExternalData_1426" localSheetId="10">PlayerEntries!#REF!</definedName>
    <definedName name="ExternalData_1427" localSheetId="10">PlayerEntries!#REF!</definedName>
    <definedName name="ExternalData_1428" localSheetId="10">PlayerEntries!#REF!</definedName>
    <definedName name="ExternalData_1429" localSheetId="10">PlayerEntries!#REF!</definedName>
    <definedName name="ExternalData_143" localSheetId="10">PlayerEntries!#REF!</definedName>
    <definedName name="ExternalData_1430" localSheetId="10">PlayerEntries!#REF!</definedName>
    <definedName name="ExternalData_1431" localSheetId="10">PlayerEntries!#REF!</definedName>
    <definedName name="ExternalData_1432" localSheetId="10">PlayerEntries!#REF!</definedName>
    <definedName name="ExternalData_1433" localSheetId="10">PlayerEntries!#REF!</definedName>
    <definedName name="ExternalData_1434" localSheetId="10">PlayerEntries!#REF!</definedName>
    <definedName name="ExternalData_1435" localSheetId="10">PlayerEntries!#REF!</definedName>
    <definedName name="ExternalData_1436" localSheetId="10">PlayerEntries!#REF!</definedName>
    <definedName name="ExternalData_1437" localSheetId="10">PlayerEntries!#REF!</definedName>
    <definedName name="ExternalData_1438" localSheetId="10">PlayerEntries!#REF!</definedName>
    <definedName name="ExternalData_1439" localSheetId="10">PlayerEntries!#REF!</definedName>
    <definedName name="ExternalData_144" localSheetId="10">PlayerEntries!#REF!</definedName>
    <definedName name="ExternalData_1440" localSheetId="10">PlayerEntries!#REF!</definedName>
    <definedName name="ExternalData_1441" localSheetId="10">PlayerEntries!#REF!</definedName>
    <definedName name="ExternalData_1442" localSheetId="10">PlayerEntries!#REF!</definedName>
    <definedName name="ExternalData_1443" localSheetId="10">PlayerEntries!#REF!</definedName>
    <definedName name="ExternalData_1444" localSheetId="10">PlayerEntries!#REF!</definedName>
    <definedName name="ExternalData_1445" localSheetId="10">PlayerEntries!#REF!</definedName>
    <definedName name="ExternalData_1446" localSheetId="10">PlayerEntries!#REF!</definedName>
    <definedName name="ExternalData_1447" localSheetId="10">PlayerEntries!#REF!</definedName>
    <definedName name="ExternalData_1448" localSheetId="10">PlayerEntries!#REF!</definedName>
    <definedName name="ExternalData_1449" localSheetId="10">PlayerEntries!#REF!</definedName>
    <definedName name="ExternalData_145" localSheetId="10">PlayerEntries!#REF!</definedName>
    <definedName name="ExternalData_1450" localSheetId="10">PlayerEntries!#REF!</definedName>
    <definedName name="ExternalData_1451" localSheetId="10">PlayerEntries!#REF!</definedName>
    <definedName name="ExternalData_1452" localSheetId="10">PlayerEntries!#REF!</definedName>
    <definedName name="ExternalData_1453" localSheetId="10">PlayerEntries!#REF!</definedName>
    <definedName name="ExternalData_1454" localSheetId="10">PlayerEntries!#REF!</definedName>
    <definedName name="ExternalData_1455" localSheetId="10">PlayerEntries!#REF!</definedName>
    <definedName name="ExternalData_1456" localSheetId="10">PlayerEntries!#REF!</definedName>
    <definedName name="ExternalData_1457" localSheetId="10">PlayerEntries!#REF!</definedName>
    <definedName name="ExternalData_1458" localSheetId="10">PlayerEntries!#REF!</definedName>
    <definedName name="ExternalData_1459" localSheetId="10">PlayerEntries!#REF!</definedName>
    <definedName name="ExternalData_146" localSheetId="10">PlayerEntries!#REF!</definedName>
    <definedName name="ExternalData_1460" localSheetId="10">PlayerEntries!#REF!</definedName>
    <definedName name="ExternalData_1461" localSheetId="10">PlayerEntries!#REF!</definedName>
    <definedName name="ExternalData_1462" localSheetId="10">PlayerEntries!#REF!</definedName>
    <definedName name="ExternalData_1463" localSheetId="10">PlayerEntries!#REF!</definedName>
    <definedName name="ExternalData_1464" localSheetId="10">PlayerEntries!#REF!</definedName>
    <definedName name="ExternalData_1465" localSheetId="10">PlayerEntries!#REF!</definedName>
    <definedName name="ExternalData_1466" localSheetId="10">PlayerEntries!#REF!</definedName>
    <definedName name="ExternalData_1467" localSheetId="10">PlayerEntries!#REF!</definedName>
    <definedName name="ExternalData_1468" localSheetId="10">PlayerEntries!#REF!</definedName>
    <definedName name="ExternalData_1469" localSheetId="10">PlayerEntries!#REF!</definedName>
    <definedName name="ExternalData_147" localSheetId="10">PlayerEntries!#REF!</definedName>
    <definedName name="ExternalData_1470" localSheetId="10">PlayerEntries!#REF!</definedName>
    <definedName name="ExternalData_1471" localSheetId="10">PlayerEntries!#REF!</definedName>
    <definedName name="ExternalData_1472" localSheetId="10">PlayerEntries!#REF!</definedName>
    <definedName name="ExternalData_1473" localSheetId="10">PlayerEntries!#REF!</definedName>
    <definedName name="ExternalData_1474" localSheetId="10">PlayerEntries!#REF!</definedName>
    <definedName name="ExternalData_1475" localSheetId="10">PlayerEntries!#REF!</definedName>
    <definedName name="ExternalData_1476" localSheetId="10">PlayerEntries!#REF!</definedName>
    <definedName name="ExternalData_1477" localSheetId="10">PlayerEntries!#REF!</definedName>
    <definedName name="ExternalData_1478" localSheetId="10">PlayerEntries!#REF!</definedName>
    <definedName name="ExternalData_1479" localSheetId="10">PlayerEntries!#REF!</definedName>
    <definedName name="ExternalData_148" localSheetId="10">PlayerEntries!#REF!</definedName>
    <definedName name="ExternalData_1480" localSheetId="10">PlayerEntries!#REF!</definedName>
    <definedName name="ExternalData_1481" localSheetId="10">PlayerEntries!#REF!</definedName>
    <definedName name="ExternalData_1482" localSheetId="10">PlayerEntries!#REF!</definedName>
    <definedName name="ExternalData_1483" localSheetId="10">PlayerEntries!#REF!</definedName>
    <definedName name="ExternalData_1484" localSheetId="10">PlayerEntries!#REF!</definedName>
    <definedName name="ExternalData_1485" localSheetId="10">PlayerEntries!#REF!</definedName>
    <definedName name="ExternalData_1486" localSheetId="10">PlayerEntries!#REF!</definedName>
    <definedName name="ExternalData_1487" localSheetId="10">PlayerEntries!#REF!</definedName>
    <definedName name="ExternalData_1488" localSheetId="10">PlayerEntries!#REF!</definedName>
    <definedName name="ExternalData_1489" localSheetId="10">PlayerEntries!#REF!</definedName>
    <definedName name="ExternalData_149" localSheetId="10">PlayerEntries!#REF!</definedName>
    <definedName name="ExternalData_1490" localSheetId="10">PlayerEntries!#REF!</definedName>
    <definedName name="ExternalData_1491" localSheetId="10">PlayerEntries!#REF!</definedName>
    <definedName name="ExternalData_1492" localSheetId="10">PlayerEntries!#REF!</definedName>
    <definedName name="ExternalData_1493" localSheetId="10">PlayerEntries!#REF!</definedName>
    <definedName name="ExternalData_1494" localSheetId="10">PlayerEntries!#REF!</definedName>
    <definedName name="ExternalData_1495" localSheetId="10">PlayerEntries!#REF!</definedName>
    <definedName name="ExternalData_1496" localSheetId="10">PlayerEntries!#REF!</definedName>
    <definedName name="ExternalData_1497" localSheetId="10">PlayerEntries!#REF!</definedName>
    <definedName name="ExternalData_1498" localSheetId="10">PlayerEntries!#REF!</definedName>
    <definedName name="ExternalData_1499" localSheetId="10">PlayerEntries!#REF!</definedName>
    <definedName name="ExternalData_15" localSheetId="14">iDSTTAData!$B$1:$E$488</definedName>
    <definedName name="ExternalData_15" localSheetId="15">iRanking!$A$1:$K$359</definedName>
    <definedName name="ExternalData_15" localSheetId="16">iTournamentEntries!$C$1:$BY$70</definedName>
    <definedName name="ExternalData_15" localSheetId="10">PlayerEntries!$B$1:$AL$70</definedName>
    <definedName name="ExternalData_150" localSheetId="10">PlayerEntries!#REF!</definedName>
    <definedName name="ExternalData_1500" localSheetId="10">PlayerEntries!#REF!</definedName>
    <definedName name="ExternalData_1501" localSheetId="10">PlayerEntries!#REF!</definedName>
    <definedName name="ExternalData_1502" localSheetId="10">PlayerEntries!#REF!</definedName>
    <definedName name="ExternalData_1503" localSheetId="10">PlayerEntries!#REF!</definedName>
    <definedName name="ExternalData_1504" localSheetId="10">PlayerEntries!#REF!</definedName>
    <definedName name="ExternalData_1505" localSheetId="10">PlayerEntries!#REF!</definedName>
    <definedName name="ExternalData_1506" localSheetId="10">PlayerEntries!#REF!</definedName>
    <definedName name="ExternalData_1507" localSheetId="10">PlayerEntries!#REF!</definedName>
    <definedName name="ExternalData_1508" localSheetId="10">PlayerEntries!#REF!</definedName>
    <definedName name="ExternalData_1509" localSheetId="10">PlayerEntries!#REF!</definedName>
    <definedName name="ExternalData_151" localSheetId="10">PlayerEntries!#REF!</definedName>
    <definedName name="ExternalData_1510" localSheetId="10">PlayerEntries!#REF!</definedName>
    <definedName name="ExternalData_1511" localSheetId="10">PlayerEntries!#REF!</definedName>
    <definedName name="ExternalData_1512" localSheetId="10">PlayerEntries!#REF!</definedName>
    <definedName name="ExternalData_1513" localSheetId="10">PlayerEntries!#REF!</definedName>
    <definedName name="ExternalData_1514" localSheetId="10">PlayerEntries!#REF!</definedName>
    <definedName name="ExternalData_1515" localSheetId="10">PlayerEntries!#REF!</definedName>
    <definedName name="ExternalData_1516" localSheetId="10">PlayerEntries!#REF!</definedName>
    <definedName name="ExternalData_1517" localSheetId="10">PlayerEntries!#REF!</definedName>
    <definedName name="ExternalData_1518" localSheetId="10">PlayerEntries!#REF!</definedName>
    <definedName name="ExternalData_1519" localSheetId="10">PlayerEntries!#REF!</definedName>
    <definedName name="ExternalData_152" localSheetId="10">PlayerEntries!#REF!</definedName>
    <definedName name="ExternalData_1520" localSheetId="10">PlayerEntries!#REF!</definedName>
    <definedName name="ExternalData_1521" localSheetId="10">PlayerEntries!#REF!</definedName>
    <definedName name="ExternalData_1522" localSheetId="10">PlayerEntries!#REF!</definedName>
    <definedName name="ExternalData_1523" localSheetId="10">PlayerEntries!#REF!</definedName>
    <definedName name="ExternalData_1524" localSheetId="10">PlayerEntries!#REF!</definedName>
    <definedName name="ExternalData_1525" localSheetId="10">PlayerEntries!#REF!</definedName>
    <definedName name="ExternalData_1526" localSheetId="10">PlayerEntries!#REF!</definedName>
    <definedName name="ExternalData_1527" localSheetId="10">PlayerEntries!#REF!</definedName>
    <definedName name="ExternalData_1528" localSheetId="10">PlayerEntries!#REF!</definedName>
    <definedName name="ExternalData_1529" localSheetId="10">PlayerEntries!#REF!</definedName>
    <definedName name="ExternalData_153" localSheetId="10">PlayerEntries!#REF!</definedName>
    <definedName name="ExternalData_1530" localSheetId="10">PlayerEntries!#REF!</definedName>
    <definedName name="ExternalData_1531" localSheetId="10">PlayerEntries!#REF!</definedName>
    <definedName name="ExternalData_1532" localSheetId="10">PlayerEntries!#REF!</definedName>
    <definedName name="ExternalData_1533" localSheetId="10">PlayerEntries!#REF!</definedName>
    <definedName name="ExternalData_1534" localSheetId="10">PlayerEntries!#REF!</definedName>
    <definedName name="ExternalData_1535" localSheetId="10">PlayerEntries!#REF!</definedName>
    <definedName name="ExternalData_1536" localSheetId="10">PlayerEntries!#REF!</definedName>
    <definedName name="ExternalData_1537" localSheetId="10">PlayerEntries!#REF!</definedName>
    <definedName name="ExternalData_1538" localSheetId="10">PlayerEntries!#REF!</definedName>
    <definedName name="ExternalData_1539" localSheetId="10">PlayerEntries!#REF!</definedName>
    <definedName name="ExternalData_154" localSheetId="10">PlayerEntries!#REF!</definedName>
    <definedName name="ExternalData_1540" localSheetId="10">PlayerEntries!#REF!</definedName>
    <definedName name="ExternalData_1541" localSheetId="10">PlayerEntries!#REF!</definedName>
    <definedName name="ExternalData_1542" localSheetId="10">PlayerEntries!#REF!</definedName>
    <definedName name="ExternalData_1543" localSheetId="10">PlayerEntries!#REF!</definedName>
    <definedName name="ExternalData_1544" localSheetId="10">PlayerEntries!#REF!</definedName>
    <definedName name="ExternalData_1545" localSheetId="10">PlayerEntries!#REF!</definedName>
    <definedName name="ExternalData_1546" localSheetId="10">PlayerEntries!#REF!</definedName>
    <definedName name="ExternalData_1547" localSheetId="10">PlayerEntries!#REF!</definedName>
    <definedName name="ExternalData_1548" localSheetId="10">PlayerEntries!#REF!</definedName>
    <definedName name="ExternalData_1549" localSheetId="10">PlayerEntries!#REF!</definedName>
    <definedName name="ExternalData_155" localSheetId="10">PlayerEntries!#REF!</definedName>
    <definedName name="ExternalData_1550" localSheetId="10">PlayerEntries!#REF!</definedName>
    <definedName name="ExternalData_1551" localSheetId="10">PlayerEntries!#REF!</definedName>
    <definedName name="ExternalData_1552" localSheetId="10">PlayerEntries!#REF!</definedName>
    <definedName name="ExternalData_1553" localSheetId="10">PlayerEntries!#REF!</definedName>
    <definedName name="ExternalData_1554" localSheetId="10">PlayerEntries!#REF!</definedName>
    <definedName name="ExternalData_1555" localSheetId="10">PlayerEntries!#REF!</definedName>
    <definedName name="ExternalData_1556" localSheetId="10">PlayerEntries!#REF!</definedName>
    <definedName name="ExternalData_1557" localSheetId="10">PlayerEntries!#REF!</definedName>
    <definedName name="ExternalData_1558" localSheetId="10">PlayerEntries!#REF!</definedName>
    <definedName name="ExternalData_1559" localSheetId="10">PlayerEntries!#REF!</definedName>
    <definedName name="ExternalData_156" localSheetId="10">PlayerEntries!#REF!</definedName>
    <definedName name="ExternalData_1560" localSheetId="10">PlayerEntries!#REF!</definedName>
    <definedName name="ExternalData_1561" localSheetId="10">PlayerEntries!#REF!</definedName>
    <definedName name="ExternalData_1562" localSheetId="10">PlayerEntries!#REF!</definedName>
    <definedName name="ExternalData_1563" localSheetId="10">PlayerEntries!#REF!</definedName>
    <definedName name="ExternalData_1564" localSheetId="10">PlayerEntries!#REF!</definedName>
    <definedName name="ExternalData_1565" localSheetId="10">PlayerEntries!#REF!</definedName>
    <definedName name="ExternalData_1566" localSheetId="10">PlayerEntries!#REF!</definedName>
    <definedName name="ExternalData_1567" localSheetId="10">PlayerEntries!#REF!</definedName>
    <definedName name="ExternalData_1568" localSheetId="10">PlayerEntries!#REF!</definedName>
    <definedName name="ExternalData_1569" localSheetId="10">PlayerEntries!#REF!</definedName>
    <definedName name="ExternalData_157" localSheetId="10">PlayerEntries!#REF!</definedName>
    <definedName name="ExternalData_1570" localSheetId="10">PlayerEntries!#REF!</definedName>
    <definedName name="ExternalData_1571" localSheetId="10">PlayerEntries!#REF!</definedName>
    <definedName name="ExternalData_1572" localSheetId="10">PlayerEntries!#REF!</definedName>
    <definedName name="ExternalData_1573" localSheetId="10">PlayerEntries!#REF!</definedName>
    <definedName name="ExternalData_1574" localSheetId="10">PlayerEntries!#REF!</definedName>
    <definedName name="ExternalData_1575" localSheetId="10">PlayerEntries!#REF!</definedName>
    <definedName name="ExternalData_1576" localSheetId="10">PlayerEntries!#REF!</definedName>
    <definedName name="ExternalData_1577" localSheetId="10">PlayerEntries!#REF!</definedName>
    <definedName name="ExternalData_1578" localSheetId="10">PlayerEntries!#REF!</definedName>
    <definedName name="ExternalData_1579" localSheetId="10">PlayerEntries!#REF!</definedName>
    <definedName name="ExternalData_158" localSheetId="10">PlayerEntries!#REF!</definedName>
    <definedName name="ExternalData_1580" localSheetId="10">PlayerEntries!#REF!</definedName>
    <definedName name="ExternalData_1581" localSheetId="10">PlayerEntries!#REF!</definedName>
    <definedName name="ExternalData_1582" localSheetId="10">PlayerEntries!#REF!</definedName>
    <definedName name="ExternalData_1583" localSheetId="10">PlayerEntries!#REF!</definedName>
    <definedName name="ExternalData_1584" localSheetId="10">PlayerEntries!#REF!</definedName>
    <definedName name="ExternalData_1585" localSheetId="10">PlayerEntries!#REF!</definedName>
    <definedName name="ExternalData_1586" localSheetId="10">PlayerEntries!#REF!</definedName>
    <definedName name="ExternalData_1587" localSheetId="10">PlayerEntries!#REF!</definedName>
    <definedName name="ExternalData_1588" localSheetId="10">PlayerEntries!#REF!</definedName>
    <definedName name="ExternalData_1589" localSheetId="10">PlayerEntries!#REF!</definedName>
    <definedName name="ExternalData_159" localSheetId="10">PlayerEntries!#REF!</definedName>
    <definedName name="ExternalData_1590" localSheetId="10">PlayerEntries!#REF!</definedName>
    <definedName name="ExternalData_1591" localSheetId="10">PlayerEntries!#REF!</definedName>
    <definedName name="ExternalData_1592" localSheetId="10">PlayerEntries!#REF!</definedName>
    <definedName name="ExternalData_1593" localSheetId="10">PlayerEntries!#REF!</definedName>
    <definedName name="ExternalData_1594" localSheetId="10">PlayerEntries!#REF!</definedName>
    <definedName name="ExternalData_1595" localSheetId="10">PlayerEntries!#REF!</definedName>
    <definedName name="ExternalData_1596" localSheetId="10">PlayerEntries!#REF!</definedName>
    <definedName name="ExternalData_1597" localSheetId="10">PlayerEntries!#REF!</definedName>
    <definedName name="ExternalData_1598" localSheetId="10">PlayerEntries!#REF!</definedName>
    <definedName name="ExternalData_1599" localSheetId="10">PlayerEntries!#REF!</definedName>
    <definedName name="ExternalData_16" localSheetId="14">iDSTTAData!$B$1:$E$488</definedName>
    <definedName name="ExternalData_16" localSheetId="15">iRanking!$A$1:$K$359</definedName>
    <definedName name="ExternalData_16" localSheetId="16">iTournamentEntries!$B$1:$BX$73</definedName>
    <definedName name="ExternalData_16" localSheetId="10">PlayerEntries!$B$1:$AL$73</definedName>
    <definedName name="ExternalData_160" localSheetId="10">PlayerEntries!#REF!</definedName>
    <definedName name="ExternalData_1600" localSheetId="10">PlayerEntries!#REF!</definedName>
    <definedName name="ExternalData_1601" localSheetId="10">PlayerEntries!#REF!</definedName>
    <definedName name="ExternalData_1602" localSheetId="10">PlayerEntries!#REF!</definedName>
    <definedName name="ExternalData_1603" localSheetId="10">PlayerEntries!#REF!</definedName>
    <definedName name="ExternalData_1604" localSheetId="10">PlayerEntries!#REF!</definedName>
    <definedName name="ExternalData_1605" localSheetId="10">PlayerEntries!#REF!</definedName>
    <definedName name="ExternalData_1606" localSheetId="10">PlayerEntries!#REF!</definedName>
    <definedName name="ExternalData_1607" localSheetId="10">PlayerEntries!#REF!</definedName>
    <definedName name="ExternalData_1608" localSheetId="10">PlayerEntries!#REF!</definedName>
    <definedName name="ExternalData_1609" localSheetId="10">PlayerEntries!#REF!</definedName>
    <definedName name="ExternalData_161" localSheetId="10">PlayerEntries!#REF!</definedName>
    <definedName name="ExternalData_1610" localSheetId="10">PlayerEntries!#REF!</definedName>
    <definedName name="ExternalData_1611" localSheetId="10">PlayerEntries!#REF!</definedName>
    <definedName name="ExternalData_1612" localSheetId="10">PlayerEntries!#REF!</definedName>
    <definedName name="ExternalData_1613" localSheetId="10">PlayerEntries!#REF!</definedName>
    <definedName name="ExternalData_1614" localSheetId="10">PlayerEntries!#REF!</definedName>
    <definedName name="ExternalData_1615" localSheetId="10">PlayerEntries!#REF!</definedName>
    <definedName name="ExternalData_1616" localSheetId="10">PlayerEntries!#REF!</definedName>
    <definedName name="ExternalData_1617" localSheetId="10">PlayerEntries!#REF!</definedName>
    <definedName name="ExternalData_1618" localSheetId="10">PlayerEntries!#REF!</definedName>
    <definedName name="ExternalData_1619" localSheetId="10">PlayerEntries!#REF!</definedName>
    <definedName name="ExternalData_162" localSheetId="10">PlayerEntries!#REF!</definedName>
    <definedName name="ExternalData_1620" localSheetId="10">PlayerEntries!#REF!</definedName>
    <definedName name="ExternalData_1621" localSheetId="10">PlayerEntries!#REF!</definedName>
    <definedName name="ExternalData_1622" localSheetId="10">PlayerEntries!#REF!</definedName>
    <definedName name="ExternalData_1623" localSheetId="10">PlayerEntries!#REF!</definedName>
    <definedName name="ExternalData_1624" localSheetId="10">PlayerEntries!#REF!</definedName>
    <definedName name="ExternalData_1625" localSheetId="10">PlayerEntries!#REF!</definedName>
    <definedName name="ExternalData_1626" localSheetId="10">PlayerEntries!#REF!</definedName>
    <definedName name="ExternalData_1627" localSheetId="10">PlayerEntries!#REF!</definedName>
    <definedName name="ExternalData_1628" localSheetId="10">PlayerEntries!#REF!</definedName>
    <definedName name="ExternalData_1629" localSheetId="10">PlayerEntries!#REF!</definedName>
    <definedName name="ExternalData_163" localSheetId="10">PlayerEntries!#REF!</definedName>
    <definedName name="ExternalData_1630" localSheetId="10">PlayerEntries!#REF!</definedName>
    <definedName name="ExternalData_1631" localSheetId="10">PlayerEntries!#REF!</definedName>
    <definedName name="ExternalData_1632" localSheetId="10">PlayerEntries!#REF!</definedName>
    <definedName name="ExternalData_1633" localSheetId="10">PlayerEntries!#REF!</definedName>
    <definedName name="ExternalData_1634" localSheetId="10">PlayerEntries!#REF!</definedName>
    <definedName name="ExternalData_1635" localSheetId="10">PlayerEntries!#REF!</definedName>
    <definedName name="ExternalData_1636" localSheetId="10">PlayerEntries!#REF!</definedName>
    <definedName name="ExternalData_1637" localSheetId="10">PlayerEntries!#REF!</definedName>
    <definedName name="ExternalData_1638" localSheetId="10">PlayerEntries!#REF!</definedName>
    <definedName name="ExternalData_1639" localSheetId="10">PlayerEntries!#REF!</definedName>
    <definedName name="ExternalData_164" localSheetId="10">PlayerEntries!#REF!</definedName>
    <definedName name="ExternalData_1640" localSheetId="10">PlayerEntries!#REF!</definedName>
    <definedName name="ExternalData_1641" localSheetId="10">PlayerEntries!#REF!</definedName>
    <definedName name="ExternalData_1642" localSheetId="10">PlayerEntries!#REF!</definedName>
    <definedName name="ExternalData_1643" localSheetId="10">PlayerEntries!#REF!</definedName>
    <definedName name="ExternalData_1644" localSheetId="10">PlayerEntries!#REF!</definedName>
    <definedName name="ExternalData_1645" localSheetId="10">PlayerEntries!#REF!</definedName>
    <definedName name="ExternalData_1646" localSheetId="10">PlayerEntries!#REF!</definedName>
    <definedName name="ExternalData_1647" localSheetId="10">PlayerEntries!#REF!</definedName>
    <definedName name="ExternalData_1648" localSheetId="10">PlayerEntries!#REF!</definedName>
    <definedName name="ExternalData_1649" localSheetId="10">PlayerEntries!#REF!</definedName>
    <definedName name="ExternalData_165" localSheetId="10">PlayerEntries!#REF!</definedName>
    <definedName name="ExternalData_1650" localSheetId="10">PlayerEntries!#REF!</definedName>
    <definedName name="ExternalData_1651" localSheetId="10">PlayerEntries!#REF!</definedName>
    <definedName name="ExternalData_1652" localSheetId="10">PlayerEntries!#REF!</definedName>
    <definedName name="ExternalData_1653" localSheetId="10">PlayerEntries!#REF!</definedName>
    <definedName name="ExternalData_1654" localSheetId="10">PlayerEntries!#REF!</definedName>
    <definedName name="ExternalData_1655" localSheetId="10">PlayerEntries!#REF!</definedName>
    <definedName name="ExternalData_1656" localSheetId="10">PlayerEntries!#REF!</definedName>
    <definedName name="ExternalData_1657" localSheetId="10">PlayerEntries!#REF!</definedName>
    <definedName name="ExternalData_1658" localSheetId="10">PlayerEntries!#REF!</definedName>
    <definedName name="ExternalData_1659" localSheetId="10">PlayerEntries!#REF!</definedName>
    <definedName name="ExternalData_166" localSheetId="10">PlayerEntries!#REF!</definedName>
    <definedName name="ExternalData_1660" localSheetId="10">PlayerEntries!#REF!</definedName>
    <definedName name="ExternalData_1661" localSheetId="10">PlayerEntries!#REF!</definedName>
    <definedName name="ExternalData_1662" localSheetId="10">PlayerEntries!#REF!</definedName>
    <definedName name="ExternalData_1663" localSheetId="10">PlayerEntries!#REF!</definedName>
    <definedName name="ExternalData_1664" localSheetId="10">PlayerEntries!#REF!</definedName>
    <definedName name="ExternalData_1665" localSheetId="10">PlayerEntries!#REF!</definedName>
    <definedName name="ExternalData_1666" localSheetId="10">PlayerEntries!#REF!</definedName>
    <definedName name="ExternalData_1667" localSheetId="10">PlayerEntries!#REF!</definedName>
    <definedName name="ExternalData_1668" localSheetId="10">PlayerEntries!#REF!</definedName>
    <definedName name="ExternalData_1669" localSheetId="10">PlayerEntries!#REF!</definedName>
    <definedName name="ExternalData_167" localSheetId="10">PlayerEntries!#REF!</definedName>
    <definedName name="ExternalData_1670" localSheetId="10">PlayerEntries!#REF!</definedName>
    <definedName name="ExternalData_1671" localSheetId="10">PlayerEntries!#REF!</definedName>
    <definedName name="ExternalData_1672" localSheetId="10">PlayerEntries!#REF!</definedName>
    <definedName name="ExternalData_1673" localSheetId="10">PlayerEntries!#REF!</definedName>
    <definedName name="ExternalData_1674" localSheetId="10">PlayerEntries!#REF!</definedName>
    <definedName name="ExternalData_1675" localSheetId="10">PlayerEntries!#REF!</definedName>
    <definedName name="ExternalData_1676" localSheetId="10">PlayerEntries!#REF!</definedName>
    <definedName name="ExternalData_1677" localSheetId="10">PlayerEntries!#REF!</definedName>
    <definedName name="ExternalData_1678" localSheetId="10">PlayerEntries!#REF!</definedName>
    <definedName name="ExternalData_1679" localSheetId="10">PlayerEntries!#REF!</definedName>
    <definedName name="ExternalData_168" localSheetId="10">PlayerEntries!#REF!</definedName>
    <definedName name="ExternalData_1680" localSheetId="10">PlayerEntries!#REF!</definedName>
    <definedName name="ExternalData_1681" localSheetId="10">PlayerEntries!#REF!</definedName>
    <definedName name="ExternalData_1682" localSheetId="10">PlayerEntries!#REF!</definedName>
    <definedName name="ExternalData_1683" localSheetId="10">PlayerEntries!#REF!</definedName>
    <definedName name="ExternalData_1684" localSheetId="10">PlayerEntries!#REF!</definedName>
    <definedName name="ExternalData_1685" localSheetId="10">PlayerEntries!#REF!</definedName>
    <definedName name="ExternalData_1686" localSheetId="10">PlayerEntries!#REF!</definedName>
    <definedName name="ExternalData_1687" localSheetId="10">PlayerEntries!#REF!</definedName>
    <definedName name="ExternalData_1688" localSheetId="10">PlayerEntries!#REF!</definedName>
    <definedName name="ExternalData_1689" localSheetId="10">PlayerEntries!#REF!</definedName>
    <definedName name="ExternalData_169" localSheetId="10">PlayerEntries!#REF!</definedName>
    <definedName name="ExternalData_1690" localSheetId="10">PlayerEntries!#REF!</definedName>
    <definedName name="ExternalData_1691" localSheetId="10">PlayerEntries!#REF!</definedName>
    <definedName name="ExternalData_1692" localSheetId="10">PlayerEntries!#REF!</definedName>
    <definedName name="ExternalData_1693" localSheetId="10">PlayerEntries!#REF!</definedName>
    <definedName name="ExternalData_1694" localSheetId="10">PlayerEntries!#REF!</definedName>
    <definedName name="ExternalData_1695" localSheetId="10">PlayerEntries!#REF!</definedName>
    <definedName name="ExternalData_1696" localSheetId="10">PlayerEntries!#REF!</definedName>
    <definedName name="ExternalData_1697" localSheetId="10">PlayerEntries!#REF!</definedName>
    <definedName name="ExternalData_1698" localSheetId="10">PlayerEntries!#REF!</definedName>
    <definedName name="ExternalData_1699" localSheetId="10">PlayerEntries!#REF!</definedName>
    <definedName name="ExternalData_17" localSheetId="14">iDSTTAData!$B$1:$E$488</definedName>
    <definedName name="ExternalData_17" localSheetId="15">iRanking!$A$1:$K$359</definedName>
    <definedName name="ExternalData_17" localSheetId="10">PlayerEntries!#REF!</definedName>
    <definedName name="ExternalData_170" localSheetId="10">PlayerEntries!#REF!</definedName>
    <definedName name="ExternalData_1700" localSheetId="10">PlayerEntries!#REF!</definedName>
    <definedName name="ExternalData_1701" localSheetId="10">PlayerEntries!#REF!</definedName>
    <definedName name="ExternalData_1702" localSheetId="10">PlayerEntries!#REF!</definedName>
    <definedName name="ExternalData_1703" localSheetId="10">PlayerEntries!#REF!</definedName>
    <definedName name="ExternalData_1704" localSheetId="10">PlayerEntries!#REF!</definedName>
    <definedName name="ExternalData_1705" localSheetId="10">PlayerEntries!#REF!</definedName>
    <definedName name="ExternalData_1706" localSheetId="10">PlayerEntries!#REF!</definedName>
    <definedName name="ExternalData_1707" localSheetId="10">PlayerEntries!#REF!</definedName>
    <definedName name="ExternalData_1708" localSheetId="10">PlayerEntries!#REF!</definedName>
    <definedName name="ExternalData_1709" localSheetId="10">PlayerEntries!#REF!</definedName>
    <definedName name="ExternalData_171" localSheetId="10">PlayerEntries!#REF!</definedName>
    <definedName name="ExternalData_1710" localSheetId="10">PlayerEntries!#REF!</definedName>
    <definedName name="ExternalData_1711" localSheetId="10">PlayerEntries!#REF!</definedName>
    <definedName name="ExternalData_1712" localSheetId="10">PlayerEntries!#REF!</definedName>
    <definedName name="ExternalData_1713" localSheetId="10">PlayerEntries!#REF!</definedName>
    <definedName name="ExternalData_1714" localSheetId="10">PlayerEntries!#REF!</definedName>
    <definedName name="ExternalData_1715" localSheetId="10">PlayerEntries!#REF!</definedName>
    <definedName name="ExternalData_1716" localSheetId="10">PlayerEntries!#REF!</definedName>
    <definedName name="ExternalData_1717" localSheetId="10">PlayerEntries!#REF!</definedName>
    <definedName name="ExternalData_1718" localSheetId="10">PlayerEntries!#REF!</definedName>
    <definedName name="ExternalData_1719" localSheetId="10">PlayerEntries!#REF!</definedName>
    <definedName name="ExternalData_172" localSheetId="10">PlayerEntries!#REF!</definedName>
    <definedName name="ExternalData_1720" localSheetId="10">PlayerEntries!#REF!</definedName>
    <definedName name="ExternalData_1721" localSheetId="10">PlayerEntries!#REF!</definedName>
    <definedName name="ExternalData_1722" localSheetId="10">PlayerEntries!#REF!</definedName>
    <definedName name="ExternalData_1723" localSheetId="10">PlayerEntries!#REF!</definedName>
    <definedName name="ExternalData_1724" localSheetId="10">PlayerEntries!#REF!</definedName>
    <definedName name="ExternalData_1725" localSheetId="10">PlayerEntries!#REF!</definedName>
    <definedName name="ExternalData_1726" localSheetId="10">PlayerEntries!#REF!</definedName>
    <definedName name="ExternalData_1727" localSheetId="10">PlayerEntries!#REF!</definedName>
    <definedName name="ExternalData_1728" localSheetId="10">PlayerEntries!#REF!</definedName>
    <definedName name="ExternalData_1729" localSheetId="10">PlayerEntries!#REF!</definedName>
    <definedName name="ExternalData_173" localSheetId="10">PlayerEntries!#REF!</definedName>
    <definedName name="ExternalData_1730" localSheetId="10">PlayerEntries!#REF!</definedName>
    <definedName name="ExternalData_1731" localSheetId="10">PlayerEntries!#REF!</definedName>
    <definedName name="ExternalData_1732" localSheetId="10">PlayerEntries!#REF!</definedName>
    <definedName name="ExternalData_1733" localSheetId="10">PlayerEntries!#REF!</definedName>
    <definedName name="ExternalData_1734" localSheetId="10">PlayerEntries!#REF!</definedName>
    <definedName name="ExternalData_1735" localSheetId="10">PlayerEntries!#REF!</definedName>
    <definedName name="ExternalData_1736" localSheetId="10">PlayerEntries!#REF!</definedName>
    <definedName name="ExternalData_1737" localSheetId="10">PlayerEntries!#REF!</definedName>
    <definedName name="ExternalData_1738" localSheetId="10">PlayerEntries!#REF!</definedName>
    <definedName name="ExternalData_1739" localSheetId="10">PlayerEntries!#REF!</definedName>
    <definedName name="ExternalData_174" localSheetId="10">PlayerEntries!#REF!</definedName>
    <definedName name="ExternalData_1740" localSheetId="10">PlayerEntries!#REF!</definedName>
    <definedName name="ExternalData_1741" localSheetId="10">PlayerEntries!#REF!</definedName>
    <definedName name="ExternalData_1742" localSheetId="10">PlayerEntries!#REF!</definedName>
    <definedName name="ExternalData_1743" localSheetId="10">PlayerEntries!#REF!</definedName>
    <definedName name="ExternalData_1744" localSheetId="10">PlayerEntries!#REF!</definedName>
    <definedName name="ExternalData_1745" localSheetId="10">PlayerEntries!#REF!</definedName>
    <definedName name="ExternalData_1746" localSheetId="10">PlayerEntries!#REF!</definedName>
    <definedName name="ExternalData_1747" localSheetId="10">PlayerEntries!#REF!</definedName>
    <definedName name="ExternalData_1748" localSheetId="10">PlayerEntries!#REF!</definedName>
    <definedName name="ExternalData_1749" localSheetId="10">PlayerEntries!#REF!</definedName>
    <definedName name="ExternalData_175" localSheetId="10">PlayerEntries!#REF!</definedName>
    <definedName name="ExternalData_1750" localSheetId="10">PlayerEntries!#REF!</definedName>
    <definedName name="ExternalData_1751" localSheetId="10">PlayerEntries!#REF!</definedName>
    <definedName name="ExternalData_1752" localSheetId="10">PlayerEntries!#REF!</definedName>
    <definedName name="ExternalData_1753" localSheetId="10">PlayerEntries!#REF!</definedName>
    <definedName name="ExternalData_1754" localSheetId="10">PlayerEntries!#REF!</definedName>
    <definedName name="ExternalData_1755" localSheetId="10">PlayerEntries!#REF!</definedName>
    <definedName name="ExternalData_1756" localSheetId="10">PlayerEntries!#REF!</definedName>
    <definedName name="ExternalData_1757" localSheetId="10">PlayerEntries!#REF!</definedName>
    <definedName name="ExternalData_1758" localSheetId="10">PlayerEntries!#REF!</definedName>
    <definedName name="ExternalData_1759" localSheetId="10">PlayerEntries!#REF!</definedName>
    <definedName name="ExternalData_176" localSheetId="10">PlayerEntries!#REF!</definedName>
    <definedName name="ExternalData_1760" localSheetId="10">PlayerEntries!#REF!</definedName>
    <definedName name="ExternalData_1761" localSheetId="10">PlayerEntries!#REF!</definedName>
    <definedName name="ExternalData_1762" localSheetId="10">PlayerEntries!#REF!</definedName>
    <definedName name="ExternalData_1763" localSheetId="10">PlayerEntries!#REF!</definedName>
    <definedName name="ExternalData_1764" localSheetId="10">PlayerEntries!#REF!</definedName>
    <definedName name="ExternalData_1765" localSheetId="10">PlayerEntries!#REF!</definedName>
    <definedName name="ExternalData_1766" localSheetId="10">PlayerEntries!#REF!</definedName>
    <definedName name="ExternalData_1767" localSheetId="10">PlayerEntries!#REF!</definedName>
    <definedName name="ExternalData_1768" localSheetId="10">PlayerEntries!#REF!</definedName>
    <definedName name="ExternalData_1769" localSheetId="10">PlayerEntries!#REF!</definedName>
    <definedName name="ExternalData_177" localSheetId="10">PlayerEntries!#REF!</definedName>
    <definedName name="ExternalData_1770" localSheetId="10">PlayerEntries!#REF!</definedName>
    <definedName name="ExternalData_1771" localSheetId="10">PlayerEntries!#REF!</definedName>
    <definedName name="ExternalData_1772" localSheetId="10">PlayerEntries!#REF!</definedName>
    <definedName name="ExternalData_1773" localSheetId="10">PlayerEntries!#REF!</definedName>
    <definedName name="ExternalData_1774" localSheetId="10">PlayerEntries!#REF!</definedName>
    <definedName name="ExternalData_1775" localSheetId="10">PlayerEntries!#REF!</definedName>
    <definedName name="ExternalData_1776" localSheetId="10">PlayerEntries!#REF!</definedName>
    <definedName name="ExternalData_1777" localSheetId="10">PlayerEntries!#REF!</definedName>
    <definedName name="ExternalData_1778" localSheetId="10">PlayerEntries!#REF!</definedName>
    <definedName name="ExternalData_1779" localSheetId="10">PlayerEntries!#REF!</definedName>
    <definedName name="ExternalData_178" localSheetId="10">PlayerEntries!#REF!</definedName>
    <definedName name="ExternalData_1780" localSheetId="10">PlayerEntries!#REF!</definedName>
    <definedName name="ExternalData_1781" localSheetId="10">PlayerEntries!#REF!</definedName>
    <definedName name="ExternalData_1782" localSheetId="10">PlayerEntries!#REF!</definedName>
    <definedName name="ExternalData_1783" localSheetId="10">PlayerEntries!#REF!</definedName>
    <definedName name="ExternalData_1784" localSheetId="10">PlayerEntries!#REF!</definedName>
    <definedName name="ExternalData_1785" localSheetId="10">PlayerEntries!#REF!</definedName>
    <definedName name="ExternalData_1786" localSheetId="10">PlayerEntries!#REF!</definedName>
    <definedName name="ExternalData_1787" localSheetId="10">PlayerEntries!#REF!</definedName>
    <definedName name="ExternalData_1788" localSheetId="10">PlayerEntries!#REF!</definedName>
    <definedName name="ExternalData_1789" localSheetId="10">PlayerEntries!#REF!</definedName>
    <definedName name="ExternalData_179" localSheetId="10">PlayerEntries!#REF!</definedName>
    <definedName name="ExternalData_1790" localSheetId="10">PlayerEntries!#REF!</definedName>
    <definedName name="ExternalData_1791" localSheetId="10">PlayerEntries!#REF!</definedName>
    <definedName name="ExternalData_1792" localSheetId="10">PlayerEntries!#REF!</definedName>
    <definedName name="ExternalData_1793" localSheetId="10">PlayerEntries!#REF!</definedName>
    <definedName name="ExternalData_1794" localSheetId="10">PlayerEntries!#REF!</definedName>
    <definedName name="ExternalData_1795" localSheetId="10">PlayerEntries!#REF!</definedName>
    <definedName name="ExternalData_1796" localSheetId="10">PlayerEntries!#REF!</definedName>
    <definedName name="ExternalData_1797" localSheetId="10">PlayerEntries!#REF!</definedName>
    <definedName name="ExternalData_1798" localSheetId="10">PlayerEntries!#REF!</definedName>
    <definedName name="ExternalData_1799" localSheetId="10">PlayerEntries!#REF!</definedName>
    <definedName name="ExternalData_18" localSheetId="14">iDSTTAData!$B$1:$E$489</definedName>
    <definedName name="ExternalData_18" localSheetId="15">iRanking!$A$1:$K$359</definedName>
    <definedName name="ExternalData_18" localSheetId="10">PlayerEntries!#REF!</definedName>
    <definedName name="ExternalData_180" localSheetId="10">PlayerEntries!#REF!</definedName>
    <definedName name="ExternalData_1800" localSheetId="10">PlayerEntries!#REF!</definedName>
    <definedName name="ExternalData_1801" localSheetId="10">PlayerEntries!#REF!</definedName>
    <definedName name="ExternalData_1802" localSheetId="10">PlayerEntries!#REF!</definedName>
    <definedName name="ExternalData_1803" localSheetId="10">PlayerEntries!#REF!</definedName>
    <definedName name="ExternalData_1804" localSheetId="10">PlayerEntries!#REF!</definedName>
    <definedName name="ExternalData_1805" localSheetId="10">PlayerEntries!#REF!</definedName>
    <definedName name="ExternalData_1806" localSheetId="10">PlayerEntries!#REF!</definedName>
    <definedName name="ExternalData_1807" localSheetId="10">PlayerEntries!#REF!</definedName>
    <definedName name="ExternalData_1808" localSheetId="10">PlayerEntries!#REF!</definedName>
    <definedName name="ExternalData_1809" localSheetId="10">PlayerEntries!#REF!</definedName>
    <definedName name="ExternalData_181" localSheetId="10">PlayerEntries!#REF!</definedName>
    <definedName name="ExternalData_1810" localSheetId="10">PlayerEntries!#REF!</definedName>
    <definedName name="ExternalData_1811" localSheetId="10">PlayerEntries!#REF!</definedName>
    <definedName name="ExternalData_1812" localSheetId="10">PlayerEntries!#REF!</definedName>
    <definedName name="ExternalData_1813" localSheetId="10">PlayerEntries!#REF!</definedName>
    <definedName name="ExternalData_1814" localSheetId="10">PlayerEntries!#REF!</definedName>
    <definedName name="ExternalData_1815" localSheetId="10">PlayerEntries!#REF!</definedName>
    <definedName name="ExternalData_1816" localSheetId="10">PlayerEntries!#REF!</definedName>
    <definedName name="ExternalData_1817" localSheetId="10">PlayerEntries!#REF!</definedName>
    <definedName name="ExternalData_1818" localSheetId="10">PlayerEntries!#REF!</definedName>
    <definedName name="ExternalData_1819" localSheetId="10">PlayerEntries!#REF!</definedName>
    <definedName name="ExternalData_182" localSheetId="10">PlayerEntries!#REF!</definedName>
    <definedName name="ExternalData_1820" localSheetId="10">PlayerEntries!#REF!</definedName>
    <definedName name="ExternalData_1821" localSheetId="10">PlayerEntries!#REF!</definedName>
    <definedName name="ExternalData_1822" localSheetId="10">PlayerEntries!#REF!</definedName>
    <definedName name="ExternalData_1823" localSheetId="10">PlayerEntries!#REF!</definedName>
    <definedName name="ExternalData_1824" localSheetId="10">PlayerEntries!#REF!</definedName>
    <definedName name="ExternalData_1825" localSheetId="10">PlayerEntries!#REF!</definedName>
    <definedName name="ExternalData_1826" localSheetId="10">PlayerEntries!#REF!</definedName>
    <definedName name="ExternalData_1827" localSheetId="10">PlayerEntries!#REF!</definedName>
    <definedName name="ExternalData_1828" localSheetId="10">PlayerEntries!#REF!</definedName>
    <definedName name="ExternalData_1829" localSheetId="10">PlayerEntries!#REF!</definedName>
    <definedName name="ExternalData_183" localSheetId="10">PlayerEntries!#REF!</definedName>
    <definedName name="ExternalData_1830" localSheetId="10">PlayerEntries!#REF!</definedName>
    <definedName name="ExternalData_1831" localSheetId="10">PlayerEntries!#REF!</definedName>
    <definedName name="ExternalData_1832" localSheetId="10">PlayerEntries!#REF!</definedName>
    <definedName name="ExternalData_1833" localSheetId="10">PlayerEntries!#REF!</definedName>
    <definedName name="ExternalData_1834" localSheetId="10">PlayerEntries!#REF!</definedName>
    <definedName name="ExternalData_1835" localSheetId="10">PlayerEntries!#REF!</definedName>
    <definedName name="ExternalData_1836" localSheetId="10">PlayerEntries!#REF!</definedName>
    <definedName name="ExternalData_1837" localSheetId="10">PlayerEntries!#REF!</definedName>
    <definedName name="ExternalData_1838" localSheetId="10">PlayerEntries!#REF!</definedName>
    <definedName name="ExternalData_1839" localSheetId="10">PlayerEntries!#REF!</definedName>
    <definedName name="ExternalData_184" localSheetId="10">PlayerEntries!#REF!</definedName>
    <definedName name="ExternalData_1840" localSheetId="10">PlayerEntries!#REF!</definedName>
    <definedName name="ExternalData_1841" localSheetId="10">PlayerEntries!#REF!</definedName>
    <definedName name="ExternalData_1842" localSheetId="10">PlayerEntries!#REF!</definedName>
    <definedName name="ExternalData_1843" localSheetId="10">PlayerEntries!#REF!</definedName>
    <definedName name="ExternalData_1844" localSheetId="10">PlayerEntries!#REF!</definedName>
    <definedName name="ExternalData_1845" localSheetId="10">PlayerEntries!#REF!</definedName>
    <definedName name="ExternalData_1846" localSheetId="10">PlayerEntries!#REF!</definedName>
    <definedName name="ExternalData_1847" localSheetId="10">PlayerEntries!#REF!</definedName>
    <definedName name="ExternalData_1848" localSheetId="10">PlayerEntries!#REF!</definedName>
    <definedName name="ExternalData_1849" localSheetId="10">PlayerEntries!#REF!</definedName>
    <definedName name="ExternalData_185" localSheetId="10">PlayerEntries!#REF!</definedName>
    <definedName name="ExternalData_1850" localSheetId="10">PlayerEntries!#REF!</definedName>
    <definedName name="ExternalData_1851" localSheetId="10">PlayerEntries!#REF!</definedName>
    <definedName name="ExternalData_1852" localSheetId="10">PlayerEntries!#REF!</definedName>
    <definedName name="ExternalData_1853" localSheetId="10">PlayerEntries!#REF!</definedName>
    <definedName name="ExternalData_1854" localSheetId="10">PlayerEntries!#REF!</definedName>
    <definedName name="ExternalData_1855" localSheetId="10">PlayerEntries!#REF!</definedName>
    <definedName name="ExternalData_1856" localSheetId="10">PlayerEntries!#REF!</definedName>
    <definedName name="ExternalData_1857" localSheetId="10">PlayerEntries!#REF!</definedName>
    <definedName name="ExternalData_1858" localSheetId="10">PlayerEntries!#REF!</definedName>
    <definedName name="ExternalData_1859" localSheetId="10">PlayerEntries!#REF!</definedName>
    <definedName name="ExternalData_186" localSheetId="10">PlayerEntries!#REF!</definedName>
    <definedName name="ExternalData_1860" localSheetId="10">PlayerEntries!#REF!</definedName>
    <definedName name="ExternalData_1861" localSheetId="10">PlayerEntries!#REF!</definedName>
    <definedName name="ExternalData_1862" localSheetId="10">PlayerEntries!#REF!</definedName>
    <definedName name="ExternalData_1863" localSheetId="10">PlayerEntries!#REF!</definedName>
    <definedName name="ExternalData_1864" localSheetId="10">PlayerEntries!#REF!</definedName>
    <definedName name="ExternalData_1865" localSheetId="10">PlayerEntries!#REF!</definedName>
    <definedName name="ExternalData_1866" localSheetId="10">PlayerEntries!#REF!</definedName>
    <definedName name="ExternalData_1867" localSheetId="10">PlayerEntries!#REF!</definedName>
    <definedName name="ExternalData_1868" localSheetId="10">PlayerEntries!#REF!</definedName>
    <definedName name="ExternalData_1869" localSheetId="10">PlayerEntries!#REF!</definedName>
    <definedName name="ExternalData_187" localSheetId="10">PlayerEntries!#REF!</definedName>
    <definedName name="ExternalData_1870" localSheetId="10">PlayerEntries!#REF!</definedName>
    <definedName name="ExternalData_1871" localSheetId="10">PlayerEntries!#REF!</definedName>
    <definedName name="ExternalData_1872" localSheetId="10">PlayerEntries!#REF!</definedName>
    <definedName name="ExternalData_1873" localSheetId="10">PlayerEntries!#REF!</definedName>
    <definedName name="ExternalData_1874" localSheetId="10">PlayerEntries!#REF!</definedName>
    <definedName name="ExternalData_1875" localSheetId="10">PlayerEntries!#REF!</definedName>
    <definedName name="ExternalData_1876" localSheetId="10">PlayerEntries!#REF!</definedName>
    <definedName name="ExternalData_1877" localSheetId="10">PlayerEntries!#REF!</definedName>
    <definedName name="ExternalData_1878" localSheetId="10">PlayerEntries!#REF!</definedName>
    <definedName name="ExternalData_1879" localSheetId="10">PlayerEntries!#REF!</definedName>
    <definedName name="ExternalData_188" localSheetId="10">PlayerEntries!#REF!</definedName>
    <definedName name="ExternalData_1880" localSheetId="10">PlayerEntries!#REF!</definedName>
    <definedName name="ExternalData_1881" localSheetId="10">PlayerEntries!#REF!</definedName>
    <definedName name="ExternalData_1882" localSheetId="10">PlayerEntries!#REF!</definedName>
    <definedName name="ExternalData_1883" localSheetId="10">PlayerEntries!#REF!</definedName>
    <definedName name="ExternalData_1884" localSheetId="10">PlayerEntries!#REF!</definedName>
    <definedName name="ExternalData_1885" localSheetId="10">PlayerEntries!#REF!</definedName>
    <definedName name="ExternalData_1886" localSheetId="10">PlayerEntries!#REF!</definedName>
    <definedName name="ExternalData_1887" localSheetId="10">PlayerEntries!#REF!</definedName>
    <definedName name="ExternalData_1888" localSheetId="10">PlayerEntries!#REF!</definedName>
    <definedName name="ExternalData_1889" localSheetId="10">PlayerEntries!#REF!</definedName>
    <definedName name="ExternalData_189" localSheetId="10">PlayerEntries!#REF!</definedName>
    <definedName name="ExternalData_1890" localSheetId="10">PlayerEntries!#REF!</definedName>
    <definedName name="ExternalData_1891" localSheetId="10">PlayerEntries!#REF!</definedName>
    <definedName name="ExternalData_1892" localSheetId="10">PlayerEntries!#REF!</definedName>
    <definedName name="ExternalData_1893" localSheetId="10">PlayerEntries!#REF!</definedName>
    <definedName name="ExternalData_1894" localSheetId="10">PlayerEntries!#REF!</definedName>
    <definedName name="ExternalData_1895" localSheetId="10">PlayerEntries!#REF!</definedName>
    <definedName name="ExternalData_1896" localSheetId="10">PlayerEntries!#REF!</definedName>
    <definedName name="ExternalData_1897" localSheetId="10">PlayerEntries!#REF!</definedName>
    <definedName name="ExternalData_1898" localSheetId="10">PlayerEntries!#REF!</definedName>
    <definedName name="ExternalData_1899" localSheetId="10">PlayerEntries!#REF!</definedName>
    <definedName name="ExternalData_19" localSheetId="14">iDSTTAData!$B$1:$E$489</definedName>
    <definedName name="ExternalData_19" localSheetId="15">iRanking!$A$1:$K$359</definedName>
    <definedName name="ExternalData_19" localSheetId="10">PlayerEntries!#REF!</definedName>
    <definedName name="ExternalData_190" localSheetId="10">PlayerEntries!#REF!</definedName>
    <definedName name="ExternalData_1900" localSheetId="10">PlayerEntries!#REF!</definedName>
    <definedName name="ExternalData_1901" localSheetId="10">PlayerEntries!#REF!</definedName>
    <definedName name="ExternalData_1902" localSheetId="10">PlayerEntries!#REF!</definedName>
    <definedName name="ExternalData_1903" localSheetId="10">PlayerEntries!#REF!</definedName>
    <definedName name="ExternalData_1904" localSheetId="10">PlayerEntries!#REF!</definedName>
    <definedName name="ExternalData_1905" localSheetId="10">PlayerEntries!#REF!</definedName>
    <definedName name="ExternalData_1906" localSheetId="10">PlayerEntries!#REF!</definedName>
    <definedName name="ExternalData_1907" localSheetId="10">PlayerEntries!#REF!</definedName>
    <definedName name="ExternalData_1908" localSheetId="10">PlayerEntries!#REF!</definedName>
    <definedName name="ExternalData_1909" localSheetId="10">PlayerEntries!#REF!</definedName>
    <definedName name="ExternalData_191" localSheetId="10">PlayerEntries!#REF!</definedName>
    <definedName name="ExternalData_1910" localSheetId="10">PlayerEntries!#REF!</definedName>
    <definedName name="ExternalData_1911" localSheetId="10">PlayerEntries!#REF!</definedName>
    <definedName name="ExternalData_1912" localSheetId="10">PlayerEntries!#REF!</definedName>
    <definedName name="ExternalData_1913" localSheetId="10">PlayerEntries!#REF!</definedName>
    <definedName name="ExternalData_1914" localSheetId="10">PlayerEntries!#REF!</definedName>
    <definedName name="ExternalData_1915" localSheetId="10">PlayerEntries!#REF!</definedName>
    <definedName name="ExternalData_1916" localSheetId="10">PlayerEntries!#REF!</definedName>
    <definedName name="ExternalData_1917" localSheetId="10">PlayerEntries!#REF!</definedName>
    <definedName name="ExternalData_1918" localSheetId="10">PlayerEntries!#REF!</definedName>
    <definedName name="ExternalData_1919" localSheetId="10">PlayerEntries!#REF!</definedName>
    <definedName name="ExternalData_192" localSheetId="10">PlayerEntries!#REF!</definedName>
    <definedName name="ExternalData_1920" localSheetId="10">PlayerEntries!#REF!</definedName>
    <definedName name="ExternalData_1921" localSheetId="10">PlayerEntries!#REF!</definedName>
    <definedName name="ExternalData_1922" localSheetId="10">PlayerEntries!#REF!</definedName>
    <definedName name="ExternalData_1923" localSheetId="10">PlayerEntries!#REF!</definedName>
    <definedName name="ExternalData_1924" localSheetId="10">PlayerEntries!#REF!</definedName>
    <definedName name="ExternalData_1925" localSheetId="10">PlayerEntries!#REF!</definedName>
    <definedName name="ExternalData_1926" localSheetId="10">PlayerEntries!#REF!</definedName>
    <definedName name="ExternalData_1927" localSheetId="10">PlayerEntries!#REF!</definedName>
    <definedName name="ExternalData_1928" localSheetId="10">PlayerEntries!#REF!</definedName>
    <definedName name="ExternalData_1929" localSheetId="10">PlayerEntries!#REF!</definedName>
    <definedName name="ExternalData_193" localSheetId="10">PlayerEntries!#REF!</definedName>
    <definedName name="ExternalData_1930" localSheetId="10">PlayerEntries!#REF!</definedName>
    <definedName name="ExternalData_1931" localSheetId="10">PlayerEntries!#REF!</definedName>
    <definedName name="ExternalData_1932" localSheetId="10">PlayerEntries!#REF!</definedName>
    <definedName name="ExternalData_1933" localSheetId="10">PlayerEntries!#REF!</definedName>
    <definedName name="ExternalData_1934" localSheetId="10">PlayerEntries!#REF!</definedName>
    <definedName name="ExternalData_1935" localSheetId="10">PlayerEntries!#REF!</definedName>
    <definedName name="ExternalData_1936" localSheetId="10">PlayerEntries!#REF!</definedName>
    <definedName name="ExternalData_1937" localSheetId="10">PlayerEntries!#REF!</definedName>
    <definedName name="ExternalData_1938" localSheetId="10">PlayerEntries!#REF!</definedName>
    <definedName name="ExternalData_1939" localSheetId="10">PlayerEntries!#REF!</definedName>
    <definedName name="ExternalData_194" localSheetId="10">PlayerEntries!#REF!</definedName>
    <definedName name="ExternalData_1940" localSheetId="10">PlayerEntries!#REF!</definedName>
    <definedName name="ExternalData_1941" localSheetId="10">PlayerEntries!#REF!</definedName>
    <definedName name="ExternalData_1942" localSheetId="10">PlayerEntries!#REF!</definedName>
    <definedName name="ExternalData_1943" localSheetId="10">PlayerEntries!#REF!</definedName>
    <definedName name="ExternalData_1944" localSheetId="10">PlayerEntries!#REF!</definedName>
    <definedName name="ExternalData_1945" localSheetId="10">PlayerEntries!#REF!</definedName>
    <definedName name="ExternalData_1946" localSheetId="10">PlayerEntries!#REF!</definedName>
    <definedName name="ExternalData_1947" localSheetId="10">PlayerEntries!#REF!</definedName>
    <definedName name="ExternalData_1948" localSheetId="10">PlayerEntries!#REF!</definedName>
    <definedName name="ExternalData_1949" localSheetId="10">PlayerEntries!#REF!</definedName>
    <definedName name="ExternalData_195" localSheetId="10">PlayerEntries!#REF!</definedName>
    <definedName name="ExternalData_1950" localSheetId="10">PlayerEntries!#REF!</definedName>
    <definedName name="ExternalData_1951" localSheetId="10">PlayerEntries!#REF!</definedName>
    <definedName name="ExternalData_1952" localSheetId="10">PlayerEntries!#REF!</definedName>
    <definedName name="ExternalData_1953" localSheetId="10">PlayerEntries!#REF!</definedName>
    <definedName name="ExternalData_1954" localSheetId="10">PlayerEntries!#REF!</definedName>
    <definedName name="ExternalData_1955" localSheetId="10">PlayerEntries!#REF!</definedName>
    <definedName name="ExternalData_1956" localSheetId="10">PlayerEntries!#REF!</definedName>
    <definedName name="ExternalData_1957" localSheetId="10">PlayerEntries!#REF!</definedName>
    <definedName name="ExternalData_1958" localSheetId="10">PlayerEntries!#REF!</definedName>
    <definedName name="ExternalData_1959" localSheetId="10">PlayerEntries!#REF!</definedName>
    <definedName name="ExternalData_196" localSheetId="10">PlayerEntries!#REF!</definedName>
    <definedName name="ExternalData_1960" localSheetId="10">PlayerEntries!#REF!</definedName>
    <definedName name="ExternalData_1961" localSheetId="10">PlayerEntries!#REF!</definedName>
    <definedName name="ExternalData_1962" localSheetId="10">PlayerEntries!#REF!</definedName>
    <definedName name="ExternalData_1963" localSheetId="10">PlayerEntries!#REF!</definedName>
    <definedName name="ExternalData_1964" localSheetId="10">PlayerEntries!#REF!</definedName>
    <definedName name="ExternalData_1965" localSheetId="10">PlayerEntries!#REF!</definedName>
    <definedName name="ExternalData_1966" localSheetId="10">PlayerEntries!#REF!</definedName>
    <definedName name="ExternalData_1967" localSheetId="10">PlayerEntries!#REF!</definedName>
    <definedName name="ExternalData_1968" localSheetId="10">PlayerEntries!#REF!</definedName>
    <definedName name="ExternalData_1969" localSheetId="10">PlayerEntries!#REF!</definedName>
    <definedName name="ExternalData_197" localSheetId="10">PlayerEntries!#REF!</definedName>
    <definedName name="ExternalData_1970" localSheetId="10">PlayerEntries!#REF!</definedName>
    <definedName name="ExternalData_1971" localSheetId="10">PlayerEntries!#REF!</definedName>
    <definedName name="ExternalData_1972" localSheetId="10">PlayerEntries!#REF!</definedName>
    <definedName name="ExternalData_1973" localSheetId="10">PlayerEntries!#REF!</definedName>
    <definedName name="ExternalData_1974" localSheetId="10">PlayerEntries!#REF!</definedName>
    <definedName name="ExternalData_1975" localSheetId="10">PlayerEntries!#REF!</definedName>
    <definedName name="ExternalData_1976" localSheetId="10">PlayerEntries!#REF!</definedName>
    <definedName name="ExternalData_1977" localSheetId="10">PlayerEntries!#REF!</definedName>
    <definedName name="ExternalData_1978" localSheetId="10">PlayerEntries!#REF!</definedName>
    <definedName name="ExternalData_1979" localSheetId="10">PlayerEntries!#REF!</definedName>
    <definedName name="ExternalData_198" localSheetId="10">PlayerEntries!#REF!</definedName>
    <definedName name="ExternalData_1980" localSheetId="10">PlayerEntries!#REF!</definedName>
    <definedName name="ExternalData_1981" localSheetId="10">PlayerEntries!#REF!</definedName>
    <definedName name="ExternalData_1982" localSheetId="10">PlayerEntries!#REF!</definedName>
    <definedName name="ExternalData_1983" localSheetId="10">PlayerEntries!#REF!</definedName>
    <definedName name="ExternalData_1984" localSheetId="10">PlayerEntries!#REF!</definedName>
    <definedName name="ExternalData_1985" localSheetId="10">PlayerEntries!#REF!</definedName>
    <definedName name="ExternalData_1986" localSheetId="10">PlayerEntries!#REF!</definedName>
    <definedName name="ExternalData_1987" localSheetId="10">PlayerEntries!#REF!</definedName>
    <definedName name="ExternalData_1988" localSheetId="10">PlayerEntries!#REF!</definedName>
    <definedName name="ExternalData_1989" localSheetId="10">PlayerEntries!#REF!</definedName>
    <definedName name="ExternalData_199" localSheetId="10">PlayerEntries!#REF!</definedName>
    <definedName name="ExternalData_1990" localSheetId="10">PlayerEntries!#REF!</definedName>
    <definedName name="ExternalData_1991" localSheetId="10">PlayerEntries!#REF!</definedName>
    <definedName name="ExternalData_1992" localSheetId="10">PlayerEntries!#REF!</definedName>
    <definedName name="ExternalData_1993" localSheetId="10">PlayerEntries!#REF!</definedName>
    <definedName name="ExternalData_1994" localSheetId="10">PlayerEntries!#REF!</definedName>
    <definedName name="ExternalData_1995" localSheetId="10">PlayerEntries!#REF!</definedName>
    <definedName name="ExternalData_1996" localSheetId="10">PlayerEntries!#REF!</definedName>
    <definedName name="ExternalData_1997" localSheetId="10">PlayerEntries!#REF!</definedName>
    <definedName name="ExternalData_1998" localSheetId="10">PlayerEntries!#REF!</definedName>
    <definedName name="ExternalData_1999" localSheetId="10">PlayerEntries!#REF!</definedName>
    <definedName name="ExternalData_2" localSheetId="14">iDSTTAData!$B$1:$E$488</definedName>
    <definedName name="ExternalData_2" localSheetId="15">iRanking!$A$1:$F$375</definedName>
    <definedName name="ExternalData_2" localSheetId="16">iTournamentEntries!$P$1:$CL$12</definedName>
    <definedName name="ExternalData_2" localSheetId="10">PlayerEntries!$B$1:$AL$12</definedName>
    <definedName name="ExternalData_20" localSheetId="14">iDSTTAData!$B$1:$E$489</definedName>
    <definedName name="ExternalData_20" localSheetId="15">iRanking!$A$1:$K$359</definedName>
    <definedName name="ExternalData_20" localSheetId="10">PlayerEntries!#REF!</definedName>
    <definedName name="ExternalData_200" localSheetId="10">PlayerEntries!#REF!</definedName>
    <definedName name="ExternalData_2000" localSheetId="10">PlayerEntries!#REF!</definedName>
    <definedName name="ExternalData_2001" localSheetId="10">PlayerEntries!#REF!</definedName>
    <definedName name="ExternalData_2002" localSheetId="10">PlayerEntries!#REF!</definedName>
    <definedName name="ExternalData_2003" localSheetId="10">PlayerEntries!#REF!</definedName>
    <definedName name="ExternalData_2004" localSheetId="10">PlayerEntries!#REF!</definedName>
    <definedName name="ExternalData_2005" localSheetId="10">PlayerEntries!#REF!</definedName>
    <definedName name="ExternalData_2006" localSheetId="10">PlayerEntries!#REF!</definedName>
    <definedName name="ExternalData_2007" localSheetId="10">PlayerEntries!#REF!</definedName>
    <definedName name="ExternalData_2008" localSheetId="10">PlayerEntries!#REF!</definedName>
    <definedName name="ExternalData_2009" localSheetId="10">PlayerEntries!#REF!</definedName>
    <definedName name="ExternalData_201" localSheetId="10">PlayerEntries!#REF!</definedName>
    <definedName name="ExternalData_2010" localSheetId="10">PlayerEntries!#REF!</definedName>
    <definedName name="ExternalData_2011" localSheetId="10">PlayerEntries!#REF!</definedName>
    <definedName name="ExternalData_2012" localSheetId="10">PlayerEntries!#REF!</definedName>
    <definedName name="ExternalData_2013" localSheetId="10">PlayerEntries!#REF!</definedName>
    <definedName name="ExternalData_2014" localSheetId="10">PlayerEntries!#REF!</definedName>
    <definedName name="ExternalData_2015" localSheetId="10">PlayerEntries!#REF!</definedName>
    <definedName name="ExternalData_2016" localSheetId="10">PlayerEntries!#REF!</definedName>
    <definedName name="ExternalData_2017" localSheetId="10">PlayerEntries!#REF!</definedName>
    <definedName name="ExternalData_2018" localSheetId="10">PlayerEntries!#REF!</definedName>
    <definedName name="ExternalData_2019" localSheetId="10">PlayerEntries!#REF!</definedName>
    <definedName name="ExternalData_202" localSheetId="10">PlayerEntries!#REF!</definedName>
    <definedName name="ExternalData_2020" localSheetId="10">PlayerEntries!#REF!</definedName>
    <definedName name="ExternalData_2021" localSheetId="10">PlayerEntries!#REF!</definedName>
    <definedName name="ExternalData_2022" localSheetId="10">PlayerEntries!#REF!</definedName>
    <definedName name="ExternalData_2023" localSheetId="10">PlayerEntries!#REF!</definedName>
    <definedName name="ExternalData_2024" localSheetId="10">PlayerEntries!#REF!</definedName>
    <definedName name="ExternalData_2025" localSheetId="10">PlayerEntries!#REF!</definedName>
    <definedName name="ExternalData_2026" localSheetId="10">PlayerEntries!#REF!</definedName>
    <definedName name="ExternalData_2027" localSheetId="10">PlayerEntries!#REF!</definedName>
    <definedName name="ExternalData_2028" localSheetId="10">PlayerEntries!#REF!</definedName>
    <definedName name="ExternalData_2029" localSheetId="10">PlayerEntries!#REF!</definedName>
    <definedName name="ExternalData_203" localSheetId="10">PlayerEntries!#REF!</definedName>
    <definedName name="ExternalData_2030" localSheetId="10">PlayerEntries!#REF!</definedName>
    <definedName name="ExternalData_2031" localSheetId="10">PlayerEntries!#REF!</definedName>
    <definedName name="ExternalData_2032" localSheetId="10">PlayerEntries!#REF!</definedName>
    <definedName name="ExternalData_2033" localSheetId="10">PlayerEntries!#REF!</definedName>
    <definedName name="ExternalData_2034" localSheetId="10">PlayerEntries!#REF!</definedName>
    <definedName name="ExternalData_2035" localSheetId="10">PlayerEntries!#REF!</definedName>
    <definedName name="ExternalData_2036" localSheetId="10">PlayerEntries!#REF!</definedName>
    <definedName name="ExternalData_2037" localSheetId="10">PlayerEntries!#REF!</definedName>
    <definedName name="ExternalData_2038" localSheetId="10">PlayerEntries!#REF!</definedName>
    <definedName name="ExternalData_2039" localSheetId="10">PlayerEntries!#REF!</definedName>
    <definedName name="ExternalData_204" localSheetId="10">PlayerEntries!#REF!</definedName>
    <definedName name="ExternalData_2040" localSheetId="10">PlayerEntries!#REF!</definedName>
    <definedName name="ExternalData_2041" localSheetId="10">PlayerEntries!#REF!</definedName>
    <definedName name="ExternalData_2042" localSheetId="10">PlayerEntries!#REF!</definedName>
    <definedName name="ExternalData_2043" localSheetId="10">PlayerEntries!#REF!</definedName>
    <definedName name="ExternalData_2044" localSheetId="10">PlayerEntries!#REF!</definedName>
    <definedName name="ExternalData_2045" localSheetId="10">PlayerEntries!#REF!</definedName>
    <definedName name="ExternalData_2046" localSheetId="10">PlayerEntries!#REF!</definedName>
    <definedName name="ExternalData_2047" localSheetId="10">PlayerEntries!#REF!</definedName>
    <definedName name="ExternalData_2048" localSheetId="10">PlayerEntries!#REF!</definedName>
    <definedName name="ExternalData_2049" localSheetId="10">PlayerEntries!#REF!</definedName>
    <definedName name="ExternalData_205" localSheetId="10">PlayerEntries!#REF!</definedName>
    <definedName name="ExternalData_2050" localSheetId="10">PlayerEntries!#REF!</definedName>
    <definedName name="ExternalData_2051" localSheetId="10">PlayerEntries!#REF!</definedName>
    <definedName name="ExternalData_2052" localSheetId="10">PlayerEntries!#REF!</definedName>
    <definedName name="ExternalData_2053" localSheetId="10">PlayerEntries!#REF!</definedName>
    <definedName name="ExternalData_2054" localSheetId="10">PlayerEntries!#REF!</definedName>
    <definedName name="ExternalData_2055" localSheetId="10">PlayerEntries!#REF!</definedName>
    <definedName name="ExternalData_2056" localSheetId="10">PlayerEntries!#REF!</definedName>
    <definedName name="ExternalData_2057" localSheetId="10">PlayerEntries!#REF!</definedName>
    <definedName name="ExternalData_2058" localSheetId="10">PlayerEntries!#REF!</definedName>
    <definedName name="ExternalData_2059" localSheetId="10">PlayerEntries!#REF!</definedName>
    <definedName name="ExternalData_206" localSheetId="10">PlayerEntries!#REF!</definedName>
    <definedName name="ExternalData_2060" localSheetId="10">PlayerEntries!#REF!</definedName>
    <definedName name="ExternalData_2061" localSheetId="10">PlayerEntries!#REF!</definedName>
    <definedName name="ExternalData_2062" localSheetId="10">PlayerEntries!#REF!</definedName>
    <definedName name="ExternalData_2063" localSheetId="10">PlayerEntries!#REF!</definedName>
    <definedName name="ExternalData_2064" localSheetId="10">PlayerEntries!#REF!</definedName>
    <definedName name="ExternalData_2065" localSheetId="10">PlayerEntries!#REF!</definedName>
    <definedName name="ExternalData_2066" localSheetId="10">PlayerEntries!#REF!</definedName>
    <definedName name="ExternalData_2067" localSheetId="10">PlayerEntries!#REF!</definedName>
    <definedName name="ExternalData_2068" localSheetId="10">PlayerEntries!#REF!</definedName>
    <definedName name="ExternalData_2069" localSheetId="10">PlayerEntries!#REF!</definedName>
    <definedName name="ExternalData_207" localSheetId="10">PlayerEntries!#REF!</definedName>
    <definedName name="ExternalData_2070" localSheetId="10">PlayerEntries!#REF!</definedName>
    <definedName name="ExternalData_2071" localSheetId="10">PlayerEntries!#REF!</definedName>
    <definedName name="ExternalData_2072" localSheetId="10">PlayerEntries!#REF!</definedName>
    <definedName name="ExternalData_2073" localSheetId="10">PlayerEntries!#REF!</definedName>
    <definedName name="ExternalData_2074" localSheetId="10">PlayerEntries!#REF!</definedName>
    <definedName name="ExternalData_2075" localSheetId="10">PlayerEntries!#REF!</definedName>
    <definedName name="ExternalData_2076" localSheetId="10">PlayerEntries!#REF!</definedName>
    <definedName name="ExternalData_2077" localSheetId="10">PlayerEntries!#REF!</definedName>
    <definedName name="ExternalData_2078" localSheetId="10">PlayerEntries!#REF!</definedName>
    <definedName name="ExternalData_2079" localSheetId="10">PlayerEntries!#REF!</definedName>
    <definedName name="ExternalData_208" localSheetId="10">PlayerEntries!#REF!</definedName>
    <definedName name="ExternalData_2080" localSheetId="10">PlayerEntries!#REF!</definedName>
    <definedName name="ExternalData_2081" localSheetId="10">PlayerEntries!#REF!</definedName>
    <definedName name="ExternalData_2082" localSheetId="10">PlayerEntries!#REF!</definedName>
    <definedName name="ExternalData_2083" localSheetId="10">PlayerEntries!#REF!</definedName>
    <definedName name="ExternalData_2084" localSheetId="10">PlayerEntries!#REF!</definedName>
    <definedName name="ExternalData_2085" localSheetId="10">PlayerEntries!#REF!</definedName>
    <definedName name="ExternalData_2086" localSheetId="10">PlayerEntries!#REF!</definedName>
    <definedName name="ExternalData_2087" localSheetId="10">PlayerEntries!#REF!</definedName>
    <definedName name="ExternalData_2088" localSheetId="10">PlayerEntries!#REF!</definedName>
    <definedName name="ExternalData_2089" localSheetId="10">PlayerEntries!#REF!</definedName>
    <definedName name="ExternalData_209" localSheetId="10">PlayerEntries!#REF!</definedName>
    <definedName name="ExternalData_2090" localSheetId="10">PlayerEntries!#REF!</definedName>
    <definedName name="ExternalData_2091" localSheetId="10">PlayerEntries!#REF!</definedName>
    <definedName name="ExternalData_2092" localSheetId="10">PlayerEntries!#REF!</definedName>
    <definedName name="ExternalData_2093" localSheetId="10">PlayerEntries!#REF!</definedName>
    <definedName name="ExternalData_2094" localSheetId="10">PlayerEntries!#REF!</definedName>
    <definedName name="ExternalData_2095" localSheetId="10">PlayerEntries!#REF!</definedName>
    <definedName name="ExternalData_2096" localSheetId="10">PlayerEntries!#REF!</definedName>
    <definedName name="ExternalData_2097" localSheetId="10">PlayerEntries!#REF!</definedName>
    <definedName name="ExternalData_2098" localSheetId="10">PlayerEntries!#REF!</definedName>
    <definedName name="ExternalData_2099" localSheetId="10">PlayerEntries!#REF!</definedName>
    <definedName name="ExternalData_21" localSheetId="14">iDSTTAData!$B$1:$E$489</definedName>
    <definedName name="ExternalData_21" localSheetId="15">iRanking!$A$1:$K$359</definedName>
    <definedName name="ExternalData_21" localSheetId="10">PlayerEntries!#REF!</definedName>
    <definedName name="ExternalData_210" localSheetId="10">PlayerEntries!#REF!</definedName>
    <definedName name="ExternalData_2100" localSheetId="10">PlayerEntries!#REF!</definedName>
    <definedName name="ExternalData_2101" localSheetId="10">PlayerEntries!#REF!</definedName>
    <definedName name="ExternalData_2102" localSheetId="10">PlayerEntries!#REF!</definedName>
    <definedName name="ExternalData_2103" localSheetId="10">PlayerEntries!#REF!</definedName>
    <definedName name="ExternalData_2104" localSheetId="10">PlayerEntries!#REF!</definedName>
    <definedName name="ExternalData_2105" localSheetId="10">PlayerEntries!#REF!</definedName>
    <definedName name="ExternalData_2106" localSheetId="10">PlayerEntries!#REF!</definedName>
    <definedName name="ExternalData_2107" localSheetId="10">PlayerEntries!#REF!</definedName>
    <definedName name="ExternalData_2108" localSheetId="10">PlayerEntries!#REF!</definedName>
    <definedName name="ExternalData_2109" localSheetId="10">PlayerEntries!#REF!</definedName>
    <definedName name="ExternalData_211" localSheetId="10">PlayerEntries!#REF!</definedName>
    <definedName name="ExternalData_2110" localSheetId="10">PlayerEntries!#REF!</definedName>
    <definedName name="ExternalData_2111" localSheetId="10">PlayerEntries!#REF!</definedName>
    <definedName name="ExternalData_2112" localSheetId="10">PlayerEntries!#REF!</definedName>
    <definedName name="ExternalData_2113" localSheetId="10">PlayerEntries!#REF!</definedName>
    <definedName name="ExternalData_2114" localSheetId="10">PlayerEntries!#REF!</definedName>
    <definedName name="ExternalData_2115" localSheetId="10">PlayerEntries!#REF!</definedName>
    <definedName name="ExternalData_2116" localSheetId="10">PlayerEntries!#REF!</definedName>
    <definedName name="ExternalData_2117" localSheetId="10">PlayerEntries!#REF!</definedName>
    <definedName name="ExternalData_2118" localSheetId="10">PlayerEntries!#REF!</definedName>
    <definedName name="ExternalData_2119" localSheetId="10">PlayerEntries!#REF!</definedName>
    <definedName name="ExternalData_212" localSheetId="10">PlayerEntries!#REF!</definedName>
    <definedName name="ExternalData_2120" localSheetId="10">PlayerEntries!#REF!</definedName>
    <definedName name="ExternalData_2121" localSheetId="10">PlayerEntries!#REF!</definedName>
    <definedName name="ExternalData_2122" localSheetId="10">PlayerEntries!#REF!</definedName>
    <definedName name="ExternalData_2123" localSheetId="10">PlayerEntries!#REF!</definedName>
    <definedName name="ExternalData_2124" localSheetId="10">PlayerEntries!#REF!</definedName>
    <definedName name="ExternalData_2125" localSheetId="10">PlayerEntries!#REF!</definedName>
    <definedName name="ExternalData_2126" localSheetId="10">PlayerEntries!#REF!</definedName>
    <definedName name="ExternalData_2127" localSheetId="10">PlayerEntries!#REF!</definedName>
    <definedName name="ExternalData_2128" localSheetId="10">PlayerEntries!#REF!</definedName>
    <definedName name="ExternalData_2129" localSheetId="10">PlayerEntries!#REF!</definedName>
    <definedName name="ExternalData_213" localSheetId="10">PlayerEntries!#REF!</definedName>
    <definedName name="ExternalData_2130" localSheetId="10">PlayerEntries!#REF!</definedName>
    <definedName name="ExternalData_2131" localSheetId="10">PlayerEntries!#REF!</definedName>
    <definedName name="ExternalData_2132" localSheetId="10">PlayerEntries!#REF!</definedName>
    <definedName name="ExternalData_2133" localSheetId="10">PlayerEntries!#REF!</definedName>
    <definedName name="ExternalData_2134" localSheetId="10">PlayerEntries!#REF!</definedName>
    <definedName name="ExternalData_2135" localSheetId="10">PlayerEntries!#REF!</definedName>
    <definedName name="ExternalData_2136" localSheetId="10">PlayerEntries!#REF!</definedName>
    <definedName name="ExternalData_2137" localSheetId="10">PlayerEntries!#REF!</definedName>
    <definedName name="ExternalData_2138" localSheetId="10">PlayerEntries!#REF!</definedName>
    <definedName name="ExternalData_2139" localSheetId="10">PlayerEntries!#REF!</definedName>
    <definedName name="ExternalData_214" localSheetId="10">PlayerEntries!#REF!</definedName>
    <definedName name="ExternalData_2140" localSheetId="10">PlayerEntries!#REF!</definedName>
    <definedName name="ExternalData_2141" localSheetId="10">PlayerEntries!#REF!</definedName>
    <definedName name="ExternalData_2142" localSheetId="10">PlayerEntries!#REF!</definedName>
    <definedName name="ExternalData_2143" localSheetId="10">PlayerEntries!#REF!</definedName>
    <definedName name="ExternalData_2144" localSheetId="10">PlayerEntries!#REF!</definedName>
    <definedName name="ExternalData_2145" localSheetId="10">PlayerEntries!#REF!</definedName>
    <definedName name="ExternalData_2146" localSheetId="10">PlayerEntries!#REF!</definedName>
    <definedName name="ExternalData_2147" localSheetId="10">PlayerEntries!#REF!</definedName>
    <definedName name="ExternalData_2148" localSheetId="10">PlayerEntries!#REF!</definedName>
    <definedName name="ExternalData_2149" localSheetId="10">PlayerEntries!#REF!</definedName>
    <definedName name="ExternalData_215" localSheetId="10">PlayerEntries!#REF!</definedName>
    <definedName name="ExternalData_2150" localSheetId="10">PlayerEntries!#REF!</definedName>
    <definedName name="ExternalData_2151" localSheetId="10">PlayerEntries!#REF!</definedName>
    <definedName name="ExternalData_2152" localSheetId="10">PlayerEntries!#REF!</definedName>
    <definedName name="ExternalData_2153" localSheetId="10">PlayerEntries!#REF!</definedName>
    <definedName name="ExternalData_2154" localSheetId="10">PlayerEntries!#REF!</definedName>
    <definedName name="ExternalData_2155" localSheetId="10">PlayerEntries!#REF!</definedName>
    <definedName name="ExternalData_2156" localSheetId="10">PlayerEntries!#REF!</definedName>
    <definedName name="ExternalData_2157" localSheetId="10">PlayerEntries!#REF!</definedName>
    <definedName name="ExternalData_2158" localSheetId="10">PlayerEntries!#REF!</definedName>
    <definedName name="ExternalData_2159" localSheetId="10">PlayerEntries!#REF!</definedName>
    <definedName name="ExternalData_216" localSheetId="10">PlayerEntries!#REF!</definedName>
    <definedName name="ExternalData_2160" localSheetId="10">PlayerEntries!#REF!</definedName>
    <definedName name="ExternalData_2161" localSheetId="10">PlayerEntries!#REF!</definedName>
    <definedName name="ExternalData_2162" localSheetId="10">PlayerEntries!#REF!</definedName>
    <definedName name="ExternalData_2163" localSheetId="10">PlayerEntries!#REF!</definedName>
    <definedName name="ExternalData_2164" localSheetId="10">PlayerEntries!#REF!</definedName>
    <definedName name="ExternalData_2165" localSheetId="10">PlayerEntries!#REF!</definedName>
    <definedName name="ExternalData_2166" localSheetId="10">PlayerEntries!#REF!</definedName>
    <definedName name="ExternalData_2167" localSheetId="10">PlayerEntries!#REF!</definedName>
    <definedName name="ExternalData_2168" localSheetId="10">PlayerEntries!#REF!</definedName>
    <definedName name="ExternalData_2169" localSheetId="10">PlayerEntries!#REF!</definedName>
    <definedName name="ExternalData_217" localSheetId="10">PlayerEntries!#REF!</definedName>
    <definedName name="ExternalData_2170" localSheetId="10">PlayerEntries!#REF!</definedName>
    <definedName name="ExternalData_2171" localSheetId="10">PlayerEntries!#REF!</definedName>
    <definedName name="ExternalData_2172" localSheetId="10">PlayerEntries!#REF!</definedName>
    <definedName name="ExternalData_2173" localSheetId="10">PlayerEntries!#REF!</definedName>
    <definedName name="ExternalData_2174" localSheetId="10">PlayerEntries!#REF!</definedName>
    <definedName name="ExternalData_2175" localSheetId="10">PlayerEntries!#REF!</definedName>
    <definedName name="ExternalData_2176" localSheetId="10">PlayerEntries!#REF!</definedName>
    <definedName name="ExternalData_2177" localSheetId="10">PlayerEntries!#REF!</definedName>
    <definedName name="ExternalData_2178" localSheetId="10">PlayerEntries!#REF!</definedName>
    <definedName name="ExternalData_2179" localSheetId="10">PlayerEntries!#REF!</definedName>
    <definedName name="ExternalData_218" localSheetId="10">PlayerEntries!#REF!</definedName>
    <definedName name="ExternalData_2180" localSheetId="10">PlayerEntries!#REF!</definedName>
    <definedName name="ExternalData_2181" localSheetId="10">PlayerEntries!#REF!</definedName>
    <definedName name="ExternalData_2182" localSheetId="10">PlayerEntries!#REF!</definedName>
    <definedName name="ExternalData_2183" localSheetId="10">PlayerEntries!#REF!</definedName>
    <definedName name="ExternalData_2184" localSheetId="10">PlayerEntries!#REF!</definedName>
    <definedName name="ExternalData_2185" localSheetId="10">PlayerEntries!#REF!</definedName>
    <definedName name="ExternalData_2186" localSheetId="10">PlayerEntries!#REF!</definedName>
    <definedName name="ExternalData_2187" localSheetId="10">PlayerEntries!#REF!</definedName>
    <definedName name="ExternalData_2188" localSheetId="10">PlayerEntries!#REF!</definedName>
    <definedName name="ExternalData_2189" localSheetId="10">PlayerEntries!#REF!</definedName>
    <definedName name="ExternalData_219" localSheetId="10">PlayerEntries!#REF!</definedName>
    <definedName name="ExternalData_2190" localSheetId="10">PlayerEntries!#REF!</definedName>
    <definedName name="ExternalData_2191" localSheetId="10">PlayerEntries!#REF!</definedName>
    <definedName name="ExternalData_2192" localSheetId="10">PlayerEntries!#REF!</definedName>
    <definedName name="ExternalData_2193" localSheetId="10">PlayerEntries!#REF!</definedName>
    <definedName name="ExternalData_2194" localSheetId="10">PlayerEntries!#REF!</definedName>
    <definedName name="ExternalData_2195" localSheetId="10">PlayerEntries!#REF!</definedName>
    <definedName name="ExternalData_2196" localSheetId="10">PlayerEntries!#REF!</definedName>
    <definedName name="ExternalData_2197" localSheetId="10">PlayerEntries!#REF!</definedName>
    <definedName name="ExternalData_2198" localSheetId="10">PlayerEntries!#REF!</definedName>
    <definedName name="ExternalData_2199" localSheetId="10">PlayerEntries!#REF!</definedName>
    <definedName name="ExternalData_22" localSheetId="14">iDSTTAData!$B$1:$E$489</definedName>
    <definedName name="ExternalData_22" localSheetId="15">iRanking!$A$1:$K$359</definedName>
    <definedName name="ExternalData_22" localSheetId="10">PlayerEntries!#REF!</definedName>
    <definedName name="ExternalData_220" localSheetId="10">PlayerEntries!#REF!</definedName>
    <definedName name="ExternalData_2200" localSheetId="10">PlayerEntries!#REF!</definedName>
    <definedName name="ExternalData_2201" localSheetId="10">PlayerEntries!#REF!</definedName>
    <definedName name="ExternalData_2202" localSheetId="10">PlayerEntries!#REF!</definedName>
    <definedName name="ExternalData_2203" localSheetId="10">PlayerEntries!#REF!</definedName>
    <definedName name="ExternalData_2204" localSheetId="10">PlayerEntries!#REF!</definedName>
    <definedName name="ExternalData_2205" localSheetId="10">PlayerEntries!#REF!</definedName>
    <definedName name="ExternalData_2206" localSheetId="10">PlayerEntries!#REF!</definedName>
    <definedName name="ExternalData_2207" localSheetId="10">PlayerEntries!#REF!</definedName>
    <definedName name="ExternalData_2208" localSheetId="10">PlayerEntries!#REF!</definedName>
    <definedName name="ExternalData_2209" localSheetId="10">PlayerEntries!#REF!</definedName>
    <definedName name="ExternalData_221" localSheetId="10">PlayerEntries!#REF!</definedName>
    <definedName name="ExternalData_2210" localSheetId="10">PlayerEntries!#REF!</definedName>
    <definedName name="ExternalData_2211" localSheetId="10">PlayerEntries!#REF!</definedName>
    <definedName name="ExternalData_2212" localSheetId="10">PlayerEntries!#REF!</definedName>
    <definedName name="ExternalData_2213" localSheetId="10">PlayerEntries!#REF!</definedName>
    <definedName name="ExternalData_2214" localSheetId="10">PlayerEntries!#REF!</definedName>
    <definedName name="ExternalData_2215" localSheetId="10">PlayerEntries!#REF!</definedName>
    <definedName name="ExternalData_2216" localSheetId="10">PlayerEntries!#REF!</definedName>
    <definedName name="ExternalData_2217" localSheetId="10">PlayerEntries!#REF!</definedName>
    <definedName name="ExternalData_2218" localSheetId="10">PlayerEntries!#REF!</definedName>
    <definedName name="ExternalData_2219" localSheetId="10">PlayerEntries!#REF!</definedName>
    <definedName name="ExternalData_222" localSheetId="10">PlayerEntries!#REF!</definedName>
    <definedName name="ExternalData_2220" localSheetId="10">PlayerEntries!#REF!</definedName>
    <definedName name="ExternalData_2221" localSheetId="10">PlayerEntries!#REF!</definedName>
    <definedName name="ExternalData_2222" localSheetId="10">PlayerEntries!#REF!</definedName>
    <definedName name="ExternalData_2223" localSheetId="10">PlayerEntries!#REF!</definedName>
    <definedName name="ExternalData_2224" localSheetId="10">PlayerEntries!#REF!</definedName>
    <definedName name="ExternalData_2225" localSheetId="10">PlayerEntries!#REF!</definedName>
    <definedName name="ExternalData_2226" localSheetId="10">PlayerEntries!#REF!</definedName>
    <definedName name="ExternalData_2227" localSheetId="10">PlayerEntries!#REF!</definedName>
    <definedName name="ExternalData_2228" localSheetId="10">PlayerEntries!#REF!</definedName>
    <definedName name="ExternalData_2229" localSheetId="10">PlayerEntries!#REF!</definedName>
    <definedName name="ExternalData_223" localSheetId="10">PlayerEntries!#REF!</definedName>
    <definedName name="ExternalData_2230" localSheetId="10">PlayerEntries!#REF!</definedName>
    <definedName name="ExternalData_2231" localSheetId="10">PlayerEntries!#REF!</definedName>
    <definedName name="ExternalData_2232" localSheetId="10">PlayerEntries!#REF!</definedName>
    <definedName name="ExternalData_2233" localSheetId="10">PlayerEntries!#REF!</definedName>
    <definedName name="ExternalData_2234" localSheetId="10">PlayerEntries!#REF!</definedName>
    <definedName name="ExternalData_2235" localSheetId="10">PlayerEntries!#REF!</definedName>
    <definedName name="ExternalData_2236" localSheetId="10">PlayerEntries!#REF!</definedName>
    <definedName name="ExternalData_2237" localSheetId="10">PlayerEntries!#REF!</definedName>
    <definedName name="ExternalData_2238" localSheetId="10">PlayerEntries!#REF!</definedName>
    <definedName name="ExternalData_2239" localSheetId="10">PlayerEntries!#REF!</definedName>
    <definedName name="ExternalData_224" localSheetId="10">PlayerEntries!#REF!</definedName>
    <definedName name="ExternalData_2240" localSheetId="10">PlayerEntries!#REF!</definedName>
    <definedName name="ExternalData_2241" localSheetId="10">PlayerEntries!#REF!</definedName>
    <definedName name="ExternalData_2242" localSheetId="10">PlayerEntries!#REF!</definedName>
    <definedName name="ExternalData_2243" localSheetId="10">PlayerEntries!#REF!</definedName>
    <definedName name="ExternalData_2244" localSheetId="10">PlayerEntries!#REF!</definedName>
    <definedName name="ExternalData_2245" localSheetId="10">PlayerEntries!#REF!</definedName>
    <definedName name="ExternalData_2246" localSheetId="10">PlayerEntries!#REF!</definedName>
    <definedName name="ExternalData_2247" localSheetId="10">PlayerEntries!#REF!</definedName>
    <definedName name="ExternalData_2248" localSheetId="10">PlayerEntries!#REF!</definedName>
    <definedName name="ExternalData_2249" localSheetId="10">PlayerEntries!#REF!</definedName>
    <definedName name="ExternalData_225" localSheetId="10">PlayerEntries!#REF!</definedName>
    <definedName name="ExternalData_2250" localSheetId="10">PlayerEntries!#REF!</definedName>
    <definedName name="ExternalData_2251" localSheetId="10">PlayerEntries!#REF!</definedName>
    <definedName name="ExternalData_2252" localSheetId="10">PlayerEntries!#REF!</definedName>
    <definedName name="ExternalData_2253" localSheetId="10">PlayerEntries!#REF!</definedName>
    <definedName name="ExternalData_2254" localSheetId="10">PlayerEntries!#REF!</definedName>
    <definedName name="ExternalData_2255" localSheetId="10">PlayerEntries!#REF!</definedName>
    <definedName name="ExternalData_2256" localSheetId="10">PlayerEntries!#REF!</definedName>
    <definedName name="ExternalData_2257" localSheetId="10">PlayerEntries!#REF!</definedName>
    <definedName name="ExternalData_2258" localSheetId="10">PlayerEntries!#REF!</definedName>
    <definedName name="ExternalData_2259" localSheetId="10">PlayerEntries!#REF!</definedName>
    <definedName name="ExternalData_226" localSheetId="10">PlayerEntries!#REF!</definedName>
    <definedName name="ExternalData_2260" localSheetId="10">PlayerEntries!#REF!</definedName>
    <definedName name="ExternalData_2261" localSheetId="10">PlayerEntries!#REF!</definedName>
    <definedName name="ExternalData_2262" localSheetId="10">PlayerEntries!#REF!</definedName>
    <definedName name="ExternalData_2263" localSheetId="10">PlayerEntries!#REF!</definedName>
    <definedName name="ExternalData_2264" localSheetId="10">PlayerEntries!#REF!</definedName>
    <definedName name="ExternalData_2265" localSheetId="10">PlayerEntries!#REF!</definedName>
    <definedName name="ExternalData_2266" localSheetId="10">PlayerEntries!#REF!</definedName>
    <definedName name="ExternalData_2267" localSheetId="10">PlayerEntries!#REF!</definedName>
    <definedName name="ExternalData_2268" localSheetId="10">PlayerEntries!#REF!</definedName>
    <definedName name="ExternalData_2269" localSheetId="10">PlayerEntries!#REF!</definedName>
    <definedName name="ExternalData_227" localSheetId="10">PlayerEntries!#REF!</definedName>
    <definedName name="ExternalData_2270" localSheetId="10">PlayerEntries!#REF!</definedName>
    <definedName name="ExternalData_2271" localSheetId="10">PlayerEntries!#REF!</definedName>
    <definedName name="ExternalData_2272" localSheetId="10">PlayerEntries!#REF!</definedName>
    <definedName name="ExternalData_2273" localSheetId="10">PlayerEntries!#REF!</definedName>
    <definedName name="ExternalData_2274" localSheetId="10">PlayerEntries!#REF!</definedName>
    <definedName name="ExternalData_2275" localSheetId="10">PlayerEntries!#REF!</definedName>
    <definedName name="ExternalData_2276" localSheetId="10">PlayerEntries!#REF!</definedName>
    <definedName name="ExternalData_2277" localSheetId="10">PlayerEntries!#REF!</definedName>
    <definedName name="ExternalData_2278" localSheetId="10">PlayerEntries!#REF!</definedName>
    <definedName name="ExternalData_2279" localSheetId="10">PlayerEntries!#REF!</definedName>
    <definedName name="ExternalData_228" localSheetId="10">PlayerEntries!#REF!</definedName>
    <definedName name="ExternalData_2280" localSheetId="10">PlayerEntries!#REF!</definedName>
    <definedName name="ExternalData_2281" localSheetId="10">PlayerEntries!#REF!</definedName>
    <definedName name="ExternalData_2282" localSheetId="10">PlayerEntries!#REF!</definedName>
    <definedName name="ExternalData_2283" localSheetId="10">PlayerEntries!#REF!</definedName>
    <definedName name="ExternalData_2284" localSheetId="10">PlayerEntries!#REF!</definedName>
    <definedName name="ExternalData_2285" localSheetId="10">PlayerEntries!#REF!</definedName>
    <definedName name="ExternalData_2286" localSheetId="10">PlayerEntries!#REF!</definedName>
    <definedName name="ExternalData_2287" localSheetId="10">PlayerEntries!#REF!</definedName>
    <definedName name="ExternalData_2288" localSheetId="10">PlayerEntries!#REF!</definedName>
    <definedName name="ExternalData_2289" localSheetId="10">PlayerEntries!#REF!</definedName>
    <definedName name="ExternalData_229" localSheetId="10">PlayerEntries!#REF!</definedName>
    <definedName name="ExternalData_2290" localSheetId="10">PlayerEntries!#REF!</definedName>
    <definedName name="ExternalData_2291" localSheetId="10">PlayerEntries!#REF!</definedName>
    <definedName name="ExternalData_2292" localSheetId="10">PlayerEntries!#REF!</definedName>
    <definedName name="ExternalData_2293" localSheetId="10">PlayerEntries!#REF!</definedName>
    <definedName name="ExternalData_2294" localSheetId="10">PlayerEntries!#REF!</definedName>
    <definedName name="ExternalData_2295" localSheetId="10">PlayerEntries!#REF!</definedName>
    <definedName name="ExternalData_2296" localSheetId="10">PlayerEntries!#REF!</definedName>
    <definedName name="ExternalData_2297" localSheetId="10">PlayerEntries!#REF!</definedName>
    <definedName name="ExternalData_2298" localSheetId="10">PlayerEntries!#REF!</definedName>
    <definedName name="ExternalData_2299" localSheetId="10">PlayerEntries!#REF!</definedName>
    <definedName name="ExternalData_23" localSheetId="14">iDSTTAData!$B$1:$E$489</definedName>
    <definedName name="ExternalData_23" localSheetId="15">iRanking!$A$1:$K$359</definedName>
    <definedName name="ExternalData_23" localSheetId="10">PlayerEntries!#REF!</definedName>
    <definedName name="ExternalData_230" localSheetId="10">PlayerEntries!#REF!</definedName>
    <definedName name="ExternalData_2300" localSheetId="10">PlayerEntries!#REF!</definedName>
    <definedName name="ExternalData_2301" localSheetId="10">PlayerEntries!#REF!</definedName>
    <definedName name="ExternalData_2302" localSheetId="10">PlayerEntries!#REF!</definedName>
    <definedName name="ExternalData_2303" localSheetId="10">PlayerEntries!#REF!</definedName>
    <definedName name="ExternalData_2304" localSheetId="10">PlayerEntries!#REF!</definedName>
    <definedName name="ExternalData_2305" localSheetId="10">PlayerEntries!#REF!</definedName>
    <definedName name="ExternalData_2306" localSheetId="10">PlayerEntries!#REF!</definedName>
    <definedName name="ExternalData_2307" localSheetId="10">PlayerEntries!#REF!</definedName>
    <definedName name="ExternalData_2308" localSheetId="10">PlayerEntries!#REF!</definedName>
    <definedName name="ExternalData_2309" localSheetId="10">PlayerEntries!#REF!</definedName>
    <definedName name="ExternalData_231" localSheetId="10">PlayerEntries!#REF!</definedName>
    <definedName name="ExternalData_2310" localSheetId="10">PlayerEntries!#REF!</definedName>
    <definedName name="ExternalData_2311" localSheetId="10">PlayerEntries!#REF!</definedName>
    <definedName name="ExternalData_2312" localSheetId="10">PlayerEntries!#REF!</definedName>
    <definedName name="ExternalData_2313" localSheetId="10">PlayerEntries!#REF!</definedName>
    <definedName name="ExternalData_2314" localSheetId="10">PlayerEntries!#REF!</definedName>
    <definedName name="ExternalData_2315" localSheetId="10">PlayerEntries!#REF!</definedName>
    <definedName name="ExternalData_2316" localSheetId="10">PlayerEntries!#REF!</definedName>
    <definedName name="ExternalData_2317" localSheetId="10">PlayerEntries!#REF!</definedName>
    <definedName name="ExternalData_2318" localSheetId="10">PlayerEntries!#REF!</definedName>
    <definedName name="ExternalData_2319" localSheetId="10">PlayerEntries!#REF!</definedName>
    <definedName name="ExternalData_232" localSheetId="10">PlayerEntries!#REF!</definedName>
    <definedName name="ExternalData_2320" localSheetId="10">PlayerEntries!#REF!</definedName>
    <definedName name="ExternalData_2321" localSheetId="10">PlayerEntries!#REF!</definedName>
    <definedName name="ExternalData_2322" localSheetId="10">PlayerEntries!#REF!</definedName>
    <definedName name="ExternalData_2323" localSheetId="10">PlayerEntries!#REF!</definedName>
    <definedName name="ExternalData_2324" localSheetId="10">PlayerEntries!#REF!</definedName>
    <definedName name="ExternalData_2325" localSheetId="10">PlayerEntries!#REF!</definedName>
    <definedName name="ExternalData_2326" localSheetId="10">PlayerEntries!#REF!</definedName>
    <definedName name="ExternalData_2327" localSheetId="10">PlayerEntries!#REF!</definedName>
    <definedName name="ExternalData_2328" localSheetId="10">PlayerEntries!#REF!</definedName>
    <definedName name="ExternalData_2329" localSheetId="10">PlayerEntries!#REF!</definedName>
    <definedName name="ExternalData_233" localSheetId="10">PlayerEntries!#REF!</definedName>
    <definedName name="ExternalData_2330" localSheetId="10">PlayerEntries!#REF!</definedName>
    <definedName name="ExternalData_2331" localSheetId="10">PlayerEntries!#REF!</definedName>
    <definedName name="ExternalData_2332" localSheetId="10">PlayerEntries!#REF!</definedName>
    <definedName name="ExternalData_2333" localSheetId="10">PlayerEntries!#REF!</definedName>
    <definedName name="ExternalData_2334" localSheetId="10">PlayerEntries!#REF!</definedName>
    <definedName name="ExternalData_2335" localSheetId="10">PlayerEntries!#REF!</definedName>
    <definedName name="ExternalData_2336" localSheetId="10">PlayerEntries!#REF!</definedName>
    <definedName name="ExternalData_2337" localSheetId="10">PlayerEntries!#REF!</definedName>
    <definedName name="ExternalData_2338" localSheetId="10">PlayerEntries!#REF!</definedName>
    <definedName name="ExternalData_2339" localSheetId="10">PlayerEntries!#REF!</definedName>
    <definedName name="ExternalData_234" localSheetId="10">PlayerEntries!#REF!</definedName>
    <definedName name="ExternalData_2340" localSheetId="10">PlayerEntries!#REF!</definedName>
    <definedName name="ExternalData_2341" localSheetId="10">PlayerEntries!#REF!</definedName>
    <definedName name="ExternalData_2342" localSheetId="10">PlayerEntries!#REF!</definedName>
    <definedName name="ExternalData_2343" localSheetId="10">PlayerEntries!#REF!</definedName>
    <definedName name="ExternalData_2344" localSheetId="10">PlayerEntries!#REF!</definedName>
    <definedName name="ExternalData_2345" localSheetId="10">PlayerEntries!#REF!</definedName>
    <definedName name="ExternalData_2346" localSheetId="10">PlayerEntries!#REF!</definedName>
    <definedName name="ExternalData_2347" localSheetId="10">PlayerEntries!#REF!</definedName>
    <definedName name="ExternalData_2348" localSheetId="10">PlayerEntries!#REF!</definedName>
    <definedName name="ExternalData_2349" localSheetId="10">PlayerEntries!#REF!</definedName>
    <definedName name="ExternalData_235" localSheetId="10">PlayerEntries!#REF!</definedName>
    <definedName name="ExternalData_2350" localSheetId="10">PlayerEntries!#REF!</definedName>
    <definedName name="ExternalData_2351" localSheetId="10">PlayerEntries!#REF!</definedName>
    <definedName name="ExternalData_2352" localSheetId="10">PlayerEntries!#REF!</definedName>
    <definedName name="ExternalData_2353" localSheetId="10">PlayerEntries!#REF!</definedName>
    <definedName name="ExternalData_2354" localSheetId="10">PlayerEntries!#REF!</definedName>
    <definedName name="ExternalData_2355" localSheetId="10">PlayerEntries!#REF!</definedName>
    <definedName name="ExternalData_2356" localSheetId="10">PlayerEntries!#REF!</definedName>
    <definedName name="ExternalData_2357" localSheetId="10">PlayerEntries!#REF!</definedName>
    <definedName name="ExternalData_2358" localSheetId="10">PlayerEntries!#REF!</definedName>
    <definedName name="ExternalData_2359" localSheetId="10">PlayerEntries!#REF!</definedName>
    <definedName name="ExternalData_236" localSheetId="10">PlayerEntries!#REF!</definedName>
    <definedName name="ExternalData_2360" localSheetId="10">PlayerEntries!#REF!</definedName>
    <definedName name="ExternalData_2361" localSheetId="10">PlayerEntries!#REF!</definedName>
    <definedName name="ExternalData_2362" localSheetId="10">PlayerEntries!#REF!</definedName>
    <definedName name="ExternalData_2363" localSheetId="10">PlayerEntries!#REF!</definedName>
    <definedName name="ExternalData_2364" localSheetId="10">PlayerEntries!#REF!</definedName>
    <definedName name="ExternalData_2365" localSheetId="10">PlayerEntries!#REF!</definedName>
    <definedName name="ExternalData_2366" localSheetId="10">PlayerEntries!#REF!</definedName>
    <definedName name="ExternalData_2367" localSheetId="10">PlayerEntries!#REF!</definedName>
    <definedName name="ExternalData_2368" localSheetId="10">PlayerEntries!#REF!</definedName>
    <definedName name="ExternalData_2369" localSheetId="10">PlayerEntries!#REF!</definedName>
    <definedName name="ExternalData_237" localSheetId="10">PlayerEntries!#REF!</definedName>
    <definedName name="ExternalData_2370" localSheetId="10">PlayerEntries!#REF!</definedName>
    <definedName name="ExternalData_2371" localSheetId="10">PlayerEntries!#REF!</definedName>
    <definedName name="ExternalData_2372" localSheetId="10">PlayerEntries!#REF!</definedName>
    <definedName name="ExternalData_2373" localSheetId="10">PlayerEntries!#REF!</definedName>
    <definedName name="ExternalData_2374" localSheetId="10">PlayerEntries!#REF!</definedName>
    <definedName name="ExternalData_2375" localSheetId="10">PlayerEntries!#REF!</definedName>
    <definedName name="ExternalData_2376" localSheetId="10">PlayerEntries!#REF!</definedName>
    <definedName name="ExternalData_2377" localSheetId="10">PlayerEntries!#REF!</definedName>
    <definedName name="ExternalData_2378" localSheetId="10">PlayerEntries!#REF!</definedName>
    <definedName name="ExternalData_2379" localSheetId="10">PlayerEntries!#REF!</definedName>
    <definedName name="ExternalData_238" localSheetId="10">PlayerEntries!#REF!</definedName>
    <definedName name="ExternalData_2380" localSheetId="10">PlayerEntries!#REF!</definedName>
    <definedName name="ExternalData_2381" localSheetId="10">PlayerEntries!#REF!</definedName>
    <definedName name="ExternalData_2382" localSheetId="10">PlayerEntries!#REF!</definedName>
    <definedName name="ExternalData_2383" localSheetId="10">PlayerEntries!#REF!</definedName>
    <definedName name="ExternalData_2384" localSheetId="10">PlayerEntries!#REF!</definedName>
    <definedName name="ExternalData_2385" localSheetId="10">PlayerEntries!#REF!</definedName>
    <definedName name="ExternalData_2386" localSheetId="10">PlayerEntries!#REF!</definedName>
    <definedName name="ExternalData_2387" localSheetId="10">PlayerEntries!#REF!</definedName>
    <definedName name="ExternalData_2388" localSheetId="10">PlayerEntries!#REF!</definedName>
    <definedName name="ExternalData_2389" localSheetId="10">PlayerEntries!#REF!</definedName>
    <definedName name="ExternalData_239" localSheetId="10">PlayerEntries!#REF!</definedName>
    <definedName name="ExternalData_2390" localSheetId="10">PlayerEntries!#REF!</definedName>
    <definedName name="ExternalData_2391" localSheetId="10">PlayerEntries!#REF!</definedName>
    <definedName name="ExternalData_2392" localSheetId="10">PlayerEntries!#REF!</definedName>
    <definedName name="ExternalData_2393" localSheetId="10">PlayerEntries!#REF!</definedName>
    <definedName name="ExternalData_2394" localSheetId="10">PlayerEntries!#REF!</definedName>
    <definedName name="ExternalData_2395" localSheetId="10">PlayerEntries!#REF!</definedName>
    <definedName name="ExternalData_2396" localSheetId="10">PlayerEntries!#REF!</definedName>
    <definedName name="ExternalData_2397" localSheetId="10">PlayerEntries!#REF!</definedName>
    <definedName name="ExternalData_2398" localSheetId="10">PlayerEntries!#REF!</definedName>
    <definedName name="ExternalData_2399" localSheetId="10">PlayerEntries!#REF!</definedName>
    <definedName name="ExternalData_24" localSheetId="14">iDSTTAData!$B$1:$E$489</definedName>
    <definedName name="ExternalData_24" localSheetId="15">iRanking!$A$1:$K$359</definedName>
    <definedName name="ExternalData_24" localSheetId="10">PlayerEntries!#REF!</definedName>
    <definedName name="ExternalData_240" localSheetId="10">PlayerEntries!#REF!</definedName>
    <definedName name="ExternalData_2400" localSheetId="10">PlayerEntries!#REF!</definedName>
    <definedName name="ExternalData_2401" localSheetId="10">PlayerEntries!#REF!</definedName>
    <definedName name="ExternalData_2402" localSheetId="10">PlayerEntries!#REF!</definedName>
    <definedName name="ExternalData_2403" localSheetId="10">PlayerEntries!#REF!</definedName>
    <definedName name="ExternalData_2404" localSheetId="10">PlayerEntries!#REF!</definedName>
    <definedName name="ExternalData_2405" localSheetId="10">PlayerEntries!#REF!</definedName>
    <definedName name="ExternalData_2406" localSheetId="10">PlayerEntries!#REF!</definedName>
    <definedName name="ExternalData_2407" localSheetId="10">PlayerEntries!#REF!</definedName>
    <definedName name="ExternalData_2408" localSheetId="10">PlayerEntries!#REF!</definedName>
    <definedName name="ExternalData_2409" localSheetId="10">PlayerEntries!#REF!</definedName>
    <definedName name="ExternalData_241" localSheetId="10">PlayerEntries!#REF!</definedName>
    <definedName name="ExternalData_2410" localSheetId="10">PlayerEntries!#REF!</definedName>
    <definedName name="ExternalData_2411" localSheetId="10">PlayerEntries!#REF!</definedName>
    <definedName name="ExternalData_2412" localSheetId="10">PlayerEntries!#REF!</definedName>
    <definedName name="ExternalData_2413" localSheetId="10">PlayerEntries!#REF!</definedName>
    <definedName name="ExternalData_2414" localSheetId="10">PlayerEntries!#REF!</definedName>
    <definedName name="ExternalData_2415" localSheetId="10">PlayerEntries!#REF!</definedName>
    <definedName name="ExternalData_2416" localSheetId="10">PlayerEntries!#REF!</definedName>
    <definedName name="ExternalData_2417" localSheetId="10">PlayerEntries!#REF!</definedName>
    <definedName name="ExternalData_2418" localSheetId="10">PlayerEntries!#REF!</definedName>
    <definedName name="ExternalData_2419" localSheetId="10">PlayerEntries!#REF!</definedName>
    <definedName name="ExternalData_242" localSheetId="10">PlayerEntries!#REF!</definedName>
    <definedName name="ExternalData_2420" localSheetId="10">PlayerEntries!#REF!</definedName>
    <definedName name="ExternalData_2421" localSheetId="10">PlayerEntries!#REF!</definedName>
    <definedName name="ExternalData_2422" localSheetId="10">PlayerEntries!#REF!</definedName>
    <definedName name="ExternalData_2423" localSheetId="10">PlayerEntries!#REF!</definedName>
    <definedName name="ExternalData_2424" localSheetId="10">PlayerEntries!#REF!</definedName>
    <definedName name="ExternalData_2425" localSheetId="10">PlayerEntries!#REF!</definedName>
    <definedName name="ExternalData_2426" localSheetId="10">PlayerEntries!#REF!</definedName>
    <definedName name="ExternalData_2427" localSheetId="10">PlayerEntries!#REF!</definedName>
    <definedName name="ExternalData_2428" localSheetId="10">PlayerEntries!#REF!</definedName>
    <definedName name="ExternalData_2429" localSheetId="10">PlayerEntries!#REF!</definedName>
    <definedName name="ExternalData_243" localSheetId="10">PlayerEntries!#REF!</definedName>
    <definedName name="ExternalData_2430" localSheetId="10">PlayerEntries!#REF!</definedName>
    <definedName name="ExternalData_2431" localSheetId="10">PlayerEntries!#REF!</definedName>
    <definedName name="ExternalData_2432" localSheetId="10">PlayerEntries!#REF!</definedName>
    <definedName name="ExternalData_2433" localSheetId="10">PlayerEntries!#REF!</definedName>
    <definedName name="ExternalData_2434" localSheetId="10">PlayerEntries!#REF!</definedName>
    <definedName name="ExternalData_2435" localSheetId="10">PlayerEntries!#REF!</definedName>
    <definedName name="ExternalData_2436" localSheetId="10">PlayerEntries!#REF!</definedName>
    <definedName name="ExternalData_2437" localSheetId="10">PlayerEntries!#REF!</definedName>
    <definedName name="ExternalData_2438" localSheetId="10">PlayerEntries!#REF!</definedName>
    <definedName name="ExternalData_2439" localSheetId="10">PlayerEntries!#REF!</definedName>
    <definedName name="ExternalData_244" localSheetId="10">PlayerEntries!#REF!</definedName>
    <definedName name="ExternalData_2440" localSheetId="10">PlayerEntries!#REF!</definedName>
    <definedName name="ExternalData_2441" localSheetId="10">PlayerEntries!#REF!</definedName>
    <definedName name="ExternalData_2442" localSheetId="10">PlayerEntries!#REF!</definedName>
    <definedName name="ExternalData_2443" localSheetId="10">PlayerEntries!#REF!</definedName>
    <definedName name="ExternalData_2444" localSheetId="10">PlayerEntries!#REF!</definedName>
    <definedName name="ExternalData_2445" localSheetId="10">PlayerEntries!#REF!</definedName>
    <definedName name="ExternalData_2446" localSheetId="10">PlayerEntries!#REF!</definedName>
    <definedName name="ExternalData_2447" localSheetId="10">PlayerEntries!#REF!</definedName>
    <definedName name="ExternalData_2448" localSheetId="10">PlayerEntries!#REF!</definedName>
    <definedName name="ExternalData_2449" localSheetId="10">PlayerEntries!#REF!</definedName>
    <definedName name="ExternalData_245" localSheetId="10">PlayerEntries!#REF!</definedName>
    <definedName name="ExternalData_2450" localSheetId="10">PlayerEntries!#REF!</definedName>
    <definedName name="ExternalData_2451" localSheetId="10">PlayerEntries!#REF!</definedName>
    <definedName name="ExternalData_2452" localSheetId="10">PlayerEntries!#REF!</definedName>
    <definedName name="ExternalData_2453" localSheetId="10">PlayerEntries!#REF!</definedName>
    <definedName name="ExternalData_2454" localSheetId="10">PlayerEntries!#REF!</definedName>
    <definedName name="ExternalData_2455" localSheetId="10">PlayerEntries!#REF!</definedName>
    <definedName name="ExternalData_2456" localSheetId="10">PlayerEntries!#REF!</definedName>
    <definedName name="ExternalData_2457" localSheetId="10">PlayerEntries!#REF!</definedName>
    <definedName name="ExternalData_2458" localSheetId="10">PlayerEntries!#REF!</definedName>
    <definedName name="ExternalData_2459" localSheetId="10">PlayerEntries!#REF!</definedName>
    <definedName name="ExternalData_246" localSheetId="10">PlayerEntries!#REF!</definedName>
    <definedName name="ExternalData_2460" localSheetId="10">PlayerEntries!#REF!</definedName>
    <definedName name="ExternalData_2461" localSheetId="10">PlayerEntries!#REF!</definedName>
    <definedName name="ExternalData_2462" localSheetId="10">PlayerEntries!#REF!</definedName>
    <definedName name="ExternalData_2463" localSheetId="10">PlayerEntries!#REF!</definedName>
    <definedName name="ExternalData_2464" localSheetId="10">PlayerEntries!#REF!</definedName>
    <definedName name="ExternalData_2465" localSheetId="10">PlayerEntries!#REF!</definedName>
    <definedName name="ExternalData_2466" localSheetId="10">PlayerEntries!#REF!</definedName>
    <definedName name="ExternalData_2467" localSheetId="10">PlayerEntries!#REF!</definedName>
    <definedName name="ExternalData_2468" localSheetId="10">PlayerEntries!#REF!</definedName>
    <definedName name="ExternalData_2469" localSheetId="10">PlayerEntries!#REF!</definedName>
    <definedName name="ExternalData_247" localSheetId="10">PlayerEntries!#REF!</definedName>
    <definedName name="ExternalData_2470" localSheetId="10">PlayerEntries!#REF!</definedName>
    <definedName name="ExternalData_2471" localSheetId="10">PlayerEntries!#REF!</definedName>
    <definedName name="ExternalData_2472" localSheetId="10">PlayerEntries!#REF!</definedName>
    <definedName name="ExternalData_2473" localSheetId="10">PlayerEntries!#REF!</definedName>
    <definedName name="ExternalData_2474" localSheetId="10">PlayerEntries!#REF!</definedName>
    <definedName name="ExternalData_2475" localSheetId="10">PlayerEntries!#REF!</definedName>
    <definedName name="ExternalData_2476" localSheetId="10">PlayerEntries!#REF!</definedName>
    <definedName name="ExternalData_2477" localSheetId="10">PlayerEntries!#REF!</definedName>
    <definedName name="ExternalData_2478" localSheetId="10">PlayerEntries!#REF!</definedName>
    <definedName name="ExternalData_2479" localSheetId="10">PlayerEntries!#REF!</definedName>
    <definedName name="ExternalData_248" localSheetId="10">PlayerEntries!#REF!</definedName>
    <definedName name="ExternalData_2480" localSheetId="10">PlayerEntries!#REF!</definedName>
    <definedName name="ExternalData_2481" localSheetId="10">PlayerEntries!#REF!</definedName>
    <definedName name="ExternalData_2482" localSheetId="10">PlayerEntries!#REF!</definedName>
    <definedName name="ExternalData_2483" localSheetId="10">PlayerEntries!#REF!</definedName>
    <definedName name="ExternalData_2484" localSheetId="10">PlayerEntries!#REF!</definedName>
    <definedName name="ExternalData_2485" localSheetId="10">PlayerEntries!#REF!</definedName>
    <definedName name="ExternalData_2486" localSheetId="10">PlayerEntries!#REF!</definedName>
    <definedName name="ExternalData_2487" localSheetId="10">PlayerEntries!#REF!</definedName>
    <definedName name="ExternalData_2488" localSheetId="10">PlayerEntries!#REF!</definedName>
    <definedName name="ExternalData_2489" localSheetId="10">PlayerEntries!#REF!</definedName>
    <definedName name="ExternalData_249" localSheetId="10">PlayerEntries!#REF!</definedName>
    <definedName name="ExternalData_2490" localSheetId="10">PlayerEntries!#REF!</definedName>
    <definedName name="ExternalData_2491" localSheetId="10">PlayerEntries!#REF!</definedName>
    <definedName name="ExternalData_2492" localSheetId="10">PlayerEntries!#REF!</definedName>
    <definedName name="ExternalData_2493" localSheetId="10">PlayerEntries!#REF!</definedName>
    <definedName name="ExternalData_2494" localSheetId="10">PlayerEntries!#REF!</definedName>
    <definedName name="ExternalData_2495" localSheetId="10">PlayerEntries!#REF!</definedName>
    <definedName name="ExternalData_2496" localSheetId="10">PlayerEntries!#REF!</definedName>
    <definedName name="ExternalData_2497" localSheetId="10">PlayerEntries!#REF!</definedName>
    <definedName name="ExternalData_2498" localSheetId="10">PlayerEntries!#REF!</definedName>
    <definedName name="ExternalData_2499" localSheetId="10">PlayerEntries!#REF!</definedName>
    <definedName name="ExternalData_25" localSheetId="14">iDSTTAData!$B$1:$E$489</definedName>
    <definedName name="ExternalData_25" localSheetId="15">iRanking!$A$1:$K$359</definedName>
    <definedName name="ExternalData_25" localSheetId="10">PlayerEntries!#REF!</definedName>
    <definedName name="ExternalData_250" localSheetId="10">PlayerEntries!#REF!</definedName>
    <definedName name="ExternalData_2500" localSheetId="10">PlayerEntries!#REF!</definedName>
    <definedName name="ExternalData_2501" localSheetId="10">PlayerEntries!#REF!</definedName>
    <definedName name="ExternalData_2502" localSheetId="10">PlayerEntries!#REF!</definedName>
    <definedName name="ExternalData_2503" localSheetId="10">PlayerEntries!#REF!</definedName>
    <definedName name="ExternalData_2504" localSheetId="10">PlayerEntries!#REF!</definedName>
    <definedName name="ExternalData_2505" localSheetId="10">PlayerEntries!#REF!</definedName>
    <definedName name="ExternalData_2506" localSheetId="10">PlayerEntries!#REF!</definedName>
    <definedName name="ExternalData_2507" localSheetId="10">PlayerEntries!#REF!</definedName>
    <definedName name="ExternalData_2508" localSheetId="10">PlayerEntries!#REF!</definedName>
    <definedName name="ExternalData_2509" localSheetId="10">PlayerEntries!#REF!</definedName>
    <definedName name="ExternalData_251" localSheetId="10">PlayerEntries!#REF!</definedName>
    <definedName name="ExternalData_2510" localSheetId="10">PlayerEntries!#REF!</definedName>
    <definedName name="ExternalData_2511" localSheetId="10">PlayerEntries!#REF!</definedName>
    <definedName name="ExternalData_2512" localSheetId="10">PlayerEntries!#REF!</definedName>
    <definedName name="ExternalData_2513" localSheetId="10">PlayerEntries!#REF!</definedName>
    <definedName name="ExternalData_2514" localSheetId="10">PlayerEntries!#REF!</definedName>
    <definedName name="ExternalData_2515" localSheetId="10">PlayerEntries!#REF!</definedName>
    <definedName name="ExternalData_2516" localSheetId="10">PlayerEntries!#REF!</definedName>
    <definedName name="ExternalData_2517" localSheetId="10">PlayerEntries!#REF!</definedName>
    <definedName name="ExternalData_2518" localSheetId="10">PlayerEntries!$B$1:$AL$10</definedName>
    <definedName name="ExternalData_2519" localSheetId="10">PlayerEntries!$AM$1:$CJ$71</definedName>
    <definedName name="ExternalData_252" localSheetId="10">PlayerEntries!#REF!</definedName>
    <definedName name="ExternalData_2520" localSheetId="10">PlayerEntries!$AD$1:$BP$70</definedName>
    <definedName name="ExternalData_2521" localSheetId="10">PlayerEntries!$U$1:$BG$74</definedName>
    <definedName name="ExternalData_2522" localSheetId="10">PlayerEntries!$Y$1:$BK$74</definedName>
    <definedName name="ExternalData_2523" localSheetId="10">PlayerEntries!$B$1:$AN$74</definedName>
    <definedName name="ExternalData_2524" localSheetId="10">PlayerEntries!$B$1:$AL$74</definedName>
    <definedName name="ExternalData_2525" localSheetId="10">PlayerEntries!$T$1:$BF$74</definedName>
    <definedName name="ExternalData_2526" localSheetId="10">PlayerEntries!$M$1:$AY$74</definedName>
    <definedName name="ExternalData_2527" localSheetId="10">PlayerEntries!$AM$1:$CZ$70</definedName>
    <definedName name="ExternalData_2528" localSheetId="10">PlayerEntries!$AM$1:$CD$71</definedName>
    <definedName name="ExternalData_2529" localSheetId="10">PlayerEntries!$Q$1:$BC$74</definedName>
    <definedName name="ExternalData_253" localSheetId="10">PlayerEntries!#REF!</definedName>
    <definedName name="ExternalData_2530" localSheetId="10">PlayerEntries!$W$1:$BI$74</definedName>
    <definedName name="ExternalData_2531" localSheetId="10">PlayerEntries!$AM$1:$CB$71</definedName>
    <definedName name="ExternalData_2532" localSheetId="10">PlayerEntries!$AG$1:$BS$70</definedName>
    <definedName name="ExternalData_2533" localSheetId="10">PlayerEntries!$J$1:$AV$74</definedName>
    <definedName name="ExternalData_2534" localSheetId="10">PlayerEntries!$F$1:$AR$74</definedName>
    <definedName name="ExternalData_2535" localSheetId="10">PlayerEntries!$S$1:$BE$74</definedName>
    <definedName name="ExternalData_2536" localSheetId="10">PlayerEntries!$K$1:$AW$74</definedName>
    <definedName name="ExternalData_2537" localSheetId="10">PlayerEntries!$N$1:$AZ$74</definedName>
    <definedName name="ExternalData_2538" localSheetId="10">PlayerEntries!$P$1:$BB$74</definedName>
    <definedName name="ExternalData_2539" localSheetId="10">PlayerEntries!$AM$1:$CO$70</definedName>
    <definedName name="ExternalData_254" localSheetId="10">PlayerEntries!#REF!</definedName>
    <definedName name="ExternalData_2540" localSheetId="10">PlayerEntries!$R$1:$BD$74</definedName>
    <definedName name="ExternalData_2541" localSheetId="10">PlayerEntries!$AM$1:$CQ$70</definedName>
    <definedName name="ExternalData_2542" localSheetId="10">PlayerEntries!$AK$1:$BW$71</definedName>
    <definedName name="ExternalData_2543" localSheetId="10">PlayerEntries!$AM$1:$CF$71</definedName>
    <definedName name="ExternalData_2544" localSheetId="10">PlayerEntries!$AB$1:$BN$74</definedName>
    <definedName name="ExternalData_2545" localSheetId="10">PlayerEntries!$AI$1:$BU$71</definedName>
    <definedName name="ExternalData_2546" localSheetId="10">PlayerEntries!$I$1:$AU$74</definedName>
    <definedName name="ExternalData_2547" localSheetId="10">PlayerEntries!$AJ$1:$BV$71</definedName>
    <definedName name="ExternalData_2548" localSheetId="10">PlayerEntries!$AM$1:$CT$70</definedName>
    <definedName name="ExternalData_2549" localSheetId="10">PlayerEntries!$AM$1:$CN$70</definedName>
    <definedName name="ExternalData_255" localSheetId="10">PlayerEntries!#REF!</definedName>
    <definedName name="ExternalData_2550" localSheetId="10">PlayerEntries!$AM$1:$CV$70</definedName>
    <definedName name="ExternalData_2551" localSheetId="10">PlayerEntries!$E$1:$AQ$74</definedName>
    <definedName name="ExternalData_2552" localSheetId="10">PlayerEntries!$AM$1:$CY$70</definedName>
    <definedName name="ExternalData_2553" localSheetId="10">PlayerEntries!$AM$1:$CC$71</definedName>
    <definedName name="ExternalData_2554" localSheetId="10">PlayerEntries!$V$1:$BH$74</definedName>
    <definedName name="ExternalData_2555" localSheetId="10">PlayerEntries!$AM$1:$CX$70</definedName>
    <definedName name="ExternalData_2556" localSheetId="10">PlayerEntries!$B$1:$AL$74</definedName>
    <definedName name="ExternalData_2557" localSheetId="10">PlayerEntries!$AM$1:$CM$70</definedName>
    <definedName name="ExternalData_2558" localSheetId="10">PlayerEntries!$X$1:$BJ$74</definedName>
    <definedName name="ExternalData_2559" localSheetId="10">PlayerEntries!$AM$1:$DA$70</definedName>
    <definedName name="ExternalData_256" localSheetId="10">PlayerEntries!#REF!</definedName>
    <definedName name="ExternalData_2560" localSheetId="10">PlayerEntries!$AM$1:$CG$71</definedName>
    <definedName name="ExternalData_2561" localSheetId="10">PlayerEntries!$AE$1:$BQ$70</definedName>
    <definedName name="ExternalData_2562" localSheetId="10">PlayerEntries!$AM$1:$CI$71</definedName>
    <definedName name="ExternalData_2563" localSheetId="10">PlayerEntries!$AL$1:$BX$71</definedName>
    <definedName name="ExternalData_2564" localSheetId="10">PlayerEntries!$O$1:$BA$74</definedName>
    <definedName name="ExternalData_2565" localSheetId="10">PlayerEntries!$Z$1:$BL$74</definedName>
    <definedName name="ExternalData_2566" localSheetId="10">PlayerEntries!$B$1:$AM$74</definedName>
    <definedName name="ExternalData_2567" localSheetId="10">PlayerEntries!$H$1:$AT$74</definedName>
    <definedName name="ExternalData_2568" localSheetId="10">PlayerEntries!$AH$1:$BT$71</definedName>
    <definedName name="ExternalData_2569" localSheetId="10">PlayerEntries!$D$1:$AP$74</definedName>
    <definedName name="ExternalData_257" localSheetId="10">PlayerEntries!#REF!</definedName>
    <definedName name="ExternalData_2570" localSheetId="10">PlayerEntries!$AM$1:$CS$70</definedName>
    <definedName name="ExternalData_2571" localSheetId="10">PlayerEntries!$AM$1:$CW$70</definedName>
    <definedName name="ExternalData_2572" localSheetId="10">PlayerEntries!$AM$1:$CK$71</definedName>
    <definedName name="ExternalData_2573" localSheetId="10">PlayerEntries!$AM$1:$BZ$71</definedName>
    <definedName name="ExternalData_2574" localSheetId="10">PlayerEntries!$L$1:$AX$74</definedName>
    <definedName name="ExternalData_2575" localSheetId="10">PlayerEntries!$C$1:$AO$74</definedName>
    <definedName name="ExternalData_2576" localSheetId="10">PlayerEntries!$AM$1:$CH$71</definedName>
    <definedName name="ExternalData_2577" localSheetId="10">PlayerEntries!$AM$1:$CL$70</definedName>
    <definedName name="ExternalData_2578" localSheetId="10">PlayerEntries!$AM$1:$BY$71</definedName>
    <definedName name="ExternalData_2579" localSheetId="10">PlayerEntries!$AM$1:$CE$71</definedName>
    <definedName name="ExternalData_258" localSheetId="10">PlayerEntries!#REF!</definedName>
    <definedName name="ExternalData_2580" localSheetId="10">PlayerEntries!$AM$1:$CA$71</definedName>
    <definedName name="ExternalData_2581" localSheetId="10">PlayerEntries!$AM$1:$CU$70</definedName>
    <definedName name="ExternalData_2582" localSheetId="10">PlayerEntries!$AF$1:$BR$70</definedName>
    <definedName name="ExternalData_2583" localSheetId="10">PlayerEntries!$AM$1:$CP$70</definedName>
    <definedName name="ExternalData_2584" localSheetId="10">PlayerEntries!$G$1:$AS$74</definedName>
    <definedName name="ExternalData_2585" localSheetId="10">PlayerEntries!$AC$1:$BO$74</definedName>
    <definedName name="ExternalData_2586" localSheetId="10">PlayerEntries!$AA$1:$BM$74</definedName>
    <definedName name="ExternalData_2587" localSheetId="10">PlayerEntries!$AM$1:$CR$70</definedName>
    <definedName name="ExternalData_2588" localSheetId="10">PlayerEntries!$B$1:$AL$10</definedName>
    <definedName name="ExternalData_2589" localSheetId="10">PlayerEntries!$B$1:$AL$10</definedName>
    <definedName name="ExternalData_259" localSheetId="10">PlayerEntries!#REF!</definedName>
    <definedName name="ExternalData_2590" localSheetId="10">PlayerEntries!$AM$1:$CK$71</definedName>
    <definedName name="ExternalData_2591" localSheetId="10">PlayerEntries!$AE$1:$BQ$70</definedName>
    <definedName name="ExternalData_2592" localSheetId="10">PlayerEntries!$V$1:$BH$74</definedName>
    <definedName name="ExternalData_2593" localSheetId="10">PlayerEntries!$Z$1:$BL$74</definedName>
    <definedName name="ExternalData_2594" localSheetId="10">PlayerEntries!$C$1:$AO$74</definedName>
    <definedName name="ExternalData_2595" localSheetId="10">PlayerEntries!$B$1:$AL$74</definedName>
    <definedName name="ExternalData_2596" localSheetId="10">PlayerEntries!$U$1:$BG$74</definedName>
    <definedName name="ExternalData_2597" localSheetId="10">PlayerEntries!$N$1:$AZ$74</definedName>
    <definedName name="ExternalData_2598" localSheetId="10">PlayerEntries!$AM$1:$DA$70</definedName>
    <definedName name="ExternalData_2599" localSheetId="10">PlayerEntries!$AM$1:$CE$71</definedName>
    <definedName name="ExternalData_26" localSheetId="14">iDSTTAData!$B$1:$E$489</definedName>
    <definedName name="ExternalData_26" localSheetId="15">iRanking!$A$1:$K$359</definedName>
    <definedName name="ExternalData_26" localSheetId="10">PlayerEntries!#REF!</definedName>
    <definedName name="ExternalData_260" localSheetId="10">PlayerEntries!#REF!</definedName>
    <definedName name="ExternalData_2600" localSheetId="10">PlayerEntries!$R$1:$BD$74</definedName>
    <definedName name="ExternalData_2601" localSheetId="10">PlayerEntries!$X$1:$BJ$74</definedName>
    <definedName name="ExternalData_2602" localSheetId="10">PlayerEntries!$AM$1:$CC$71</definedName>
    <definedName name="ExternalData_2603" localSheetId="10">PlayerEntries!$AH$1:$BT$70</definedName>
    <definedName name="ExternalData_2604" localSheetId="10">PlayerEntries!$K$1:$AW$74</definedName>
    <definedName name="ExternalData_2605" localSheetId="10">PlayerEntries!$G$1:$AS$74</definedName>
    <definedName name="ExternalData_2606" localSheetId="10">PlayerEntries!$T$1:$BF$74</definedName>
    <definedName name="ExternalData_2607" localSheetId="10">PlayerEntries!$L$1:$AX$74</definedName>
    <definedName name="ExternalData_2608" localSheetId="10">PlayerEntries!$O$1:$BA$74</definedName>
    <definedName name="ExternalData_2609" localSheetId="10">PlayerEntries!$Q$1:$BC$74</definedName>
    <definedName name="ExternalData_261" localSheetId="10">PlayerEntries!#REF!</definedName>
    <definedName name="ExternalData_2610" localSheetId="10">PlayerEntries!$AM$1:$CP$70</definedName>
    <definedName name="ExternalData_2611" localSheetId="10">PlayerEntries!$S$1:$BE$74</definedName>
    <definedName name="ExternalData_2612" localSheetId="10">PlayerEntries!$AM$1:$CR$70</definedName>
    <definedName name="ExternalData_2613" localSheetId="10">PlayerEntries!$AL$1:$BX$71</definedName>
    <definedName name="ExternalData_2614" localSheetId="10">PlayerEntries!$AM$1:$CG$71</definedName>
    <definedName name="ExternalData_2615" localSheetId="10">PlayerEntries!$AC$1:$BO$74</definedName>
    <definedName name="ExternalData_2616" localSheetId="10">PlayerEntries!$AJ$1:$BV$71</definedName>
    <definedName name="ExternalData_2617" localSheetId="10">PlayerEntries!$J$1:$AV$74</definedName>
    <definedName name="ExternalData_2618" localSheetId="10">PlayerEntries!$AK$1:$BW$71</definedName>
    <definedName name="ExternalData_2619" localSheetId="10">PlayerEntries!$AM$1:$CU$70</definedName>
    <definedName name="ExternalData_262" localSheetId="10">PlayerEntries!#REF!</definedName>
    <definedName name="ExternalData_2620" localSheetId="10">PlayerEntries!$AM$1:$CO$70</definedName>
    <definedName name="ExternalData_2621" localSheetId="10">PlayerEntries!$AM$1:$CW$70</definedName>
    <definedName name="ExternalData_2622" localSheetId="10">PlayerEntries!$F$1:$AR$74</definedName>
    <definedName name="ExternalData_2623" localSheetId="10">PlayerEntries!$AM$1:$CZ$70</definedName>
    <definedName name="ExternalData_2624" localSheetId="10">PlayerEntries!$AM$1:$CD$71</definedName>
    <definedName name="ExternalData_2625" localSheetId="10">PlayerEntries!$W$1:$BI$74</definedName>
    <definedName name="ExternalData_2626" localSheetId="10">PlayerEntries!$AM$1:$CY$70</definedName>
    <definedName name="ExternalData_2627" localSheetId="10">PlayerEntries!$B$1:$AM$74</definedName>
    <definedName name="ExternalData_2628" localSheetId="10">PlayerEntries!$AM$1:$CN$70</definedName>
    <definedName name="ExternalData_2629" localSheetId="10">PlayerEntries!$Y$1:$BK$74</definedName>
    <definedName name="ExternalData_263" localSheetId="10">PlayerEntries!#REF!</definedName>
    <definedName name="ExternalData_2630" localSheetId="10">PlayerEntries!$AM$1:$DB$70</definedName>
    <definedName name="ExternalData_2631" localSheetId="10">PlayerEntries!$AM$1:$CH$71</definedName>
    <definedName name="ExternalData_2632" localSheetId="10">PlayerEntries!$AF$1:$BR$70</definedName>
    <definedName name="ExternalData_2633" localSheetId="10">PlayerEntries!$AM$1:$CJ$71</definedName>
    <definedName name="ExternalData_2634" localSheetId="10">PlayerEntries!$AM$1:$BY$71</definedName>
    <definedName name="ExternalData_2635" localSheetId="10">PlayerEntries!$P$1:$BB$74</definedName>
    <definedName name="ExternalData_2636" localSheetId="10">PlayerEntries!$AA$1:$BM$74</definedName>
    <definedName name="ExternalData_2637" localSheetId="10">PlayerEntries!$B$1:$AN$74</definedName>
    <definedName name="ExternalData_2638" localSheetId="10">PlayerEntries!$I$1:$AU$74</definedName>
    <definedName name="ExternalData_2639" localSheetId="10">PlayerEntries!$AI$1:$BU$71</definedName>
    <definedName name="ExternalData_264" localSheetId="10">PlayerEntries!#REF!</definedName>
    <definedName name="ExternalData_2640" localSheetId="10">PlayerEntries!$E$1:$AQ$74</definedName>
    <definedName name="ExternalData_2641" localSheetId="10">PlayerEntries!$AM$1:$CT$70</definedName>
    <definedName name="ExternalData_2642" localSheetId="10">PlayerEntries!$AM$1:$CX$70</definedName>
    <definedName name="ExternalData_2643" localSheetId="10">PlayerEntries!$AM$1:$CL$71</definedName>
    <definedName name="ExternalData_2644" localSheetId="10">PlayerEntries!$AM$1:$CA$71</definedName>
    <definedName name="ExternalData_2645" localSheetId="10">PlayerEntries!$M$1:$AY$74</definedName>
    <definedName name="ExternalData_2646" localSheetId="10">PlayerEntries!$D$1:$AP$74</definedName>
    <definedName name="ExternalData_2647" localSheetId="10">PlayerEntries!$AM$1:$CI$71</definedName>
    <definedName name="ExternalData_2648" localSheetId="10">PlayerEntries!$AM$1:$CM$70</definedName>
    <definedName name="ExternalData_2649" localSheetId="10">PlayerEntries!$AM$1:$BZ$71</definedName>
    <definedName name="ExternalData_265" localSheetId="10">PlayerEntries!#REF!</definedName>
    <definedName name="ExternalData_2650" localSheetId="10">PlayerEntries!$AM$1:$CF$71</definedName>
    <definedName name="ExternalData_2651" localSheetId="10">PlayerEntries!$AM$1:$CB$71</definedName>
    <definedName name="ExternalData_2652" localSheetId="10">PlayerEntries!$AM$1:$CV$70</definedName>
    <definedName name="ExternalData_2653" localSheetId="10">PlayerEntries!$AG$1:$BS$70</definedName>
    <definedName name="ExternalData_2654" localSheetId="10">PlayerEntries!$AM$1:$CQ$70</definedName>
    <definedName name="ExternalData_2655" localSheetId="10">PlayerEntries!$H$1:$AT$74</definedName>
    <definedName name="ExternalData_2656" localSheetId="10">PlayerEntries!$AD$1:$BP$74</definedName>
    <definedName name="ExternalData_2657" localSheetId="10">PlayerEntries!$AB$1:$BN$74</definedName>
    <definedName name="ExternalData_2658" localSheetId="10">PlayerEntries!$AM$1:$CS$70</definedName>
    <definedName name="ExternalData_2659" localSheetId="10">PlayerEntries!$B$1:$AL$10</definedName>
    <definedName name="ExternalData_266" localSheetId="10">PlayerEntries!#REF!</definedName>
    <definedName name="ExternalData_2660" localSheetId="10">PlayerEntries!$B$1:$AL$10</definedName>
    <definedName name="ExternalData_2661" localSheetId="10">PlayerEntries!$AM$1:$CL$71</definedName>
    <definedName name="ExternalData_2662" localSheetId="10">PlayerEntries!$AF$1:$BR$70</definedName>
    <definedName name="ExternalData_2663" localSheetId="10">PlayerEntries!$W$1:$BI$74</definedName>
    <definedName name="ExternalData_2664" localSheetId="10">PlayerEntries!$AA$1:$BM$74</definedName>
    <definedName name="ExternalData_2665" localSheetId="10">PlayerEntries!$D$1:$AP$74</definedName>
    <definedName name="ExternalData_2666" localSheetId="10">PlayerEntries!$B$1:$AM$74</definedName>
    <definedName name="ExternalData_2667" localSheetId="10">PlayerEntries!$V$1:$BH$74</definedName>
    <definedName name="ExternalData_2668" localSheetId="10">PlayerEntries!$O$1:$BA$74</definedName>
    <definedName name="ExternalData_2669" localSheetId="10">PlayerEntries!$AM$1:$DB$70</definedName>
    <definedName name="ExternalData_267" localSheetId="10">PlayerEntries!#REF!</definedName>
    <definedName name="ExternalData_2670" localSheetId="10">PlayerEntries!$AM$1:$CF$71</definedName>
    <definedName name="ExternalData_2671" localSheetId="10">PlayerEntries!$S$1:$BE$74</definedName>
    <definedName name="ExternalData_2672" localSheetId="10">PlayerEntries!$Y$1:$BK$74</definedName>
    <definedName name="ExternalData_2673" localSheetId="10">PlayerEntries!$AM$1:$CD$71</definedName>
    <definedName name="ExternalData_2674" localSheetId="10">PlayerEntries!$AI$1:$BU$70</definedName>
    <definedName name="ExternalData_2675" localSheetId="10">PlayerEntries!$L$1:$AX$74</definedName>
    <definedName name="ExternalData_2676" localSheetId="10">PlayerEntries!$H$1:$AT$74</definedName>
    <definedName name="ExternalData_2677" localSheetId="10">PlayerEntries!$U$1:$BG$74</definedName>
    <definedName name="ExternalData_2678" localSheetId="10">PlayerEntries!$M$1:$AY$74</definedName>
    <definedName name="ExternalData_2679" localSheetId="10">PlayerEntries!$P$1:$BB$74</definedName>
    <definedName name="ExternalData_268" localSheetId="10">PlayerEntries!#REF!</definedName>
    <definedName name="ExternalData_2680" localSheetId="10">PlayerEntries!$R$1:$BD$74</definedName>
    <definedName name="ExternalData_2681" localSheetId="10">PlayerEntries!$AM$1:$CQ$70</definedName>
    <definedName name="ExternalData_2682" localSheetId="10">PlayerEntries!$T$1:$BF$74</definedName>
    <definedName name="ExternalData_2683" localSheetId="10">PlayerEntries!$AM$1:$CS$70</definedName>
    <definedName name="ExternalData_2684" localSheetId="10">PlayerEntries!$AM$1:$BY$71</definedName>
    <definedName name="ExternalData_2685" localSheetId="10">PlayerEntries!$AM$1:$CH$71</definedName>
    <definedName name="ExternalData_2686" localSheetId="10">PlayerEntries!$AD$1:$BP$74</definedName>
    <definedName name="ExternalData_2687" localSheetId="10">PlayerEntries!$AK$1:$BW$71</definedName>
    <definedName name="ExternalData_2688" localSheetId="10">PlayerEntries!$K$1:$AW$74</definedName>
    <definedName name="ExternalData_2689" localSheetId="10">PlayerEntries!$AL$1:$BX$71</definedName>
    <definedName name="ExternalData_269" localSheetId="10">PlayerEntries!#REF!</definedName>
    <definedName name="ExternalData_2690" localSheetId="10">PlayerEntries!$AM$1:$CV$70</definedName>
    <definedName name="ExternalData_2691" localSheetId="10">PlayerEntries!$AM$1:$CP$70</definedName>
    <definedName name="ExternalData_2692" localSheetId="10">PlayerEntries!$AM$1:$CX$70</definedName>
    <definedName name="ExternalData_2693" localSheetId="10">PlayerEntries!$G$1:$AS$74</definedName>
    <definedName name="ExternalData_2694" localSheetId="10">PlayerEntries!$AM$1:$DA$70</definedName>
    <definedName name="ExternalData_2695" localSheetId="10">PlayerEntries!$AM$1:$CE$71</definedName>
    <definedName name="ExternalData_2696" localSheetId="10">PlayerEntries!$X$1:$BJ$74</definedName>
    <definedName name="ExternalData_2697" localSheetId="10">PlayerEntries!$AM$1:$CZ$70</definedName>
    <definedName name="ExternalData_2698" localSheetId="10">PlayerEntries!$B$1:$AN$74</definedName>
    <definedName name="ExternalData_2699" localSheetId="10">PlayerEntries!$AM$1:$CO$70</definedName>
    <definedName name="ExternalData_27" localSheetId="14">iDSTTAData!$B$1:$E$490</definedName>
    <definedName name="ExternalData_27" localSheetId="15">iRanking!$A$1:$K$359</definedName>
    <definedName name="ExternalData_27" localSheetId="10">PlayerEntries!#REF!</definedName>
    <definedName name="ExternalData_270" localSheetId="10">PlayerEntries!#REF!</definedName>
    <definedName name="ExternalData_2700" localSheetId="10">PlayerEntries!$Z$1:$BL$74</definedName>
    <definedName name="ExternalData_2701" localSheetId="10">PlayerEntries!$AM$1:$DC$70</definedName>
    <definedName name="ExternalData_2702" localSheetId="10">PlayerEntries!$AM$1:$CI$71</definedName>
    <definedName name="ExternalData_2703" localSheetId="10">PlayerEntries!$AG$1:$BS$70</definedName>
    <definedName name="ExternalData_2704" localSheetId="10">PlayerEntries!$AM$1:$CK$71</definedName>
    <definedName name="ExternalData_2705" localSheetId="10">PlayerEntries!$AM$1:$BZ$71</definedName>
    <definedName name="ExternalData_2706" localSheetId="10">PlayerEntries!$Q$1:$BC$74</definedName>
    <definedName name="ExternalData_2707" localSheetId="10">PlayerEntries!$AB$1:$BN$74</definedName>
    <definedName name="ExternalData_2708" localSheetId="10">PlayerEntries!$C$1:$AO$74</definedName>
    <definedName name="ExternalData_2709" localSheetId="10">PlayerEntries!$J$1:$AV$74</definedName>
    <definedName name="ExternalData_271" localSheetId="10">PlayerEntries!#REF!</definedName>
    <definedName name="ExternalData_2710" localSheetId="10">PlayerEntries!$AJ$1:$BV$71</definedName>
    <definedName name="ExternalData_2711" localSheetId="10">PlayerEntries!$F$1:$AR$74</definedName>
    <definedName name="ExternalData_2712" localSheetId="10">PlayerEntries!$AM$1:$CU$70</definedName>
    <definedName name="ExternalData_2713" localSheetId="10">PlayerEntries!$AM$1:$CY$70</definedName>
    <definedName name="ExternalData_2714" localSheetId="10">PlayerEntries!$AM$1:$CM$71</definedName>
    <definedName name="ExternalData_2715" localSheetId="10">PlayerEntries!$AM$1:$CB$71</definedName>
    <definedName name="ExternalData_2716" localSheetId="10">PlayerEntries!$N$1:$AZ$74</definedName>
    <definedName name="ExternalData_2717" localSheetId="10">PlayerEntries!$E$1:$AQ$74</definedName>
    <definedName name="ExternalData_2718" localSheetId="10">PlayerEntries!$AM$1:$CJ$71</definedName>
    <definedName name="ExternalData_2719" localSheetId="10">PlayerEntries!$AM$1:$CN$70</definedName>
    <definedName name="ExternalData_272" localSheetId="10">PlayerEntries!#REF!</definedName>
    <definedName name="ExternalData_2720" localSheetId="10">PlayerEntries!$AM$1:$CA$71</definedName>
    <definedName name="ExternalData_2721" localSheetId="10">PlayerEntries!$AM$1:$CG$71</definedName>
    <definedName name="ExternalData_2722" localSheetId="10">PlayerEntries!$AM$1:$CC$71</definedName>
    <definedName name="ExternalData_2723" localSheetId="10">PlayerEntries!$AM$1:$CW$70</definedName>
    <definedName name="ExternalData_2724" localSheetId="10">PlayerEntries!$AH$1:$BT$70</definedName>
    <definedName name="ExternalData_2725" localSheetId="10">PlayerEntries!$AM$1:$CR$70</definedName>
    <definedName name="ExternalData_2726" localSheetId="10">PlayerEntries!$I$1:$AU$74</definedName>
    <definedName name="ExternalData_2727" localSheetId="10">PlayerEntries!$AE$1:$BQ$74</definedName>
    <definedName name="ExternalData_2728" localSheetId="10">PlayerEntries!$AC$1:$BO$74</definedName>
    <definedName name="ExternalData_2729" localSheetId="10">PlayerEntries!$AM$1:$CT$70</definedName>
    <definedName name="ExternalData_273" localSheetId="10">PlayerEntries!#REF!</definedName>
    <definedName name="ExternalData_2730" localSheetId="10">PlayerEntries!$B$1:$AL$10</definedName>
    <definedName name="ExternalData_2731" localSheetId="10">PlayerEntries!$B$1:$AL$10</definedName>
    <definedName name="ExternalData_2732" localSheetId="10">PlayerEntries!$B$1:$AL$12</definedName>
    <definedName name="ExternalData_2733" localSheetId="10">PlayerEntries!$B$1:$AL$32</definedName>
    <definedName name="ExternalData_2734" localSheetId="10">PlayerEntries!$B$1:$AL$10</definedName>
    <definedName name="ExternalData_2735" localSheetId="10">PlayerEntries!$B$1:$AL$12</definedName>
    <definedName name="ExternalData_2736" localSheetId="10">PlayerEntries!$B$1:$AL$32</definedName>
    <definedName name="ExternalData_2737" localSheetId="10">PlayerEntries!$B$1:$AL$32</definedName>
    <definedName name="ExternalData_2738" localSheetId="10">PlayerEntries!$B$1:$AM$10</definedName>
    <definedName name="ExternalData_2739" localSheetId="10">PlayerEntries!$B$1:$AL$12</definedName>
    <definedName name="ExternalData_274" localSheetId="10">PlayerEntries!#REF!</definedName>
    <definedName name="ExternalData_2740" localSheetId="10">PlayerEntries!$B$1:$AL$32</definedName>
    <definedName name="ExternalData_2741" localSheetId="10">PlayerEntries!$B$1:$AL$32</definedName>
    <definedName name="ExternalData_2742" localSheetId="10">PlayerEntries!$B$1:$AL$32</definedName>
    <definedName name="ExternalData_2743" localSheetId="10">PlayerEntries!$B$1:$AN$10</definedName>
    <definedName name="ExternalData_2744" localSheetId="10">PlayerEntries!$B$1:$AM$12</definedName>
    <definedName name="ExternalData_2745" localSheetId="10">PlayerEntries!$B$1:$AL$32</definedName>
    <definedName name="ExternalData_2746" localSheetId="10">PlayerEntries!$B$1:$AL$32</definedName>
    <definedName name="ExternalData_2747" localSheetId="10">PlayerEntries!$B$1:$AM$32</definedName>
    <definedName name="ExternalData_2748" localSheetId="10">PlayerEntries!$C$1:$AO$10</definedName>
    <definedName name="ExternalData_2749" localSheetId="10">PlayerEntries!$B$1:$AN$12</definedName>
    <definedName name="ExternalData_275" localSheetId="10">PlayerEntries!#REF!</definedName>
    <definedName name="ExternalData_2750" localSheetId="10">PlayerEntries!$B$1:$AL$32</definedName>
    <definedName name="ExternalData_2751" localSheetId="10">PlayerEntries!$B$1:$AL$32</definedName>
    <definedName name="ExternalData_2752" localSheetId="10">PlayerEntries!$B$1:$AL$32</definedName>
    <definedName name="ExternalData_2753" localSheetId="10">PlayerEntries!$B$1:$AM$32</definedName>
    <definedName name="ExternalData_2754" localSheetId="10">PlayerEntries!$B$1:$AN$32</definedName>
    <definedName name="ExternalData_2755" localSheetId="10">PlayerEntries!$D$1:$AP$10</definedName>
    <definedName name="ExternalData_2756" localSheetId="10">PlayerEntries!$C$1:$AO$12</definedName>
    <definedName name="ExternalData_2757" localSheetId="10">PlayerEntries!$B$1:$AL$32</definedName>
    <definedName name="ExternalData_2758" localSheetId="10">PlayerEntries!$B$1:$AL$59</definedName>
    <definedName name="ExternalData_2759" localSheetId="10">PlayerEntries!$B$1:$AL$32</definedName>
    <definedName name="ExternalData_276" localSheetId="10">PlayerEntries!#REF!</definedName>
    <definedName name="ExternalData_2760" localSheetId="10">PlayerEntries!$B$1:$AM$32</definedName>
    <definedName name="ExternalData_2761" localSheetId="10">PlayerEntries!$B$1:$AN$32</definedName>
    <definedName name="ExternalData_2762" localSheetId="10">PlayerEntries!$C$1:$AO$32</definedName>
    <definedName name="ExternalData_2763" localSheetId="10">PlayerEntries!$E$1:$AQ$10</definedName>
    <definedName name="ExternalData_2764" localSheetId="10">PlayerEntries!$D$1:$AP$12</definedName>
    <definedName name="ExternalData_2765" localSheetId="10">PlayerEntries!$B$1:$AL$32</definedName>
    <definedName name="ExternalData_2766" localSheetId="10">PlayerEntries!$B$1:$AL$59</definedName>
    <definedName name="ExternalData_2767" localSheetId="10">PlayerEntries!$B$1:$AL$59</definedName>
    <definedName name="ExternalData_2768" localSheetId="10">PlayerEntries!$B$1:$AM$32</definedName>
    <definedName name="ExternalData_2769" localSheetId="10">PlayerEntries!$B$1:$AN$32</definedName>
    <definedName name="ExternalData_277" localSheetId="10">PlayerEntries!#REF!</definedName>
    <definedName name="ExternalData_2770" localSheetId="10">PlayerEntries!$C$1:$AO$32</definedName>
    <definedName name="ExternalData_2771" localSheetId="10">PlayerEntries!$D$1:$AP$32</definedName>
    <definedName name="ExternalData_2772" localSheetId="10">PlayerEntries!$F$1:$AR$10</definedName>
    <definedName name="ExternalData_2773" localSheetId="10">PlayerEntries!$E$1:$AQ$12</definedName>
    <definedName name="ExternalData_2774" localSheetId="10">PlayerEntries!$B$1:$AL$32</definedName>
    <definedName name="ExternalData_2775" localSheetId="10">PlayerEntries!$F$1:$AR$12</definedName>
    <definedName name="ExternalData_2776" localSheetId="10">PlayerEntries!$B$1:$AN$32</definedName>
    <definedName name="ExternalData_2777" localSheetId="10">PlayerEntries!$C$1:$AO$32</definedName>
    <definedName name="ExternalData_2778" localSheetId="10">PlayerEntries!$B$1:$AM$32</definedName>
    <definedName name="ExternalData_2779" localSheetId="10">PlayerEntries!$D$1:$AP$32</definedName>
    <definedName name="ExternalData_278" localSheetId="10">PlayerEntries!#REF!</definedName>
    <definedName name="ExternalData_2780" localSheetId="10">PlayerEntries!$B$1:$AL$59</definedName>
    <definedName name="ExternalData_2781" localSheetId="10">PlayerEntries!$E$1:$AQ$32</definedName>
    <definedName name="ExternalData_2782" localSheetId="10">PlayerEntries!$B$1:$AL$59</definedName>
    <definedName name="ExternalData_2783" localSheetId="10">PlayerEntries!$G$1:$AS$10</definedName>
    <definedName name="ExternalData_2784" localSheetId="10">PlayerEntries!$B$1:$AL$59</definedName>
    <definedName name="ExternalData_2785" localSheetId="10">PlayerEntries!$B$1:$AL$68</definedName>
    <definedName name="ExternalData_2786" localSheetId="10">PlayerEntries!$G$1:$AS$12</definedName>
    <definedName name="ExternalData_2787" localSheetId="10">PlayerEntries!$C$1:$AO$32</definedName>
    <definedName name="ExternalData_2788" localSheetId="10">PlayerEntries!$D$1:$AP$32</definedName>
    <definedName name="ExternalData_2789" localSheetId="10">PlayerEntries!$B$1:$AN$32</definedName>
    <definedName name="ExternalData_279" localSheetId="10">PlayerEntries!#REF!</definedName>
    <definedName name="ExternalData_2790" localSheetId="10">PlayerEntries!$E$1:$AQ$32</definedName>
    <definedName name="ExternalData_2791" localSheetId="10">PlayerEntries!$B$1:$AL$59</definedName>
    <definedName name="ExternalData_2792" localSheetId="10">PlayerEntries!$F$1:$AR$32</definedName>
    <definedName name="ExternalData_2793" localSheetId="10">PlayerEntries!$B$1:$AL$59</definedName>
    <definedName name="ExternalData_2794" localSheetId="10">PlayerEntries!$H$1:$AT$10</definedName>
    <definedName name="ExternalData_2795" localSheetId="10">PlayerEntries!$B$1:$AM$59</definedName>
    <definedName name="ExternalData_2796" localSheetId="10">PlayerEntries!$B$1:$AL$68</definedName>
    <definedName name="ExternalData_2797" localSheetId="10">PlayerEntries!$B$1:$AL$68</definedName>
    <definedName name="ExternalData_2798" localSheetId="10">PlayerEntries!$H$1:$AT$12</definedName>
    <definedName name="ExternalData_2799" localSheetId="10">PlayerEntries!$D$1:$AP$32</definedName>
    <definedName name="ExternalData_28" localSheetId="14">iDSTTAData!$B$1:$E$490</definedName>
    <definedName name="ExternalData_28" localSheetId="15">iRanking!$A$1:$K$359</definedName>
    <definedName name="ExternalData_28" localSheetId="10">PlayerEntries!#REF!</definedName>
    <definedName name="ExternalData_280" localSheetId="10">PlayerEntries!#REF!</definedName>
    <definedName name="ExternalData_2800" localSheetId="10">PlayerEntries!$E$1:$AQ$32</definedName>
    <definedName name="ExternalData_2801" localSheetId="10">PlayerEntries!$C$1:$AO$32</definedName>
    <definedName name="ExternalData_2802" localSheetId="10">PlayerEntries!$F$1:$AR$32</definedName>
    <definedName name="ExternalData_2803" localSheetId="10">PlayerEntries!$B$1:$AL$59</definedName>
    <definedName name="ExternalData_2804" localSheetId="10">PlayerEntries!$G$1:$AS$32</definedName>
    <definedName name="ExternalData_2805" localSheetId="10">PlayerEntries!$B$1:$AM$59</definedName>
    <definedName name="ExternalData_2806" localSheetId="10">PlayerEntries!$I$1:$AU$10</definedName>
    <definedName name="ExternalData_2807" localSheetId="10">PlayerEntries!$B$1:$AN$59</definedName>
    <definedName name="ExternalData_2808" localSheetId="10">PlayerEntries!$B$1:$AL$70</definedName>
    <definedName name="ExternalData_2809" localSheetId="10">PlayerEntries!$B$1:$AL$68</definedName>
    <definedName name="ExternalData_281" localSheetId="10">PlayerEntries!#REF!</definedName>
    <definedName name="ExternalData_2810" localSheetId="10">PlayerEntries!$B$1:$AL$68</definedName>
    <definedName name="ExternalData_2811" localSheetId="10">PlayerEntries!$I$1:$AU$12</definedName>
    <definedName name="ExternalData_2812" localSheetId="10">PlayerEntries!$E$1:$AQ$32</definedName>
    <definedName name="ExternalData_2813" localSheetId="10">PlayerEntries!$F$1:$AR$32</definedName>
    <definedName name="ExternalData_2814" localSheetId="10">PlayerEntries!$D$1:$AP$32</definedName>
    <definedName name="ExternalData_2815" localSheetId="10">PlayerEntries!$G$1:$AS$32</definedName>
    <definedName name="ExternalData_2816" localSheetId="10">PlayerEntries!$B$1:$AM$59</definedName>
    <definedName name="ExternalData_2817" localSheetId="10">PlayerEntries!$H$1:$AT$32</definedName>
    <definedName name="ExternalData_2818" localSheetId="10">PlayerEntries!$B$1:$AN$59</definedName>
    <definedName name="ExternalData_2819" localSheetId="10">PlayerEntries!$J$1:$AV$10</definedName>
    <definedName name="ExternalData_282" localSheetId="10">PlayerEntries!#REF!</definedName>
    <definedName name="ExternalData_2820" localSheetId="10">PlayerEntries!$C$1:$AO$59</definedName>
    <definedName name="ExternalData_2821" localSheetId="10">PlayerEntries!$B$1:$AL$70</definedName>
    <definedName name="ExternalData_2822" localSheetId="10">PlayerEntries!$B$1:$AL$70</definedName>
    <definedName name="ExternalData_2823" localSheetId="10">PlayerEntries!$B$1:$AL$68</definedName>
    <definedName name="ExternalData_2824" localSheetId="10">PlayerEntries!$B$1:$AM$68</definedName>
    <definedName name="ExternalData_2825" localSheetId="10">PlayerEntries!$J$1:$AV$12</definedName>
    <definedName name="ExternalData_2826" localSheetId="10">PlayerEntries!$F$1:$AR$32</definedName>
    <definedName name="ExternalData_2827" localSheetId="10">PlayerEntries!$G$1:$AS$32</definedName>
    <definedName name="ExternalData_2828" localSheetId="10">PlayerEntries!$E$1:$AQ$32</definedName>
    <definedName name="ExternalData_2829" localSheetId="10">PlayerEntries!$H$1:$AT$32</definedName>
    <definedName name="ExternalData_283" localSheetId="10">PlayerEntries!#REF!</definedName>
    <definedName name="ExternalData_2830" localSheetId="10">PlayerEntries!$B$1:$AN$59</definedName>
    <definedName name="ExternalData_2831" localSheetId="10">PlayerEntries!$I$1:$AU$32</definedName>
    <definedName name="ExternalData_2832" localSheetId="10">PlayerEntries!$C$1:$AO$59</definedName>
    <definedName name="ExternalData_2833" localSheetId="10">PlayerEntries!$K$1:$AW$10</definedName>
    <definedName name="ExternalData_2834" localSheetId="10">PlayerEntries!$D$1:$AP$59</definedName>
    <definedName name="ExternalData_2835" localSheetId="10">PlayerEntries!$H$1:$AT$32</definedName>
    <definedName name="ExternalData_2836" localSheetId="10">PlayerEntries!$B$1:$AL$70</definedName>
    <definedName name="ExternalData_2837" localSheetId="10">PlayerEntries!$B$1:$AL$70</definedName>
    <definedName name="ExternalData_2838" localSheetId="10">PlayerEntries!$J$1:$AV$32</definedName>
    <definedName name="ExternalData_2839" localSheetId="10">PlayerEntries!$E$1:$AQ$59</definedName>
    <definedName name="ExternalData_284" localSheetId="10">PlayerEntries!#REF!</definedName>
    <definedName name="ExternalData_2840" localSheetId="10">PlayerEntries!$C$1:$AO$59</definedName>
    <definedName name="ExternalData_2841" localSheetId="10">PlayerEntries!$I$1:$AU$32</definedName>
    <definedName name="ExternalData_2842" localSheetId="10">PlayerEntries!$B$1:$AN$68</definedName>
    <definedName name="ExternalData_2843" localSheetId="10">PlayerEntries!$B$1:$AL$70</definedName>
    <definedName name="ExternalData_2844" localSheetId="10">PlayerEntries!$B$1:$AM$68</definedName>
    <definedName name="ExternalData_2845" localSheetId="10">PlayerEntries!$D$1:$AP$59</definedName>
    <definedName name="ExternalData_2846" localSheetId="10">PlayerEntries!$K$1:$AW$12</definedName>
    <definedName name="ExternalData_2847" localSheetId="10">PlayerEntries!$L$1:$AX$10</definedName>
    <definedName name="ExternalData_2848" localSheetId="10">PlayerEntries!$F$1:$AR$32</definedName>
    <definedName name="ExternalData_2849" localSheetId="10">PlayerEntries!$G$1:$AS$32</definedName>
    <definedName name="ExternalData_285" localSheetId="10">PlayerEntries!#REF!</definedName>
    <definedName name="ExternalData_2850" localSheetId="10">PlayerEntries!$AM$1:$CZ$70</definedName>
    <definedName name="ExternalData_2851" localSheetId="10">PlayerEntries!$C$1:$AO$32</definedName>
    <definedName name="ExternalData_2852" localSheetId="10">PlayerEntries!$AJ$1:$BV$71</definedName>
    <definedName name="ExternalData_2853" localSheetId="10">PlayerEntries!$N$1:$AZ$74</definedName>
    <definedName name="ExternalData_2854" localSheetId="10">PlayerEntries!$D$1:$AP$74</definedName>
    <definedName name="ExternalData_2855" localSheetId="10">PlayerEntries!$B$1:$AL$10</definedName>
    <definedName name="ExternalData_2856" localSheetId="10">PlayerEntries!$J$1:$AV$74</definedName>
    <definedName name="ExternalData_2857" localSheetId="10">PlayerEntries!$AM$1:$CA$71</definedName>
    <definedName name="ExternalData_2858" localSheetId="10">PlayerEntries!$E$1:$AQ$74</definedName>
    <definedName name="ExternalData_2859" localSheetId="10">PlayerEntries!$AM$1:$CY$70</definedName>
    <definedName name="ExternalData_286" localSheetId="10">PlayerEntries!#REF!</definedName>
    <definedName name="ExternalData_2860" localSheetId="10">PlayerEntries!$AE$1:$BQ$70</definedName>
    <definedName name="ExternalData_2861" localSheetId="10">PlayerEntries!$AM$1:$CU$70</definedName>
    <definedName name="ExternalData_2862" localSheetId="10">PlayerEntries!$I$1:$AU$74</definedName>
    <definedName name="ExternalData_2863" localSheetId="10">PlayerEntries!$B$1:$FFL$148</definedName>
    <definedName name="ExternalData_2864" localSheetId="10">PlayerEntries!$AM$1:$CP$70</definedName>
    <definedName name="ExternalData_2865" localSheetId="10">PlayerEntries!$AM$1:$CO$70</definedName>
    <definedName name="ExternalData_2866" localSheetId="10">PlayerEntries!$AK$1:$BW$71</definedName>
    <definedName name="ExternalData_2867" localSheetId="10">PlayerEntries!$J$1:$AV$12</definedName>
    <definedName name="ExternalData_2868" localSheetId="10">PlayerEntries!$W$1:$BI$74</definedName>
    <definedName name="ExternalData_2869" localSheetId="10">PlayerEntries!$J$1:$AV$74</definedName>
    <definedName name="ExternalData_287" localSheetId="10">PlayerEntries!#REF!</definedName>
    <definedName name="ExternalData_2870" localSheetId="10">PlayerEntries!$B$1:$AM$68</definedName>
    <definedName name="ExternalData_2871" localSheetId="10">PlayerEntries!$U$1:$BG$74</definedName>
    <definedName name="ExternalData_2872" localSheetId="10">PlayerEntries!$B$1:$AL$70</definedName>
    <definedName name="ExternalData_2873" localSheetId="10">PlayerEntries!$AK$1:$BW$71</definedName>
    <definedName name="ExternalData_2874" localSheetId="10">PlayerEntries!$B$1:$AL$59</definedName>
    <definedName name="ExternalData_2875" localSheetId="10">PlayerEntries!$B$1:$AL$10</definedName>
    <definedName name="ExternalData_2876" localSheetId="10">PlayerEntries!$AM$1:$CA$71</definedName>
    <definedName name="ExternalData_2877" localSheetId="10">PlayerEntries!$D$1:$AP$32</definedName>
    <definedName name="ExternalData_2878" localSheetId="10">PlayerEntries!$E$1:$AQ$32</definedName>
    <definedName name="ExternalData_2879" localSheetId="10">PlayerEntries!$K$1:$AW$74</definedName>
    <definedName name="ExternalData_288" localSheetId="10">PlayerEntries!#REF!</definedName>
    <definedName name="ExternalData_2880" localSheetId="10">PlayerEntries!$B$1:$AL$59</definedName>
    <definedName name="ExternalData_2881" localSheetId="10">PlayerEntries!$B$1:$AL$59</definedName>
    <definedName name="ExternalData_2882" localSheetId="10">PlayerEntries!$R$1:$BD$74</definedName>
    <definedName name="ExternalData_2883" localSheetId="10">PlayerEntries!$B$1:$AL$70</definedName>
    <definedName name="ExternalData_2884" localSheetId="10">PlayerEntries!$B$1:$AL$59</definedName>
    <definedName name="ExternalData_2885" localSheetId="10">PlayerEntries!$F$1:$AR$10</definedName>
    <definedName name="ExternalData_2886" localSheetId="10">PlayerEntries!$B$1:$AL$32</definedName>
    <definedName name="ExternalData_2887" localSheetId="10">PlayerEntries!$B$1:$AN$59</definedName>
    <definedName name="ExternalData_2888" localSheetId="10">PlayerEntries!$C$1:$AO$59</definedName>
    <definedName name="ExternalData_2889" localSheetId="10">PlayerEntries!$AM$1:$CN$70</definedName>
    <definedName name="ExternalData_289" localSheetId="10">PlayerEntries!#REF!</definedName>
    <definedName name="ExternalData_2890" localSheetId="10">PlayerEntries!$AM$1:$CB$71</definedName>
    <definedName name="ExternalData_2891" localSheetId="10">PlayerEntries!$AM$1:$CJ$71</definedName>
    <definedName name="ExternalData_2892" localSheetId="10">PlayerEntries!$B$1:$AL$10</definedName>
    <definedName name="ExternalData_2893" localSheetId="10">PlayerEntries!$B$1:$AL$32</definedName>
    <definedName name="ExternalData_2894" localSheetId="10">PlayerEntries!$AD$1:$BP$74</definedName>
    <definedName name="ExternalData_2895" localSheetId="10">PlayerEntries!$B$1:$AN$59</definedName>
    <definedName name="ExternalData_2896" localSheetId="10">PlayerEntries!$B$1:$AM$59</definedName>
    <definedName name="ExternalData_2897" localSheetId="10">PlayerEntries!$O$1:$BA$74</definedName>
    <definedName name="ExternalData_2898" localSheetId="10">PlayerEntries!$AM$1:$CT$70</definedName>
    <definedName name="ExternalData_2899" localSheetId="10">PlayerEntries!$I$1:$AU$12</definedName>
    <definedName name="ExternalData_29" localSheetId="14">iDSTTAData!$B$1:$E$490</definedName>
    <definedName name="ExternalData_29" localSheetId="15">iRanking!$A$1:$K$359</definedName>
    <definedName name="ExternalData_29" localSheetId="10">PlayerEntries!#REF!</definedName>
    <definedName name="ExternalData_290" localSheetId="10">PlayerEntries!#REF!</definedName>
    <definedName name="ExternalData_2900" localSheetId="10">PlayerEntries!$AM$1:$CS$70</definedName>
    <definedName name="ExternalData_2901" localSheetId="10">PlayerEntries!$B$1:$AL$32</definedName>
    <definedName name="ExternalData_2902" localSheetId="10">PlayerEntries!$T$1:$BF$74</definedName>
    <definedName name="ExternalData_2903" localSheetId="10">PlayerEntries!$B$1:$AM$32</definedName>
    <definedName name="ExternalData_2904" localSheetId="10">PlayerEntries!$R$1:$BD$74</definedName>
    <definedName name="ExternalData_2905" localSheetId="10">PlayerEntries!$AM$1:$CJ$71</definedName>
    <definedName name="ExternalData_2906" localSheetId="10">PlayerEntries!$C$1:$AO$74</definedName>
    <definedName name="ExternalData_2907" localSheetId="10">PlayerEntries!$B$1:$AN$32</definedName>
    <definedName name="ExternalData_2908" localSheetId="10">PlayerEntries!$AE$1:$BQ$74</definedName>
    <definedName name="ExternalData_2909" localSheetId="10">PlayerEntries!$B$1:$AL$10</definedName>
    <definedName name="ExternalData_291" localSheetId="10">PlayerEntries!#REF!</definedName>
    <definedName name="ExternalData_2910" localSheetId="10">PlayerEntries!$AM$1:$CE$71</definedName>
    <definedName name="ExternalData_2911" localSheetId="10">PlayerEntries!$E$1:$AQ$32</definedName>
    <definedName name="ExternalData_2912" localSheetId="10">PlayerEntries!$V$1:$BH$74</definedName>
    <definedName name="ExternalData_2913" localSheetId="10">PlayerEntries!$C$1:$AO$10</definedName>
    <definedName name="ExternalData_2914" localSheetId="10">PlayerEntries!$AM$1:$CN$70</definedName>
    <definedName name="ExternalData_2915" localSheetId="10">PlayerEntries!$AL$1:$BX$71</definedName>
    <definedName name="ExternalData_2916" localSheetId="10">PlayerEntries!$AM$1:$CG$71</definedName>
    <definedName name="ExternalData_2917" localSheetId="10">PlayerEntries!$AM$1:$CB$71</definedName>
    <definedName name="ExternalData_2918" localSheetId="10">PlayerEntries!$B$1:$AN$32</definedName>
    <definedName name="ExternalData_2919" localSheetId="10">PlayerEntries!$B$1:$AM$32</definedName>
    <definedName name="ExternalData_292" localSheetId="10">PlayerEntries!#REF!</definedName>
    <definedName name="ExternalData_2920" localSheetId="10">PlayerEntries!$AM$1:$CC$71</definedName>
    <definedName name="ExternalData_2921" localSheetId="10">PlayerEntries!$H$1:$AT$12</definedName>
    <definedName name="ExternalData_2922" localSheetId="10">PlayerEntries!$M$1:$AY$74</definedName>
    <definedName name="ExternalData_2923" localSheetId="10">PlayerEntries!$B$1:$AL$32</definedName>
    <definedName name="ExternalData_2924" localSheetId="10">PlayerEntries!$B$1:$AL$74</definedName>
    <definedName name="ExternalData_2925" localSheetId="10">PlayerEntries!$AM$1:$CF$71</definedName>
    <definedName name="ExternalData_2926" localSheetId="10">PlayerEntries!$B$1:$AL$32</definedName>
    <definedName name="ExternalData_2927" localSheetId="10">PlayerEntries!$L$1:$AX$74</definedName>
    <definedName name="ExternalData_2928" localSheetId="10">PlayerEntries!$C$1:$AO$74</definedName>
    <definedName name="ExternalData_2929" localSheetId="10">PlayerEntries!$K$1:$AW$10</definedName>
    <definedName name="ExternalData_293" localSheetId="10">PlayerEntries!#REF!</definedName>
    <definedName name="ExternalData_2930" localSheetId="10">PlayerEntries!$K$1:$AW$74</definedName>
    <definedName name="ExternalData_2931" localSheetId="10">PlayerEntries!$S$1:$BE$74</definedName>
    <definedName name="ExternalData_2932" localSheetId="10">PlayerEntries!$AM$1:$CC$71</definedName>
    <definedName name="ExternalData_2933" localSheetId="10">PlayerEntries!$B$1:$AM$59</definedName>
    <definedName name="ExternalData_2934" localSheetId="10">PlayerEntries!$AM$1:$CS$70</definedName>
    <definedName name="ExternalData_2935" localSheetId="10">PlayerEntries!$I$1:$AU$74</definedName>
    <definedName name="ExternalData_2936" localSheetId="10">PlayerEntries!$B$1:$AL$32</definedName>
    <definedName name="ExternalData_2937" localSheetId="10">PlayerEntries!$AM$1:$CK$71</definedName>
    <definedName name="ExternalData_2938" localSheetId="10">PlayerEntries!$E$1:$AQ$32</definedName>
    <definedName name="ExternalData_2939" localSheetId="10">PlayerEntries!$AA$1:$BM$74</definedName>
    <definedName name="ExternalData_294" localSheetId="10">PlayerEntries!#REF!</definedName>
    <definedName name="ExternalData_2940" localSheetId="10">PlayerEntries!$B$1:$AL$70</definedName>
    <definedName name="ExternalData_2941" localSheetId="10">PlayerEntries!$N$1:$AZ$74</definedName>
    <definedName name="ExternalData_2942" localSheetId="10">PlayerEntries!$F$1:$AR$32</definedName>
    <definedName name="ExternalData_2943" localSheetId="10">PlayerEntries!$AM$1:$CK$71</definedName>
    <definedName name="ExternalData_2944" localSheetId="10">PlayerEntries!$B$1:$AL$32</definedName>
    <definedName name="ExternalData_2945" localSheetId="10">PlayerEntries!$L$1:$AX$74</definedName>
    <definedName name="ExternalData_2946" localSheetId="10">PlayerEntries!$AB$1:$BN$74</definedName>
    <definedName name="ExternalData_2947" localSheetId="10">PlayerEntries!$AM$1:$CX$70</definedName>
    <definedName name="ExternalData_2948" localSheetId="10">PlayerEntries!$B$1:$AL$59</definedName>
    <definedName name="ExternalData_2949" localSheetId="10">PlayerEntries!$AB$1:$BN$74</definedName>
    <definedName name="ExternalData_295" localSheetId="10">PlayerEntries!#REF!</definedName>
    <definedName name="ExternalData_2950" localSheetId="10">PlayerEntries!$AM$1:$CE$71</definedName>
    <definedName name="ExternalData_2951" localSheetId="10">PlayerEntries!$AM$1:$CP$70</definedName>
    <definedName name="ExternalData_2952" localSheetId="10">PlayerEntries!$AA$1:$BM$74</definedName>
    <definedName name="ExternalData_2953" localSheetId="10">PlayerEntries!$N$1:$AZ$74</definedName>
    <definedName name="ExternalData_2954" localSheetId="10">PlayerEntries!$B$1:$AL$74</definedName>
    <definedName name="ExternalData_2955" localSheetId="10">PlayerEntries!$AH$1:$BT$70</definedName>
    <definedName name="ExternalData_2956" localSheetId="10">PlayerEntries!$B$1:$AL$10</definedName>
    <definedName name="ExternalData_2957" localSheetId="10">PlayerEntries!$AF$1:$BR$70</definedName>
    <definedName name="ExternalData_2958" localSheetId="10">PlayerEntries!$P$1:$BB$74</definedName>
    <definedName name="ExternalData_2959" localSheetId="10">PlayerEntries!$H$1:$AT$32</definedName>
    <definedName name="ExternalData_296" localSheetId="10">PlayerEntries!#REF!</definedName>
    <definedName name="ExternalData_2960" localSheetId="10">PlayerEntries!$AM$1:$CL$70</definedName>
    <definedName name="ExternalData_2961" localSheetId="10">PlayerEntries!$F$1:$AR$32</definedName>
    <definedName name="ExternalData_2962" localSheetId="10">PlayerEntries!$U$1:$BG$74</definedName>
    <definedName name="ExternalData_2963" localSheetId="10">PlayerEntries!$AM$1:$CW$70</definedName>
    <definedName name="ExternalData_2964" localSheetId="10">PlayerEntries!$D$1:$AP$32</definedName>
    <definedName name="ExternalData_2965" localSheetId="10">PlayerEntries!$B$1:$EZP$148</definedName>
    <definedName name="ExternalData_2966" localSheetId="10">PlayerEntries!$B$1:$AL$32</definedName>
    <definedName name="ExternalData_2967" localSheetId="10">PlayerEntries!$B$1:$AL$70</definedName>
    <definedName name="ExternalData_2968" localSheetId="10">PlayerEntries!$F$1:$AR$74</definedName>
    <definedName name="ExternalData_2969" localSheetId="10">PlayerEntries!$J$1:$AV$74</definedName>
    <definedName name="ExternalData_297" localSheetId="10">PlayerEntries!#REF!</definedName>
    <definedName name="ExternalData_2970" localSheetId="10">PlayerEntries!$Y$1:$BK$74</definedName>
    <definedName name="ExternalData_2971" localSheetId="10">PlayerEntries!$E$1:$AQ$32</definedName>
    <definedName name="ExternalData_2972" localSheetId="10">PlayerEntries!$O$1:$BA$74</definedName>
    <definedName name="ExternalData_2973" localSheetId="10">PlayerEntries!$AF$1:$BR$70</definedName>
    <definedName name="ExternalData_2974" localSheetId="10">PlayerEntries!$AM$1:$CH$71</definedName>
    <definedName name="ExternalData_2975" localSheetId="10">PlayerEntries!$AM$1:$CA$71</definedName>
    <definedName name="ExternalData_2976" localSheetId="10">PlayerEntries!$AM$1:$CX$70</definedName>
    <definedName name="ExternalData_2977" localSheetId="10">PlayerEntries!$AM$1:$CO$70</definedName>
    <definedName name="ExternalData_2978" localSheetId="10">PlayerEntries!$AC$1:$BO$74</definedName>
    <definedName name="ExternalData_2979" localSheetId="10">PlayerEntries!$C$1:$AO$32</definedName>
    <definedName name="ExternalData_298" localSheetId="10">PlayerEntries!#REF!</definedName>
    <definedName name="ExternalData_2980" localSheetId="10">PlayerEntries!$X$1:$BJ$74</definedName>
    <definedName name="ExternalData_2981" localSheetId="10">PlayerEntries!$B$1:$AL$32</definedName>
    <definedName name="ExternalData_2982" localSheetId="10">PlayerEntries!$C$1:$AO$32</definedName>
    <definedName name="ExternalData_2983" localSheetId="10">PlayerEntries!$B$1:$AM$32</definedName>
    <definedName name="ExternalData_2984" localSheetId="10">PlayerEntries!$D$1:$AP$74</definedName>
    <definedName name="ExternalData_2985" localSheetId="10">PlayerEntries!$B$1:$AM$74</definedName>
    <definedName name="ExternalData_2986" localSheetId="10">PlayerEntries!$AL$1:$BX$71</definedName>
    <definedName name="ExternalData_2987" localSheetId="10">PlayerEntries!$AM$1:$CS$70</definedName>
    <definedName name="ExternalData_2988" localSheetId="10">PlayerEntries!$AM$1:$BZ$71</definedName>
    <definedName name="ExternalData_2989" localSheetId="10">PlayerEntries!$B$1:$AL$68</definedName>
    <definedName name="ExternalData_299" localSheetId="10">PlayerEntries!#REF!</definedName>
    <definedName name="ExternalData_2990" localSheetId="10">PlayerEntries!$B$1:$AN$32</definedName>
    <definedName name="ExternalData_2991" localSheetId="10">PlayerEntries!$B$1:$AL$59</definedName>
    <definedName name="ExternalData_2992" localSheetId="10">PlayerEntries!$AM$1:$CH$71</definedName>
    <definedName name="ExternalData_2993" localSheetId="10">PlayerEntries!$AJ$1:$BV$71</definedName>
    <definedName name="ExternalData_2994" localSheetId="10">PlayerEntries!$B$1:$AN$59</definedName>
    <definedName name="ExternalData_2995" localSheetId="10">PlayerEntries!$B$1:$AN$74</definedName>
    <definedName name="ExternalData_2996" localSheetId="10">PlayerEntries!$B$1:$AL$68</definedName>
    <definedName name="ExternalData_2997" localSheetId="10">PlayerEntries!$H$1:$AT$10</definedName>
    <definedName name="ExternalData_2998" localSheetId="10">PlayerEntries!$AM$1:$CI$71</definedName>
    <definedName name="ExternalData_2999" localSheetId="10">PlayerEntries!$B$1:$AM$10</definedName>
    <definedName name="ExternalData_3" localSheetId="14">iDSTTAData!$B$1:$E$488</definedName>
    <definedName name="ExternalData_3" localSheetId="15">iRanking!$A$1:$F$359</definedName>
    <definedName name="ExternalData_3" localSheetId="16">iTournamentEntries!$O$1:$CK$32</definedName>
    <definedName name="ExternalData_3" localSheetId="10">PlayerEntries!$B$1:$AL$32</definedName>
    <definedName name="ExternalData_30" localSheetId="14">iDSTTAData!$B$1:$E$490</definedName>
    <definedName name="ExternalData_30" localSheetId="15">iRanking!$A$1:$K$359</definedName>
    <definedName name="ExternalData_30" localSheetId="10">PlayerEntries!#REF!</definedName>
    <definedName name="ExternalData_300" localSheetId="10">PlayerEntries!#REF!</definedName>
    <definedName name="ExternalData_3000" localSheetId="10">PlayerEntries!$AM$1:$CM$71</definedName>
    <definedName name="ExternalData_3001" localSheetId="10">PlayerEntries!$B$1:$AL$68</definedName>
    <definedName name="ExternalData_3002" localSheetId="10">PlayerEntries!$AI$1:$BU$71</definedName>
    <definedName name="ExternalData_3003" localSheetId="10">PlayerEntries!$M$1:$AY$74</definedName>
    <definedName name="ExternalData_3004" localSheetId="10">PlayerEntries!$B$1:$AM$32</definedName>
    <definedName name="ExternalData_3005" localSheetId="10">PlayerEntries!$Z$1:$BL$74</definedName>
    <definedName name="ExternalData_3006" localSheetId="10">PlayerEntries!$B$1:$AL$12</definedName>
    <definedName name="ExternalData_3007" localSheetId="10">PlayerEntries!$AM$1:$CU$70</definedName>
    <definedName name="ExternalData_3008" localSheetId="10">PlayerEntries!$B$1:$AL$10</definedName>
    <definedName name="ExternalData_3009" localSheetId="10">PlayerEntries!$B$1:$AL$32</definedName>
    <definedName name="ExternalData_301" localSheetId="10">PlayerEntries!#REF!</definedName>
    <definedName name="ExternalData_3010" localSheetId="10">PlayerEntries!$AM$1:$CV$70</definedName>
    <definedName name="ExternalData_3011" localSheetId="10">PlayerEntries!$B$1:$AL$32</definedName>
    <definedName name="ExternalData_3012" localSheetId="10">PlayerEntries!$K$1:$AW$74</definedName>
    <definedName name="ExternalData_3013" localSheetId="10">PlayerEntries!$AM$1:$CH$71</definedName>
    <definedName name="ExternalData_3014" localSheetId="10">PlayerEntries!$F$1:$AR$74</definedName>
    <definedName name="ExternalData_3015" localSheetId="10">PlayerEntries!$E$1:$AQ$10</definedName>
    <definedName name="ExternalData_3016" localSheetId="10">PlayerEntries!$C$1:$AO$32</definedName>
    <definedName name="ExternalData_3017" localSheetId="10">PlayerEntries!$AG$1:$BS$70</definedName>
    <definedName name="ExternalData_3018" localSheetId="10">PlayerEntries!$AM$1:$CV$70</definedName>
    <definedName name="ExternalData_3019" localSheetId="10">PlayerEntries!$B$1:$AL$32</definedName>
    <definedName name="ExternalData_302" localSheetId="10">PlayerEntries!#REF!</definedName>
    <definedName name="ExternalData_3020" localSheetId="10">PlayerEntries!$H$1:$AT$74</definedName>
    <definedName name="ExternalData_3021" localSheetId="10">PlayerEntries!$Q$1:$BC$74</definedName>
    <definedName name="ExternalData_3022" localSheetId="10">PlayerEntries!$AM$1:$CR$70</definedName>
    <definedName name="ExternalData_3023" localSheetId="10">PlayerEntries!$B$1:$AL$32</definedName>
    <definedName name="ExternalData_3024" localSheetId="10">PlayerEntries!$G$1:$AS$32</definedName>
    <definedName name="ExternalData_3025" localSheetId="10">PlayerEntries!$D$1:$AP$12</definedName>
    <definedName name="ExternalData_3026" localSheetId="10">PlayerEntries!$AK$1:$BW$71</definedName>
    <definedName name="ExternalData_3027" localSheetId="10">PlayerEntries!$B$1:$AL$59</definedName>
    <definedName name="ExternalData_3028" localSheetId="10">PlayerEntries!$J$1:$AV$10</definedName>
    <definedName name="ExternalData_3029" localSheetId="10">PlayerEntries!$AM$1:$CV$70</definedName>
    <definedName name="ExternalData_303" localSheetId="10">PlayerEntries!#REF!</definedName>
    <definedName name="ExternalData_3030" localSheetId="10">PlayerEntries!$AH$1:$BT$70</definedName>
    <definedName name="ExternalData_3031" localSheetId="10">PlayerEntries!$B$1:$AL$59</definedName>
    <definedName name="ExternalData_3032" localSheetId="10">PlayerEntries!$AM$1:$CD$71</definedName>
    <definedName name="ExternalData_3033" localSheetId="10">PlayerEntries!$AM$1:$CM$70</definedName>
    <definedName name="ExternalData_3034" localSheetId="10">PlayerEntries!$C$1:$AO$59</definedName>
    <definedName name="ExternalData_3035" localSheetId="10">PlayerEntries!$AI$1:$BU$70</definedName>
    <definedName name="ExternalData_3036" localSheetId="10">PlayerEntries!$G$1:$AS$32</definedName>
    <definedName name="ExternalData_3037" localSheetId="10">PlayerEntries!$F$1:$AR$32</definedName>
    <definedName name="ExternalData_3038" localSheetId="10">PlayerEntries!$B$1:$AL$74</definedName>
    <definedName name="ExternalData_3039" localSheetId="10">PlayerEntries!$B$1:$AL$12</definedName>
    <definedName name="ExternalData_304" localSheetId="10">PlayerEntries!#REF!</definedName>
    <definedName name="ExternalData_3040" localSheetId="10">PlayerEntries!$P$1:$BB$74</definedName>
    <definedName name="ExternalData_3041" localSheetId="10">PlayerEntries!$B$1:$AM$74</definedName>
    <definedName name="ExternalData_3042" localSheetId="10">PlayerEntries!$C$1:$AO$32</definedName>
    <definedName name="ExternalData_3043" localSheetId="10">PlayerEntries!$D$1:$AP$59</definedName>
    <definedName name="ExternalData_3044" localSheetId="10">PlayerEntries!$E$1:$AQ$12</definedName>
    <definedName name="ExternalData_3045" localSheetId="10">PlayerEntries!$AM$1:$CM$70</definedName>
    <definedName name="ExternalData_3046" localSheetId="10">PlayerEntries!$E$1:$AQ$32</definedName>
    <definedName name="ExternalData_3047" localSheetId="10">PlayerEntries!$X$1:$BJ$74</definedName>
    <definedName name="ExternalData_3048" localSheetId="10">PlayerEntries!$D$1:$AP$32</definedName>
    <definedName name="ExternalData_3049" localSheetId="10">PlayerEntries!$AM$1:$DA$70</definedName>
    <definedName name="ExternalData_305" localSheetId="10">PlayerEntries!#REF!</definedName>
    <definedName name="ExternalData_3050" localSheetId="10">PlayerEntries!$B$1:$AL$59</definedName>
    <definedName name="ExternalData_3051" localSheetId="10">PlayerEntries!$Q$1:$BC$74</definedName>
    <definedName name="ExternalData_3052" localSheetId="10">PlayerEntries!$AM$1:$CY$70</definedName>
    <definedName name="ExternalData_3053" localSheetId="10">PlayerEntries!$Z$1:$BL$74</definedName>
    <definedName name="ExternalData_3054" localSheetId="10">PlayerEntries!$X$1:$BJ$74</definedName>
    <definedName name="ExternalData_3055" localSheetId="10">PlayerEntries!$I$1:$AU$10</definedName>
    <definedName name="ExternalData_3056" localSheetId="10">PlayerEntries!$AM$1:$CE$71</definedName>
    <definedName name="ExternalData_3057" localSheetId="10">PlayerEntries!$I$1:$AU$74</definedName>
    <definedName name="ExternalData_3058" localSheetId="10">PlayerEntries!$B$1:$AL$10</definedName>
    <definedName name="ExternalData_3059" localSheetId="10">PlayerEntries!$AI$1:$BU$71</definedName>
    <definedName name="ExternalData_306" localSheetId="10">PlayerEntries!#REF!</definedName>
    <definedName name="ExternalData_3060" localSheetId="10">PlayerEntries!$Y$1:$BK$74</definedName>
    <definedName name="ExternalData_3061" localSheetId="10">PlayerEntries!$F$1:$AR$12</definedName>
    <definedName name="ExternalData_3062" localSheetId="10">PlayerEntries!$B$1:$AN$74</definedName>
    <definedName name="ExternalData_3063" localSheetId="10">PlayerEntries!$B$1:$AL$59</definedName>
    <definedName name="ExternalData_3064" localSheetId="10">PlayerEntries!$AM$1:$CC$71</definedName>
    <definedName name="ExternalData_3065" localSheetId="10">PlayerEntries!$S$1:$BE$74</definedName>
    <definedName name="ExternalData_3066" localSheetId="10">PlayerEntries!$Z$1:$BL$74</definedName>
    <definedName name="ExternalData_3067" localSheetId="10">PlayerEntries!$W$1:$BI$74</definedName>
    <definedName name="ExternalData_3068" localSheetId="10">PlayerEntries!$B$1:$AL$70</definedName>
    <definedName name="ExternalData_3069" localSheetId="10">PlayerEntries!$B$1:$AM$12</definedName>
    <definedName name="ExternalData_307" localSheetId="10">PlayerEntries!#REF!</definedName>
    <definedName name="ExternalData_3070" localSheetId="10">PlayerEntries!$F$1:$AR$74</definedName>
    <definedName name="ExternalData_3071" localSheetId="10">PlayerEntries!$AM$1:$CG$71</definedName>
    <definedName name="ExternalData_3072" localSheetId="10">PlayerEntries!$B$1:$AM$32</definedName>
    <definedName name="ExternalData_3073" localSheetId="10">PlayerEntries!$V$1:$BH$74</definedName>
    <definedName name="ExternalData_3074" localSheetId="10">PlayerEntries!$B$1:$AN$74</definedName>
    <definedName name="ExternalData_3075" localSheetId="10">PlayerEntries!$AM$1:$BZ$71</definedName>
    <definedName name="ExternalData_3076" localSheetId="10">PlayerEntries!$D$1:$AP$32</definedName>
    <definedName name="ExternalData_3077" localSheetId="10">PlayerEntries!$H$1:$AT$32</definedName>
    <definedName name="ExternalData_3078" localSheetId="10">PlayerEntries!$B$1:$AL$12</definedName>
    <definedName name="ExternalData_3079" localSheetId="10">PlayerEntries!$D$1:$AP$10</definedName>
    <definedName name="ExternalData_308" localSheetId="10">PlayerEntries!#REF!</definedName>
    <definedName name="ExternalData_3080" localSheetId="10">PlayerEntries!$AM$1:$CZ$70</definedName>
    <definedName name="ExternalData_3081" localSheetId="10">PlayerEntries!$AF$1:$BR$70</definedName>
    <definedName name="ExternalData_3082" localSheetId="10">PlayerEntries!$AM$1:$CG$71</definedName>
    <definedName name="ExternalData_3083" localSheetId="10">PlayerEntries!$AM$1:$CJ$71</definedName>
    <definedName name="ExternalData_3084" localSheetId="10">PlayerEntries!$AM$1:$CQ$70</definedName>
    <definedName name="ExternalData_3085" localSheetId="10">PlayerEntries!$B$1:$AL$32</definedName>
    <definedName name="ExternalData_3086" localSheetId="10">PlayerEntries!$B$1:$AL$32</definedName>
    <definedName name="ExternalData_3087" localSheetId="10">PlayerEntries!$F$1:$AR$32</definedName>
    <definedName name="ExternalData_3088" localSheetId="10">PlayerEntries!$AM$1:$CW$70</definedName>
    <definedName name="ExternalData_3089" localSheetId="10">PlayerEntries!$Q$1:$BC$74</definedName>
    <definedName name="ExternalData_309" localSheetId="10">PlayerEntries!#REF!</definedName>
    <definedName name="ExternalData_3090" localSheetId="10">PlayerEntries!$AH$1:$BT$71</definedName>
    <definedName name="ExternalData_3091" localSheetId="10">PlayerEntries!$AL$1:$BX$71</definedName>
    <definedName name="ExternalData_3092" localSheetId="10">PlayerEntries!$B$1:$AL$68</definedName>
    <definedName name="ExternalData_3093" localSheetId="10">PlayerEntries!$AG$1:$BS$70</definedName>
    <definedName name="ExternalData_3094" localSheetId="10">PlayerEntries!$U$1:$BG$74</definedName>
    <definedName name="ExternalData_3095" localSheetId="10">PlayerEntries!$AM$1:$DB$70</definedName>
    <definedName name="ExternalData_3096" localSheetId="10">PlayerEntries!$AM$1:$CX$70</definedName>
    <definedName name="ExternalData_3097" localSheetId="10">PlayerEntries!$AM$1:$BY$71</definedName>
    <definedName name="ExternalData_3098" localSheetId="10">PlayerEntries!$B$1:$AL$59</definedName>
    <definedName name="ExternalData_3099" localSheetId="10">PlayerEntries!$AM$1:$CT$70</definedName>
    <definedName name="ExternalData_31" localSheetId="14">iDSTTAData!$B$1:$E$490</definedName>
    <definedName name="ExternalData_31" localSheetId="15">iRanking!$A$1:$K$369</definedName>
    <definedName name="ExternalData_31" localSheetId="10">PlayerEntries!#REF!</definedName>
    <definedName name="ExternalData_310" localSheetId="10">PlayerEntries!#REF!</definedName>
    <definedName name="ExternalData_3100" localSheetId="10">PlayerEntries!$G$1:$AS$12</definedName>
    <definedName name="ExternalData_3101" localSheetId="10">PlayerEntries!$AM$1:$CB$71</definedName>
    <definedName name="ExternalData_3102" localSheetId="10">PlayerEntries!$B$1:$AN$10</definedName>
    <definedName name="ExternalData_3103" localSheetId="10">PlayerEntries!$AM$1:$CD$71</definedName>
    <definedName name="ExternalData_3104" localSheetId="10">PlayerEntries!$B$1:$AL$12</definedName>
    <definedName name="ExternalData_3105" localSheetId="10">PlayerEntries!$T$1:$BF$74</definedName>
    <definedName name="ExternalData_3106" localSheetId="10">PlayerEntries!$AM$1:$CL$71</definedName>
    <definedName name="ExternalData_3107" localSheetId="10">PlayerEntries!$AD$1:$BP$70</definedName>
    <definedName name="ExternalData_3108" localSheetId="10">PlayerEntries!$C$1:$AO$12</definedName>
    <definedName name="ExternalData_3109" localSheetId="10">PlayerEntries!$AM$1:$CU$70</definedName>
    <definedName name="ExternalData_311" localSheetId="10">PlayerEntries!#REF!</definedName>
    <definedName name="ExternalData_3110" localSheetId="10">PlayerEntries!$AM$1:$CI$71</definedName>
    <definedName name="ExternalData_3111" localSheetId="10">PlayerEntries!$B$1:$AL$70</definedName>
    <definedName name="ExternalData_3112" localSheetId="10">PlayerEntries!$B$1:$AL$68</definedName>
    <definedName name="ExternalData_3113" localSheetId="10">PlayerEntries!$G$1:$AS$10</definedName>
    <definedName name="ExternalData_3114" localSheetId="10">PlayerEntries!$H$1:$AT$74</definedName>
    <definedName name="ExternalData_3115" localSheetId="10">PlayerEntries!$G$1:$AS$74</definedName>
    <definedName name="ExternalData_3116" localSheetId="10">PlayerEntries!$AM$1:$DA$70</definedName>
    <definedName name="ExternalData_3117" localSheetId="10">PlayerEntries!$B$1:$AL$68</definedName>
    <definedName name="ExternalData_3118" localSheetId="10">PlayerEntries!$AM$1:$CQ$70</definedName>
    <definedName name="ExternalData_3119" localSheetId="10">PlayerEntries!$AD$1:$BP$74</definedName>
    <definedName name="ExternalData_312" localSheetId="10">PlayerEntries!#REF!</definedName>
    <definedName name="ExternalData_3120" localSheetId="10">PlayerEntries!$C$1:$AO$74</definedName>
    <definedName name="ExternalData_3121" localSheetId="10">PlayerEntries!$G$1:$AS$32</definedName>
    <definedName name="ExternalData_3122" localSheetId="10">PlayerEntries!$AM$1:$CR$70</definedName>
    <definedName name="ExternalData_3123" localSheetId="10">PlayerEntries!$B$1:$AL$68</definedName>
    <definedName name="ExternalData_3124" localSheetId="10">PlayerEntries!$AB$1:$BN$74</definedName>
    <definedName name="ExternalData_3125" localSheetId="10">PlayerEntries!$B$1:$AL$10</definedName>
    <definedName name="ExternalData_3126" localSheetId="10">PlayerEntries!$T$1:$BF$74</definedName>
    <definedName name="ExternalData_3127" localSheetId="10">PlayerEntries!$AM$1:$BZ$71</definedName>
    <definedName name="ExternalData_3128" localSheetId="10">PlayerEntries!$AM$1:$CD$71</definedName>
    <definedName name="ExternalData_3129" localSheetId="10">PlayerEntries!$B$1:$AL$68</definedName>
    <definedName name="ExternalData_313" localSheetId="10">PlayerEntries!#REF!</definedName>
    <definedName name="ExternalData_3130" localSheetId="10">PlayerEntries!$B$1:$AL$32</definedName>
    <definedName name="ExternalData_3131" localSheetId="10">PlayerEntries!$Y$1:$BK$74</definedName>
    <definedName name="ExternalData_3132" localSheetId="10">PlayerEntries!$B$1:$AL$32</definedName>
    <definedName name="ExternalData_3133" localSheetId="10">PlayerEntries!$AM$1:$CR$70</definedName>
    <definedName name="ExternalData_3134" localSheetId="10">PlayerEntries!$AM$1:$CF$71</definedName>
    <definedName name="ExternalData_3135" localSheetId="10">PlayerEntries!$B$1:$AL$10</definedName>
    <definedName name="ExternalData_3136" localSheetId="10">PlayerEntries!$AM$1:$CK$71</definedName>
    <definedName name="ExternalData_3137" localSheetId="10">PlayerEntries!$I$1:$AU$32</definedName>
    <definedName name="ExternalData_3138" localSheetId="10">PlayerEntries!$G$1:$AS$74</definedName>
    <definedName name="ExternalData_3139" localSheetId="10">PlayerEntries!$E$1:$AQ$74</definedName>
    <definedName name="ExternalData_314" localSheetId="10">PlayerEntries!#REF!</definedName>
    <definedName name="ExternalData_3140" localSheetId="10">PlayerEntries!$AM$1:$DC$70</definedName>
    <definedName name="ExternalData_3141" localSheetId="10">PlayerEntries!$G$1:$AS$74</definedName>
    <definedName name="ExternalData_3142" localSheetId="10">PlayerEntries!$AM$1:$CF$71</definedName>
    <definedName name="ExternalData_3143" localSheetId="10">PlayerEntries!$M$1:$AY$74</definedName>
    <definedName name="ExternalData_3144" localSheetId="10">PlayerEntries!$AM$1:$CN$70</definedName>
    <definedName name="ExternalData_3145" localSheetId="10">PlayerEntries!$R$1:$BD$74</definedName>
    <definedName name="ExternalData_3146" localSheetId="10">PlayerEntries!$B$1:$AL$32</definedName>
    <definedName name="ExternalData_3147" localSheetId="10">PlayerEntries!$B$1:$AL$32</definedName>
    <definedName name="ExternalData_3148" localSheetId="10">PlayerEntries!$AM$1:$CZ$70</definedName>
    <definedName name="ExternalData_3149" localSheetId="10">PlayerEntries!$P$1:$BB$74</definedName>
    <definedName name="ExternalData_315" localSheetId="10">PlayerEntries!#REF!</definedName>
    <definedName name="ExternalData_3150" localSheetId="10">PlayerEntries!$B$1:$AL$32</definedName>
    <definedName name="ExternalData_3151" localSheetId="10">PlayerEntries!$AM$1:$CW$70</definedName>
    <definedName name="ExternalData_3152" localSheetId="10">PlayerEntries!$B$1:$AN$32</definedName>
    <definedName name="ExternalData_3153" localSheetId="10">PlayerEntries!$H$1:$AT$74</definedName>
    <definedName name="ExternalData_3154" localSheetId="10">PlayerEntries!$D$1:$AP$74</definedName>
    <definedName name="ExternalData_3155" localSheetId="10">PlayerEntries!$V$1:$BH$74</definedName>
    <definedName name="ExternalData_3156" localSheetId="10">PlayerEntries!$AM$1:$CO$70</definedName>
    <definedName name="ExternalData_3157" localSheetId="10">PlayerEntries!$AA$1:$BM$74</definedName>
    <definedName name="ExternalData_3158" localSheetId="10">PlayerEntries!$AM$1:$BY$71</definedName>
    <definedName name="ExternalData_3159" localSheetId="10">PlayerEntries!$AG$1:$BS$70</definedName>
    <definedName name="ExternalData_316" localSheetId="10">PlayerEntries!#REF!</definedName>
    <definedName name="ExternalData_3160" localSheetId="10">PlayerEntries!$AM$1:$CL$71</definedName>
    <definedName name="ExternalData_3161" localSheetId="10">PlayerEntries!$AM$1:$DA$70</definedName>
    <definedName name="ExternalData_3162" localSheetId="10">PlayerEntries!$AE$1:$BQ$70</definedName>
    <definedName name="ExternalData_3163" localSheetId="10">PlayerEntries!$AM$1:$BY$71</definedName>
    <definedName name="ExternalData_3164" localSheetId="10">PlayerEntries!$L$1:$AX$74</definedName>
    <definedName name="ExternalData_3165" localSheetId="10">PlayerEntries!$AC$1:$BO$74</definedName>
    <definedName name="ExternalData_3166" localSheetId="10">PlayerEntries!$S$1:$BE$74</definedName>
    <definedName name="ExternalData_3167" localSheetId="10">PlayerEntries!$E$1:$AQ$74</definedName>
    <definedName name="ExternalData_3168" localSheetId="10">PlayerEntries!$B$1:$AN$12</definedName>
    <definedName name="ExternalData_3169" localSheetId="10">PlayerEntries!$AM$1:$DB$70</definedName>
    <definedName name="ExternalData_317" localSheetId="10">PlayerEntries!#REF!</definedName>
    <definedName name="ExternalData_3170" localSheetId="10">PlayerEntries!$AM$1:$CQ$70</definedName>
    <definedName name="ExternalData_3171" localSheetId="10">PlayerEntries!$O$1:$BA$74</definedName>
    <definedName name="ExternalData_3172" localSheetId="10">PlayerEntries!$B$1:$AM$59</definedName>
    <definedName name="ExternalData_3173" localSheetId="10">PlayerEntries!$AC$1:$BO$74</definedName>
    <definedName name="ExternalData_3174" localSheetId="10">PlayerEntries!$B$1:$AM$74</definedName>
    <definedName name="ExternalData_3175" localSheetId="10">PlayerEntries!$W$1:$BI$74</definedName>
    <definedName name="ExternalData_3176" localSheetId="10">PlayerEntries!$B$1:$AL$10</definedName>
    <definedName name="ExternalData_3177" localSheetId="10">PlayerEntries!$B$1:$AN$32</definedName>
    <definedName name="ExternalData_3178" localSheetId="10">PlayerEntries!$B$1:$AL$59</definedName>
    <definedName name="ExternalData_3179" localSheetId="10">PlayerEntries!$AM$1:$CI$71</definedName>
    <definedName name="ExternalData_318" localSheetId="10">PlayerEntries!#REF!</definedName>
    <definedName name="ExternalData_3180" localSheetId="10">PlayerEntries!$AM$1:$CT$70</definedName>
    <definedName name="ExternalData_3181" localSheetId="10">PlayerEntries!$AJ$1:$BV$71</definedName>
    <definedName name="ExternalData_3182" localSheetId="10">PlayerEntries!$D$1:$AP$32</definedName>
    <definedName name="ExternalData_3183" localSheetId="10">PlayerEntries!$AM$1:$CP$70</definedName>
    <definedName name="ExternalData_3184" localSheetId="10">PlayerEntries!$AM$1:$CY$70</definedName>
    <definedName name="ExternalData_319" localSheetId="10">PlayerEntries!#REF!</definedName>
    <definedName name="ExternalData_32" localSheetId="14">iDSTTAData!$B$1:$E$490</definedName>
    <definedName name="ExternalData_32" localSheetId="15">iRanking!$A$1:$K$370</definedName>
    <definedName name="ExternalData_32" localSheetId="10">PlayerEntries!#REF!</definedName>
    <definedName name="ExternalData_320" localSheetId="10">PlayerEntries!#REF!</definedName>
    <definedName name="ExternalData_321" localSheetId="10">PlayerEntries!#REF!</definedName>
    <definedName name="ExternalData_322" localSheetId="10">PlayerEntries!#REF!</definedName>
    <definedName name="ExternalData_323" localSheetId="10">PlayerEntries!#REF!</definedName>
    <definedName name="ExternalData_324" localSheetId="10">PlayerEntries!#REF!</definedName>
    <definedName name="ExternalData_325" localSheetId="10">PlayerEntries!#REF!</definedName>
    <definedName name="ExternalData_326" localSheetId="10">PlayerEntries!#REF!</definedName>
    <definedName name="ExternalData_327" localSheetId="10">PlayerEntries!#REF!</definedName>
    <definedName name="ExternalData_328" localSheetId="10">PlayerEntries!#REF!</definedName>
    <definedName name="ExternalData_329" localSheetId="10">PlayerEntries!#REF!</definedName>
    <definedName name="ExternalData_33" localSheetId="14">iDSTTAData!$B$1:$E$490</definedName>
    <definedName name="ExternalData_33" localSheetId="15">iRanking!$A$1:$K$370</definedName>
    <definedName name="ExternalData_33" localSheetId="10">PlayerEntries!#REF!</definedName>
    <definedName name="ExternalData_330" localSheetId="10">PlayerEntries!#REF!</definedName>
    <definedName name="ExternalData_331" localSheetId="10">PlayerEntries!#REF!</definedName>
    <definedName name="ExternalData_332" localSheetId="10">PlayerEntries!#REF!</definedName>
    <definedName name="ExternalData_333" localSheetId="10">PlayerEntries!#REF!</definedName>
    <definedName name="ExternalData_334" localSheetId="10">PlayerEntries!#REF!</definedName>
    <definedName name="ExternalData_335" localSheetId="10">PlayerEntries!#REF!</definedName>
    <definedName name="ExternalData_336" localSheetId="10">PlayerEntries!#REF!</definedName>
    <definedName name="ExternalData_337" localSheetId="10">PlayerEntries!#REF!</definedName>
    <definedName name="ExternalData_338" localSheetId="10">PlayerEntries!#REF!</definedName>
    <definedName name="ExternalData_339" localSheetId="10">PlayerEntries!#REF!</definedName>
    <definedName name="ExternalData_34" localSheetId="14">iDSTTAData!$B$1:$E$490</definedName>
    <definedName name="ExternalData_34" localSheetId="15">iRanking!$A$1:$K$370</definedName>
    <definedName name="ExternalData_34" localSheetId="10">PlayerEntries!#REF!</definedName>
    <definedName name="ExternalData_340" localSheetId="10">PlayerEntries!#REF!</definedName>
    <definedName name="ExternalData_341" localSheetId="10">PlayerEntries!#REF!</definedName>
    <definedName name="ExternalData_342" localSheetId="10">PlayerEntries!#REF!</definedName>
    <definedName name="ExternalData_343" localSheetId="10">PlayerEntries!#REF!</definedName>
    <definedName name="ExternalData_344" localSheetId="10">PlayerEntries!#REF!</definedName>
    <definedName name="ExternalData_345" localSheetId="10">PlayerEntries!#REF!</definedName>
    <definedName name="ExternalData_346" localSheetId="10">PlayerEntries!#REF!</definedName>
    <definedName name="ExternalData_347" localSheetId="10">PlayerEntries!#REF!</definedName>
    <definedName name="ExternalData_348" localSheetId="10">PlayerEntries!#REF!</definedName>
    <definedName name="ExternalData_349" localSheetId="10">PlayerEntries!#REF!</definedName>
    <definedName name="ExternalData_35" localSheetId="14">iDSTTAData!$B$1:$E$490</definedName>
    <definedName name="ExternalData_35" localSheetId="15">iRanking!$A$1:$K$370</definedName>
    <definedName name="ExternalData_35" localSheetId="10">PlayerEntries!#REF!</definedName>
    <definedName name="ExternalData_350" localSheetId="10">PlayerEntries!#REF!</definedName>
    <definedName name="ExternalData_351" localSheetId="10">PlayerEntries!#REF!</definedName>
    <definedName name="ExternalData_352" localSheetId="10">PlayerEntries!#REF!</definedName>
    <definedName name="ExternalData_353" localSheetId="10">PlayerEntries!#REF!</definedName>
    <definedName name="ExternalData_354" localSheetId="10">PlayerEntries!#REF!</definedName>
    <definedName name="ExternalData_355" localSheetId="10">PlayerEntries!#REF!</definedName>
    <definedName name="ExternalData_356" localSheetId="10">PlayerEntries!#REF!</definedName>
    <definedName name="ExternalData_357" localSheetId="10">PlayerEntries!#REF!</definedName>
    <definedName name="ExternalData_358" localSheetId="10">PlayerEntries!#REF!</definedName>
    <definedName name="ExternalData_359" localSheetId="10">PlayerEntries!#REF!</definedName>
    <definedName name="ExternalData_36" localSheetId="14">iDSTTAData!$B$1:$E$490</definedName>
    <definedName name="ExternalData_36" localSheetId="15">iRanking!$A$1:$K$370</definedName>
    <definedName name="ExternalData_36" localSheetId="10">PlayerEntries!#REF!</definedName>
    <definedName name="ExternalData_360" localSheetId="10">PlayerEntries!#REF!</definedName>
    <definedName name="ExternalData_361" localSheetId="10">PlayerEntries!#REF!</definedName>
    <definedName name="ExternalData_362" localSheetId="10">PlayerEntries!#REF!</definedName>
    <definedName name="ExternalData_363" localSheetId="10">PlayerEntries!#REF!</definedName>
    <definedName name="ExternalData_364" localSheetId="10">PlayerEntries!#REF!</definedName>
    <definedName name="ExternalData_365" localSheetId="10">PlayerEntries!#REF!</definedName>
    <definedName name="ExternalData_366" localSheetId="10">PlayerEntries!#REF!</definedName>
    <definedName name="ExternalData_367" localSheetId="10">PlayerEntries!#REF!</definedName>
    <definedName name="ExternalData_368" localSheetId="10">PlayerEntries!#REF!</definedName>
    <definedName name="ExternalData_369" localSheetId="10">PlayerEntries!#REF!</definedName>
    <definedName name="ExternalData_37" localSheetId="14">iDSTTAData!$B$1:$E$490</definedName>
    <definedName name="ExternalData_37" localSheetId="15">iRanking!$A$1:$K$370</definedName>
    <definedName name="ExternalData_37" localSheetId="10">PlayerEntries!#REF!</definedName>
    <definedName name="ExternalData_370" localSheetId="10">PlayerEntries!#REF!</definedName>
    <definedName name="ExternalData_371" localSheetId="10">PlayerEntries!#REF!</definedName>
    <definedName name="ExternalData_372" localSheetId="10">PlayerEntries!#REF!</definedName>
    <definedName name="ExternalData_373" localSheetId="10">PlayerEntries!#REF!</definedName>
    <definedName name="ExternalData_374" localSheetId="10">PlayerEntries!#REF!</definedName>
    <definedName name="ExternalData_375" localSheetId="10">PlayerEntries!#REF!</definedName>
    <definedName name="ExternalData_376" localSheetId="10">PlayerEntries!#REF!</definedName>
    <definedName name="ExternalData_377" localSheetId="10">PlayerEntries!#REF!</definedName>
    <definedName name="ExternalData_378" localSheetId="10">PlayerEntries!#REF!</definedName>
    <definedName name="ExternalData_379" localSheetId="10">PlayerEntries!#REF!</definedName>
    <definedName name="ExternalData_38" localSheetId="14">iDSTTAData!$B$1:$E$490</definedName>
    <definedName name="ExternalData_38" localSheetId="15">iRanking!$A$1:$K$359</definedName>
    <definedName name="ExternalData_38" localSheetId="10">PlayerEntries!#REF!</definedName>
    <definedName name="ExternalData_380" localSheetId="10">PlayerEntries!#REF!</definedName>
    <definedName name="ExternalData_381" localSheetId="10">PlayerEntries!#REF!</definedName>
    <definedName name="ExternalData_382" localSheetId="10">PlayerEntries!#REF!</definedName>
    <definedName name="ExternalData_383" localSheetId="10">PlayerEntries!#REF!</definedName>
    <definedName name="ExternalData_384" localSheetId="10">PlayerEntries!#REF!</definedName>
    <definedName name="ExternalData_385" localSheetId="10">PlayerEntries!#REF!</definedName>
    <definedName name="ExternalData_386" localSheetId="10">PlayerEntries!#REF!</definedName>
    <definedName name="ExternalData_387" localSheetId="10">PlayerEntries!#REF!</definedName>
    <definedName name="ExternalData_388" localSheetId="10">PlayerEntries!#REF!</definedName>
    <definedName name="ExternalData_389" localSheetId="10">PlayerEntries!#REF!</definedName>
    <definedName name="ExternalData_39" localSheetId="14">iDSTTAData!$B$1:$E$490</definedName>
    <definedName name="ExternalData_39" localSheetId="15">iRanking!$A$1:$K$370</definedName>
    <definedName name="ExternalData_39" localSheetId="10">PlayerEntries!#REF!</definedName>
    <definedName name="ExternalData_390" localSheetId="10">PlayerEntries!#REF!</definedName>
    <definedName name="ExternalData_391" localSheetId="10">PlayerEntries!#REF!</definedName>
    <definedName name="ExternalData_392" localSheetId="10">PlayerEntries!#REF!</definedName>
    <definedName name="ExternalData_393" localSheetId="10">PlayerEntries!#REF!</definedName>
    <definedName name="ExternalData_394" localSheetId="10">PlayerEntries!#REF!</definedName>
    <definedName name="ExternalData_395" localSheetId="10">PlayerEntries!#REF!</definedName>
    <definedName name="ExternalData_396" localSheetId="10">PlayerEntries!#REF!</definedName>
    <definedName name="ExternalData_397" localSheetId="10">PlayerEntries!#REF!</definedName>
    <definedName name="ExternalData_398" localSheetId="10">PlayerEntries!#REF!</definedName>
    <definedName name="ExternalData_399" localSheetId="10">PlayerEntries!#REF!</definedName>
    <definedName name="ExternalData_4" localSheetId="14">iDSTTAData!$B$1:$E$488</definedName>
    <definedName name="ExternalData_4" localSheetId="15">iRanking!$A$1:$K$359</definedName>
    <definedName name="ExternalData_4" localSheetId="16">iTournamentEntries!$N$1:$CJ$32</definedName>
    <definedName name="ExternalData_4" localSheetId="10">PlayerEntries!$B$1:$AL$32</definedName>
    <definedName name="ExternalData_40" localSheetId="14">iDSTTAData!$B$1:$E$493</definedName>
    <definedName name="ExternalData_40" localSheetId="15">iRanking!$A$1:$K$370</definedName>
    <definedName name="ExternalData_40" localSheetId="10">PlayerEntries!#REF!</definedName>
    <definedName name="ExternalData_400" localSheetId="10">PlayerEntries!#REF!</definedName>
    <definedName name="ExternalData_401" localSheetId="10">PlayerEntries!#REF!</definedName>
    <definedName name="ExternalData_402" localSheetId="10">PlayerEntries!#REF!</definedName>
    <definedName name="ExternalData_403" localSheetId="10">PlayerEntries!#REF!</definedName>
    <definedName name="ExternalData_404" localSheetId="10">PlayerEntries!#REF!</definedName>
    <definedName name="ExternalData_405" localSheetId="10">PlayerEntries!#REF!</definedName>
    <definedName name="ExternalData_406" localSheetId="10">PlayerEntries!#REF!</definedName>
    <definedName name="ExternalData_407" localSheetId="10">PlayerEntries!#REF!</definedName>
    <definedName name="ExternalData_408" localSheetId="10">PlayerEntries!#REF!</definedName>
    <definedName name="ExternalData_409" localSheetId="10">PlayerEntries!#REF!</definedName>
    <definedName name="ExternalData_41" localSheetId="14">iDSTTAData!$B$1:$E$493</definedName>
    <definedName name="ExternalData_41" localSheetId="15">iRanking!$A$1:$K$370</definedName>
    <definedName name="ExternalData_41" localSheetId="10">PlayerEntries!#REF!</definedName>
    <definedName name="ExternalData_410" localSheetId="10">PlayerEntries!#REF!</definedName>
    <definedName name="ExternalData_411" localSheetId="10">PlayerEntries!#REF!</definedName>
    <definedName name="ExternalData_412" localSheetId="10">PlayerEntries!#REF!</definedName>
    <definedName name="ExternalData_413" localSheetId="10">PlayerEntries!#REF!</definedName>
    <definedName name="ExternalData_414" localSheetId="10">PlayerEntries!#REF!</definedName>
    <definedName name="ExternalData_415" localSheetId="10">PlayerEntries!#REF!</definedName>
    <definedName name="ExternalData_416" localSheetId="10">PlayerEntries!#REF!</definedName>
    <definedName name="ExternalData_417" localSheetId="10">PlayerEntries!#REF!</definedName>
    <definedName name="ExternalData_418" localSheetId="10">PlayerEntries!#REF!</definedName>
    <definedName name="ExternalData_419" localSheetId="10">PlayerEntries!#REF!</definedName>
    <definedName name="ExternalData_42" localSheetId="14">iDSTTAData!$B$1:$E$493</definedName>
    <definedName name="ExternalData_42" localSheetId="15">iRanking!$A$1:$K$370</definedName>
    <definedName name="ExternalData_42" localSheetId="10">PlayerEntries!#REF!</definedName>
    <definedName name="ExternalData_420" localSheetId="10">PlayerEntries!#REF!</definedName>
    <definedName name="ExternalData_421" localSheetId="10">PlayerEntries!#REF!</definedName>
    <definedName name="ExternalData_422" localSheetId="10">PlayerEntries!#REF!</definedName>
    <definedName name="ExternalData_423" localSheetId="10">PlayerEntries!#REF!</definedName>
    <definedName name="ExternalData_424" localSheetId="10">PlayerEntries!#REF!</definedName>
    <definedName name="ExternalData_425" localSheetId="10">PlayerEntries!#REF!</definedName>
    <definedName name="ExternalData_426" localSheetId="10">PlayerEntries!#REF!</definedName>
    <definedName name="ExternalData_427" localSheetId="10">PlayerEntries!#REF!</definedName>
    <definedName name="ExternalData_428" localSheetId="10">PlayerEntries!#REF!</definedName>
    <definedName name="ExternalData_429" localSheetId="10">PlayerEntries!#REF!</definedName>
    <definedName name="ExternalData_43" localSheetId="14">iDSTTAData!$B$1:$E$493</definedName>
    <definedName name="ExternalData_43" localSheetId="15">iRanking!$A$1:$K$372</definedName>
    <definedName name="ExternalData_43" localSheetId="10">PlayerEntries!#REF!</definedName>
    <definedName name="ExternalData_430" localSheetId="10">PlayerEntries!#REF!</definedName>
    <definedName name="ExternalData_431" localSheetId="10">PlayerEntries!#REF!</definedName>
    <definedName name="ExternalData_432" localSheetId="10">PlayerEntries!#REF!</definedName>
    <definedName name="ExternalData_433" localSheetId="10">PlayerEntries!#REF!</definedName>
    <definedName name="ExternalData_434" localSheetId="10">PlayerEntries!#REF!</definedName>
    <definedName name="ExternalData_435" localSheetId="10">PlayerEntries!#REF!</definedName>
    <definedName name="ExternalData_436" localSheetId="10">PlayerEntries!#REF!</definedName>
    <definedName name="ExternalData_437" localSheetId="10">PlayerEntries!#REF!</definedName>
    <definedName name="ExternalData_438" localSheetId="10">PlayerEntries!#REF!</definedName>
    <definedName name="ExternalData_439" localSheetId="10">PlayerEntries!#REF!</definedName>
    <definedName name="ExternalData_44" localSheetId="14">iDSTTAData!$B$1:$E$493</definedName>
    <definedName name="ExternalData_44" localSheetId="15">iRanking!$A$1:$K$372</definedName>
    <definedName name="ExternalData_44" localSheetId="10">PlayerEntries!#REF!</definedName>
    <definedName name="ExternalData_440" localSheetId="10">PlayerEntries!#REF!</definedName>
    <definedName name="ExternalData_441" localSheetId="10">PlayerEntries!#REF!</definedName>
    <definedName name="ExternalData_442" localSheetId="10">PlayerEntries!#REF!</definedName>
    <definedName name="ExternalData_443" localSheetId="10">PlayerEntries!#REF!</definedName>
    <definedName name="ExternalData_444" localSheetId="10">PlayerEntries!#REF!</definedName>
    <definedName name="ExternalData_445" localSheetId="10">PlayerEntries!#REF!</definedName>
    <definedName name="ExternalData_446" localSheetId="10">PlayerEntries!#REF!</definedName>
    <definedName name="ExternalData_447" localSheetId="10">PlayerEntries!#REF!</definedName>
    <definedName name="ExternalData_448" localSheetId="10">PlayerEntries!#REF!</definedName>
    <definedName name="ExternalData_449" localSheetId="10">PlayerEntries!#REF!</definedName>
    <definedName name="ExternalData_45" localSheetId="14">iDSTTAData!$B$1:$E$493</definedName>
    <definedName name="ExternalData_45" localSheetId="15">iRanking!$A$1:$K$372</definedName>
    <definedName name="ExternalData_45" localSheetId="10">PlayerEntries!#REF!</definedName>
    <definedName name="ExternalData_450" localSheetId="10">PlayerEntries!#REF!</definedName>
    <definedName name="ExternalData_451" localSheetId="10">PlayerEntries!#REF!</definedName>
    <definedName name="ExternalData_452" localSheetId="10">PlayerEntries!#REF!</definedName>
    <definedName name="ExternalData_453" localSheetId="10">PlayerEntries!#REF!</definedName>
    <definedName name="ExternalData_454" localSheetId="10">PlayerEntries!#REF!</definedName>
    <definedName name="ExternalData_455" localSheetId="10">PlayerEntries!#REF!</definedName>
    <definedName name="ExternalData_456" localSheetId="10">PlayerEntries!#REF!</definedName>
    <definedName name="ExternalData_457" localSheetId="10">PlayerEntries!#REF!</definedName>
    <definedName name="ExternalData_458" localSheetId="10">PlayerEntries!#REF!</definedName>
    <definedName name="ExternalData_459" localSheetId="10">PlayerEntries!#REF!</definedName>
    <definedName name="ExternalData_46" localSheetId="14">iDSTTAData!$B$1:$E$493</definedName>
    <definedName name="ExternalData_46" localSheetId="15">iRanking!$A$1:$K$372</definedName>
    <definedName name="ExternalData_46" localSheetId="10">PlayerEntries!#REF!</definedName>
    <definedName name="ExternalData_460" localSheetId="10">PlayerEntries!#REF!</definedName>
    <definedName name="ExternalData_461" localSheetId="10">PlayerEntries!#REF!</definedName>
    <definedName name="ExternalData_462" localSheetId="10">PlayerEntries!#REF!</definedName>
    <definedName name="ExternalData_463" localSheetId="10">PlayerEntries!#REF!</definedName>
    <definedName name="ExternalData_464" localSheetId="10">PlayerEntries!#REF!</definedName>
    <definedName name="ExternalData_465" localSheetId="10">PlayerEntries!#REF!</definedName>
    <definedName name="ExternalData_466" localSheetId="10">PlayerEntries!#REF!</definedName>
    <definedName name="ExternalData_467" localSheetId="10">PlayerEntries!#REF!</definedName>
    <definedName name="ExternalData_468" localSheetId="10">PlayerEntries!#REF!</definedName>
    <definedName name="ExternalData_469" localSheetId="10">PlayerEntries!#REF!</definedName>
    <definedName name="ExternalData_47" localSheetId="14">iDSTTAData!$B$1:$E$496</definedName>
    <definedName name="ExternalData_47" localSheetId="15">iRanking!$A$1:$K$372</definedName>
    <definedName name="ExternalData_47" localSheetId="10">PlayerEntries!#REF!</definedName>
    <definedName name="ExternalData_470" localSheetId="10">PlayerEntries!#REF!</definedName>
    <definedName name="ExternalData_471" localSheetId="10">PlayerEntries!#REF!</definedName>
    <definedName name="ExternalData_472" localSheetId="10">PlayerEntries!#REF!</definedName>
    <definedName name="ExternalData_473" localSheetId="10">PlayerEntries!#REF!</definedName>
    <definedName name="ExternalData_474" localSheetId="10">PlayerEntries!#REF!</definedName>
    <definedName name="ExternalData_475" localSheetId="10">PlayerEntries!#REF!</definedName>
    <definedName name="ExternalData_476" localSheetId="10">PlayerEntries!#REF!</definedName>
    <definedName name="ExternalData_477" localSheetId="10">PlayerEntries!#REF!</definedName>
    <definedName name="ExternalData_478" localSheetId="10">PlayerEntries!#REF!</definedName>
    <definedName name="ExternalData_479" localSheetId="10">PlayerEntries!#REF!</definedName>
    <definedName name="ExternalData_48" localSheetId="14">iDSTTAData!$B$1:$E$497</definedName>
    <definedName name="ExternalData_48" localSheetId="15">iRanking!$A$1:$K$372</definedName>
    <definedName name="ExternalData_48" localSheetId="10">PlayerEntries!#REF!</definedName>
    <definedName name="ExternalData_480" localSheetId="10">PlayerEntries!#REF!</definedName>
    <definedName name="ExternalData_481" localSheetId="10">PlayerEntries!#REF!</definedName>
    <definedName name="ExternalData_482" localSheetId="10">PlayerEntries!#REF!</definedName>
    <definedName name="ExternalData_483" localSheetId="10">PlayerEntries!#REF!</definedName>
    <definedName name="ExternalData_484" localSheetId="10">PlayerEntries!#REF!</definedName>
    <definedName name="ExternalData_485" localSheetId="10">PlayerEntries!#REF!</definedName>
    <definedName name="ExternalData_486" localSheetId="10">PlayerEntries!#REF!</definedName>
    <definedName name="ExternalData_487" localSheetId="10">PlayerEntries!#REF!</definedName>
    <definedName name="ExternalData_488" localSheetId="10">PlayerEntries!#REF!</definedName>
    <definedName name="ExternalData_489" localSheetId="10">PlayerEntries!#REF!</definedName>
    <definedName name="ExternalData_49" localSheetId="14">iDSTTAData!$B$1:$E$497</definedName>
    <definedName name="ExternalData_49" localSheetId="15">iRanking!$A$1:$K$374</definedName>
    <definedName name="ExternalData_49" localSheetId="10">PlayerEntries!#REF!</definedName>
    <definedName name="ExternalData_490" localSheetId="10">PlayerEntries!#REF!</definedName>
    <definedName name="ExternalData_491" localSheetId="10">PlayerEntries!#REF!</definedName>
    <definedName name="ExternalData_492" localSheetId="10">PlayerEntries!#REF!</definedName>
    <definedName name="ExternalData_493" localSheetId="10">PlayerEntries!#REF!</definedName>
    <definedName name="ExternalData_494" localSheetId="10">PlayerEntries!#REF!</definedName>
    <definedName name="ExternalData_495" localSheetId="10">PlayerEntries!#REF!</definedName>
    <definedName name="ExternalData_496" localSheetId="10">PlayerEntries!#REF!</definedName>
    <definedName name="ExternalData_497" localSheetId="10">PlayerEntries!#REF!</definedName>
    <definedName name="ExternalData_498" localSheetId="10">PlayerEntries!#REF!</definedName>
    <definedName name="ExternalData_499" localSheetId="10">PlayerEntries!#REF!</definedName>
    <definedName name="ExternalData_5" localSheetId="14">iDSTTAData!$B$1:$E$488</definedName>
    <definedName name="ExternalData_5" localSheetId="15">iRanking!$A$1:$K$359</definedName>
    <definedName name="ExternalData_5" localSheetId="16">iTournamentEntries!$M$1:$CI$32</definedName>
    <definedName name="ExternalData_5" localSheetId="10">PlayerEntries!$B$1:$AL$32</definedName>
    <definedName name="ExternalData_50" localSheetId="14">iDSTTAData!$B$1:$E$497</definedName>
    <definedName name="ExternalData_50" localSheetId="15">iRanking!$A$1:$K$374</definedName>
    <definedName name="ExternalData_50" localSheetId="10">PlayerEntries!#REF!</definedName>
    <definedName name="ExternalData_500" localSheetId="10">PlayerEntries!#REF!</definedName>
    <definedName name="ExternalData_501" localSheetId="10">PlayerEntries!#REF!</definedName>
    <definedName name="ExternalData_502" localSheetId="10">PlayerEntries!#REF!</definedName>
    <definedName name="ExternalData_503" localSheetId="10">PlayerEntries!#REF!</definedName>
    <definedName name="ExternalData_504" localSheetId="10">PlayerEntries!#REF!</definedName>
    <definedName name="ExternalData_505" localSheetId="10">PlayerEntries!#REF!</definedName>
    <definedName name="ExternalData_506" localSheetId="10">PlayerEntries!#REF!</definedName>
    <definedName name="ExternalData_507" localSheetId="10">PlayerEntries!#REF!</definedName>
    <definedName name="ExternalData_508" localSheetId="10">PlayerEntries!#REF!</definedName>
    <definedName name="ExternalData_509" localSheetId="10">PlayerEntries!#REF!</definedName>
    <definedName name="ExternalData_51" localSheetId="14">iDSTTAData!$B$1:$E$497</definedName>
    <definedName name="ExternalData_51" localSheetId="15">iRanking!$A$1:$K$374</definedName>
    <definedName name="ExternalData_51" localSheetId="10">PlayerEntries!#REF!</definedName>
    <definedName name="ExternalData_510" localSheetId="10">PlayerEntries!#REF!</definedName>
    <definedName name="ExternalData_511" localSheetId="10">PlayerEntries!#REF!</definedName>
    <definedName name="ExternalData_512" localSheetId="10">PlayerEntries!#REF!</definedName>
    <definedName name="ExternalData_513" localSheetId="10">PlayerEntries!#REF!</definedName>
    <definedName name="ExternalData_514" localSheetId="10">PlayerEntries!#REF!</definedName>
    <definedName name="ExternalData_515" localSheetId="10">PlayerEntries!#REF!</definedName>
    <definedName name="ExternalData_516" localSheetId="10">PlayerEntries!#REF!</definedName>
    <definedName name="ExternalData_517" localSheetId="10">PlayerEntries!#REF!</definedName>
    <definedName name="ExternalData_518" localSheetId="10">PlayerEntries!#REF!</definedName>
    <definedName name="ExternalData_519" localSheetId="10">PlayerEntries!#REF!</definedName>
    <definedName name="ExternalData_52" localSheetId="14">iDSTTAData!$B$1:$E$497</definedName>
    <definedName name="ExternalData_52" localSheetId="15">iRanking!$A$1:$K$374</definedName>
    <definedName name="ExternalData_52" localSheetId="10">PlayerEntries!#REF!</definedName>
    <definedName name="ExternalData_520" localSheetId="10">PlayerEntries!#REF!</definedName>
    <definedName name="ExternalData_521" localSheetId="10">PlayerEntries!#REF!</definedName>
    <definedName name="ExternalData_522" localSheetId="10">PlayerEntries!#REF!</definedName>
    <definedName name="ExternalData_523" localSheetId="10">PlayerEntries!#REF!</definedName>
    <definedName name="ExternalData_524" localSheetId="10">PlayerEntries!#REF!</definedName>
    <definedName name="ExternalData_525" localSheetId="10">PlayerEntries!#REF!</definedName>
    <definedName name="ExternalData_526" localSheetId="10">PlayerEntries!#REF!</definedName>
    <definedName name="ExternalData_527" localSheetId="10">PlayerEntries!#REF!</definedName>
    <definedName name="ExternalData_528" localSheetId="10">PlayerEntries!#REF!</definedName>
    <definedName name="ExternalData_529" localSheetId="10">PlayerEntries!#REF!</definedName>
    <definedName name="ExternalData_53" localSheetId="14">iDSTTAData!$B$1:$E$497</definedName>
    <definedName name="ExternalData_53" localSheetId="15">iRanking!$A$1:$K$375</definedName>
    <definedName name="ExternalData_53" localSheetId="10">PlayerEntries!#REF!</definedName>
    <definedName name="ExternalData_530" localSheetId="10">PlayerEntries!#REF!</definedName>
    <definedName name="ExternalData_531" localSheetId="10">PlayerEntries!#REF!</definedName>
    <definedName name="ExternalData_532" localSheetId="10">PlayerEntries!#REF!</definedName>
    <definedName name="ExternalData_533" localSheetId="10">PlayerEntries!#REF!</definedName>
    <definedName name="ExternalData_534" localSheetId="10">PlayerEntries!#REF!</definedName>
    <definedName name="ExternalData_535" localSheetId="10">PlayerEntries!#REF!</definedName>
    <definedName name="ExternalData_536" localSheetId="10">PlayerEntries!#REF!</definedName>
    <definedName name="ExternalData_537" localSheetId="10">PlayerEntries!#REF!</definedName>
    <definedName name="ExternalData_538" localSheetId="10">PlayerEntries!#REF!</definedName>
    <definedName name="ExternalData_539" localSheetId="10">PlayerEntries!#REF!</definedName>
    <definedName name="ExternalData_54" localSheetId="14">iDSTTAData!$B$1:$E$497</definedName>
    <definedName name="ExternalData_54" localSheetId="15">iRanking!$A$1:$K$375</definedName>
    <definedName name="ExternalData_54" localSheetId="10">PlayerEntries!#REF!</definedName>
    <definedName name="ExternalData_540" localSheetId="10">PlayerEntries!#REF!</definedName>
    <definedName name="ExternalData_541" localSheetId="10">PlayerEntries!#REF!</definedName>
    <definedName name="ExternalData_542" localSheetId="10">PlayerEntries!#REF!</definedName>
    <definedName name="ExternalData_543" localSheetId="10">PlayerEntries!#REF!</definedName>
    <definedName name="ExternalData_544" localSheetId="10">PlayerEntries!#REF!</definedName>
    <definedName name="ExternalData_545" localSheetId="10">PlayerEntries!#REF!</definedName>
    <definedName name="ExternalData_546" localSheetId="10">PlayerEntries!#REF!</definedName>
    <definedName name="ExternalData_547" localSheetId="10">PlayerEntries!#REF!</definedName>
    <definedName name="ExternalData_548" localSheetId="10">PlayerEntries!#REF!</definedName>
    <definedName name="ExternalData_549" localSheetId="10">PlayerEntries!#REF!</definedName>
    <definedName name="ExternalData_55" localSheetId="14">iDSTTAData!$B$1:$E$497</definedName>
    <definedName name="ExternalData_55" localSheetId="15">iRanking!$A$1:$K$375</definedName>
    <definedName name="ExternalData_55" localSheetId="10">PlayerEntries!#REF!</definedName>
    <definedName name="ExternalData_550" localSheetId="10">PlayerEntries!#REF!</definedName>
    <definedName name="ExternalData_551" localSheetId="10">PlayerEntries!#REF!</definedName>
    <definedName name="ExternalData_552" localSheetId="10">PlayerEntries!#REF!</definedName>
    <definedName name="ExternalData_553" localSheetId="10">PlayerEntries!#REF!</definedName>
    <definedName name="ExternalData_554" localSheetId="10">PlayerEntries!#REF!</definedName>
    <definedName name="ExternalData_555" localSheetId="10">PlayerEntries!#REF!</definedName>
    <definedName name="ExternalData_556" localSheetId="10">PlayerEntries!#REF!</definedName>
    <definedName name="ExternalData_557" localSheetId="10">PlayerEntries!#REF!</definedName>
    <definedName name="ExternalData_558" localSheetId="10">PlayerEntries!#REF!</definedName>
    <definedName name="ExternalData_559" localSheetId="10">PlayerEntries!#REF!</definedName>
    <definedName name="ExternalData_56" localSheetId="14">iDSTTAData!$B$1:$E$497</definedName>
    <definedName name="ExternalData_56" localSheetId="15">iRanking!$A$1:$K$391</definedName>
    <definedName name="ExternalData_56" localSheetId="10">PlayerEntries!#REF!</definedName>
    <definedName name="ExternalData_560" localSheetId="10">PlayerEntries!#REF!</definedName>
    <definedName name="ExternalData_561" localSheetId="10">PlayerEntries!#REF!</definedName>
    <definedName name="ExternalData_562" localSheetId="10">PlayerEntries!#REF!</definedName>
    <definedName name="ExternalData_563" localSheetId="10">PlayerEntries!#REF!</definedName>
    <definedName name="ExternalData_564" localSheetId="10">PlayerEntries!#REF!</definedName>
    <definedName name="ExternalData_565" localSheetId="10">PlayerEntries!#REF!</definedName>
    <definedName name="ExternalData_566" localSheetId="10">PlayerEntries!#REF!</definedName>
    <definedName name="ExternalData_567" localSheetId="10">PlayerEntries!#REF!</definedName>
    <definedName name="ExternalData_568" localSheetId="10">PlayerEntries!#REF!</definedName>
    <definedName name="ExternalData_569" localSheetId="10">PlayerEntries!#REF!</definedName>
    <definedName name="ExternalData_57" localSheetId="14">iDSTTAData!$B$1:$E$497</definedName>
    <definedName name="ExternalData_57" localSheetId="15">iRanking!$A$1:$K$393</definedName>
    <definedName name="ExternalData_57" localSheetId="10">PlayerEntries!#REF!</definedName>
    <definedName name="ExternalData_570" localSheetId="10">PlayerEntries!#REF!</definedName>
    <definedName name="ExternalData_571" localSheetId="10">PlayerEntries!#REF!</definedName>
    <definedName name="ExternalData_572" localSheetId="10">PlayerEntries!#REF!</definedName>
    <definedName name="ExternalData_573" localSheetId="10">PlayerEntries!#REF!</definedName>
    <definedName name="ExternalData_574" localSheetId="10">PlayerEntries!#REF!</definedName>
    <definedName name="ExternalData_575" localSheetId="10">PlayerEntries!#REF!</definedName>
    <definedName name="ExternalData_576" localSheetId="10">PlayerEntries!#REF!</definedName>
    <definedName name="ExternalData_577" localSheetId="10">PlayerEntries!#REF!</definedName>
    <definedName name="ExternalData_578" localSheetId="10">PlayerEntries!#REF!</definedName>
    <definedName name="ExternalData_579" localSheetId="10">PlayerEntries!#REF!</definedName>
    <definedName name="ExternalData_58" localSheetId="14">iDSTTAData!$B$1:$E$497</definedName>
    <definedName name="ExternalData_58" localSheetId="15">iRanking!$A$1:$K$393</definedName>
    <definedName name="ExternalData_58" localSheetId="10">PlayerEntries!#REF!</definedName>
    <definedName name="ExternalData_580" localSheetId="10">PlayerEntries!#REF!</definedName>
    <definedName name="ExternalData_581" localSheetId="10">PlayerEntries!#REF!</definedName>
    <definedName name="ExternalData_582" localSheetId="10">PlayerEntries!#REF!</definedName>
    <definedName name="ExternalData_583" localSheetId="10">PlayerEntries!#REF!</definedName>
    <definedName name="ExternalData_584" localSheetId="10">PlayerEntries!#REF!</definedName>
    <definedName name="ExternalData_585" localSheetId="10">PlayerEntries!#REF!</definedName>
    <definedName name="ExternalData_586" localSheetId="10">PlayerEntries!#REF!</definedName>
    <definedName name="ExternalData_587" localSheetId="10">PlayerEntries!#REF!</definedName>
    <definedName name="ExternalData_588" localSheetId="10">PlayerEntries!#REF!</definedName>
    <definedName name="ExternalData_589" localSheetId="10">PlayerEntries!#REF!</definedName>
    <definedName name="ExternalData_59" localSheetId="14">iDSTTAData!$B$1:$E$497</definedName>
    <definedName name="ExternalData_59" localSheetId="15">iRanking!$A$1:$K$393</definedName>
    <definedName name="ExternalData_59" localSheetId="10">PlayerEntries!#REF!</definedName>
    <definedName name="ExternalData_590" localSheetId="10">PlayerEntries!#REF!</definedName>
    <definedName name="ExternalData_591" localSheetId="10">PlayerEntries!#REF!</definedName>
    <definedName name="ExternalData_592" localSheetId="10">PlayerEntries!#REF!</definedName>
    <definedName name="ExternalData_593" localSheetId="10">PlayerEntries!#REF!</definedName>
    <definedName name="ExternalData_594" localSheetId="10">PlayerEntries!#REF!</definedName>
    <definedName name="ExternalData_595" localSheetId="10">PlayerEntries!#REF!</definedName>
    <definedName name="ExternalData_596" localSheetId="10">PlayerEntries!#REF!</definedName>
    <definedName name="ExternalData_597" localSheetId="10">PlayerEntries!#REF!</definedName>
    <definedName name="ExternalData_598" localSheetId="10">PlayerEntries!#REF!</definedName>
    <definedName name="ExternalData_599" localSheetId="10">PlayerEntries!#REF!</definedName>
    <definedName name="ExternalData_6" localSheetId="14">iDSTTAData!$B$1:$E$488</definedName>
    <definedName name="ExternalData_6" localSheetId="15">iRanking!$A$1:$K$359</definedName>
    <definedName name="ExternalData_6" localSheetId="16">iTournamentEntries!$L$1:$CH$32</definedName>
    <definedName name="ExternalData_6" localSheetId="10">PlayerEntries!$B$1:$AL$32</definedName>
    <definedName name="ExternalData_60" localSheetId="14">iDSTTAData!$B$1:$E$497</definedName>
    <definedName name="ExternalData_60" localSheetId="15">iRanking!$A$1:$K$393</definedName>
    <definedName name="ExternalData_60" localSheetId="10">PlayerEntries!#REF!</definedName>
    <definedName name="ExternalData_600" localSheetId="10">PlayerEntries!#REF!</definedName>
    <definedName name="ExternalData_601" localSheetId="10">PlayerEntries!#REF!</definedName>
    <definedName name="ExternalData_602" localSheetId="10">PlayerEntries!#REF!</definedName>
    <definedName name="ExternalData_603" localSheetId="10">PlayerEntries!#REF!</definedName>
    <definedName name="ExternalData_604" localSheetId="10">PlayerEntries!#REF!</definedName>
    <definedName name="ExternalData_605" localSheetId="10">PlayerEntries!#REF!</definedName>
    <definedName name="ExternalData_606" localSheetId="10">PlayerEntries!#REF!</definedName>
    <definedName name="ExternalData_607" localSheetId="10">PlayerEntries!#REF!</definedName>
    <definedName name="ExternalData_608" localSheetId="10">PlayerEntries!#REF!</definedName>
    <definedName name="ExternalData_609" localSheetId="10">PlayerEntries!#REF!</definedName>
    <definedName name="ExternalData_61" localSheetId="14">iDSTTAData!$B$1:$E$497</definedName>
    <definedName name="ExternalData_61" localSheetId="15">iRanking!$A$1:$K$393</definedName>
    <definedName name="ExternalData_61" localSheetId="10">PlayerEntries!#REF!</definedName>
    <definedName name="ExternalData_610" localSheetId="10">PlayerEntries!#REF!</definedName>
    <definedName name="ExternalData_611" localSheetId="10">PlayerEntries!#REF!</definedName>
    <definedName name="ExternalData_612" localSheetId="10">PlayerEntries!#REF!</definedName>
    <definedName name="ExternalData_613" localSheetId="10">PlayerEntries!#REF!</definedName>
    <definedName name="ExternalData_614" localSheetId="10">PlayerEntries!#REF!</definedName>
    <definedName name="ExternalData_615" localSheetId="10">PlayerEntries!#REF!</definedName>
    <definedName name="ExternalData_616" localSheetId="10">PlayerEntries!#REF!</definedName>
    <definedName name="ExternalData_617" localSheetId="10">PlayerEntries!#REF!</definedName>
    <definedName name="ExternalData_618" localSheetId="10">PlayerEntries!#REF!</definedName>
    <definedName name="ExternalData_619" localSheetId="10">PlayerEntries!#REF!</definedName>
    <definedName name="ExternalData_62" localSheetId="14">iDSTTAData!$B$1:$E$497</definedName>
    <definedName name="ExternalData_62" localSheetId="15">iRanking!$A$1:$K$393</definedName>
    <definedName name="ExternalData_62" localSheetId="10">PlayerEntries!#REF!</definedName>
    <definedName name="ExternalData_620" localSheetId="10">PlayerEntries!#REF!</definedName>
    <definedName name="ExternalData_621" localSheetId="10">PlayerEntries!#REF!</definedName>
    <definedName name="ExternalData_622" localSheetId="10">PlayerEntries!#REF!</definedName>
    <definedName name="ExternalData_623" localSheetId="10">PlayerEntries!#REF!</definedName>
    <definedName name="ExternalData_624" localSheetId="10">PlayerEntries!#REF!</definedName>
    <definedName name="ExternalData_625" localSheetId="10">PlayerEntries!#REF!</definedName>
    <definedName name="ExternalData_626" localSheetId="10">PlayerEntries!#REF!</definedName>
    <definedName name="ExternalData_627" localSheetId="10">PlayerEntries!#REF!</definedName>
    <definedName name="ExternalData_628" localSheetId="10">PlayerEntries!#REF!</definedName>
    <definedName name="ExternalData_629" localSheetId="10">PlayerEntries!#REF!</definedName>
    <definedName name="ExternalData_63" localSheetId="14">iDSTTAData!$B$1:$E$497</definedName>
    <definedName name="ExternalData_63" localSheetId="15">iRanking!$A$1:$K$393</definedName>
    <definedName name="ExternalData_63" localSheetId="10">PlayerEntries!#REF!</definedName>
    <definedName name="ExternalData_630" localSheetId="10">PlayerEntries!#REF!</definedName>
    <definedName name="ExternalData_631" localSheetId="10">PlayerEntries!#REF!</definedName>
    <definedName name="ExternalData_632" localSheetId="10">PlayerEntries!#REF!</definedName>
    <definedName name="ExternalData_633" localSheetId="10">PlayerEntries!#REF!</definedName>
    <definedName name="ExternalData_634" localSheetId="10">PlayerEntries!#REF!</definedName>
    <definedName name="ExternalData_635" localSheetId="10">PlayerEntries!#REF!</definedName>
    <definedName name="ExternalData_636" localSheetId="10">PlayerEntries!#REF!</definedName>
    <definedName name="ExternalData_637" localSheetId="10">PlayerEntries!#REF!</definedName>
    <definedName name="ExternalData_638" localSheetId="10">PlayerEntries!#REF!</definedName>
    <definedName name="ExternalData_639" localSheetId="10">PlayerEntries!#REF!</definedName>
    <definedName name="ExternalData_64" localSheetId="14">iDSTTAData!$B$1:$E$497</definedName>
    <definedName name="ExternalData_64" localSheetId="15">iRanking!$A$1:$K$393</definedName>
    <definedName name="ExternalData_64" localSheetId="10">PlayerEntries!#REF!</definedName>
    <definedName name="ExternalData_640" localSheetId="10">PlayerEntries!#REF!</definedName>
    <definedName name="ExternalData_641" localSheetId="10">PlayerEntries!#REF!</definedName>
    <definedName name="ExternalData_642" localSheetId="10">PlayerEntries!#REF!</definedName>
    <definedName name="ExternalData_643" localSheetId="10">PlayerEntries!#REF!</definedName>
    <definedName name="ExternalData_644" localSheetId="10">PlayerEntries!#REF!</definedName>
    <definedName name="ExternalData_645" localSheetId="10">PlayerEntries!#REF!</definedName>
    <definedName name="ExternalData_646" localSheetId="10">PlayerEntries!#REF!</definedName>
    <definedName name="ExternalData_647" localSheetId="10">PlayerEntries!#REF!</definedName>
    <definedName name="ExternalData_648" localSheetId="10">PlayerEntries!#REF!</definedName>
    <definedName name="ExternalData_649" localSheetId="10">PlayerEntries!#REF!</definedName>
    <definedName name="ExternalData_65" localSheetId="14">iDSTTAData!$B$1:$E$497</definedName>
    <definedName name="ExternalData_65" localSheetId="15">iRanking!$A$1:$L$393</definedName>
    <definedName name="ExternalData_65" localSheetId="10">PlayerEntries!#REF!</definedName>
    <definedName name="ExternalData_650" localSheetId="10">PlayerEntries!#REF!</definedName>
    <definedName name="ExternalData_651" localSheetId="10">PlayerEntries!#REF!</definedName>
    <definedName name="ExternalData_652" localSheetId="10">PlayerEntries!#REF!</definedName>
    <definedName name="ExternalData_653" localSheetId="10">PlayerEntries!#REF!</definedName>
    <definedName name="ExternalData_654" localSheetId="10">PlayerEntries!#REF!</definedName>
    <definedName name="ExternalData_655" localSheetId="10">PlayerEntries!#REF!</definedName>
    <definedName name="ExternalData_656" localSheetId="10">PlayerEntries!#REF!</definedName>
    <definedName name="ExternalData_657" localSheetId="10">PlayerEntries!#REF!</definedName>
    <definedName name="ExternalData_658" localSheetId="10">PlayerEntries!#REF!</definedName>
    <definedName name="ExternalData_659" localSheetId="10">PlayerEntries!#REF!</definedName>
    <definedName name="ExternalData_66" localSheetId="14">iDSTTAData!$B$1:$E$497</definedName>
    <definedName name="ExternalData_66" localSheetId="15">iRanking!$A$1:$L$393</definedName>
    <definedName name="ExternalData_66" localSheetId="10">PlayerEntries!#REF!</definedName>
    <definedName name="ExternalData_660" localSheetId="10">PlayerEntries!#REF!</definedName>
    <definedName name="ExternalData_661" localSheetId="10">PlayerEntries!#REF!</definedName>
    <definedName name="ExternalData_662" localSheetId="10">PlayerEntries!#REF!</definedName>
    <definedName name="ExternalData_663" localSheetId="10">PlayerEntries!#REF!</definedName>
    <definedName name="ExternalData_664" localSheetId="10">PlayerEntries!#REF!</definedName>
    <definedName name="ExternalData_665" localSheetId="10">PlayerEntries!#REF!</definedName>
    <definedName name="ExternalData_666" localSheetId="10">PlayerEntries!#REF!</definedName>
    <definedName name="ExternalData_667" localSheetId="10">PlayerEntries!#REF!</definedName>
    <definedName name="ExternalData_668" localSheetId="10">PlayerEntries!#REF!</definedName>
    <definedName name="ExternalData_669" localSheetId="10">PlayerEntries!#REF!</definedName>
    <definedName name="ExternalData_67" localSheetId="14">iDSTTAData!$B$1:$E$497</definedName>
    <definedName name="ExternalData_67" localSheetId="15">iRanking!$A$1:$L$393</definedName>
    <definedName name="ExternalData_67" localSheetId="10">PlayerEntries!#REF!</definedName>
    <definedName name="ExternalData_670" localSheetId="10">PlayerEntries!#REF!</definedName>
    <definedName name="ExternalData_671" localSheetId="10">PlayerEntries!#REF!</definedName>
    <definedName name="ExternalData_672" localSheetId="10">PlayerEntries!#REF!</definedName>
    <definedName name="ExternalData_673" localSheetId="10">PlayerEntries!#REF!</definedName>
    <definedName name="ExternalData_674" localSheetId="10">PlayerEntries!#REF!</definedName>
    <definedName name="ExternalData_675" localSheetId="10">PlayerEntries!#REF!</definedName>
    <definedName name="ExternalData_676" localSheetId="10">PlayerEntries!#REF!</definedName>
    <definedName name="ExternalData_677" localSheetId="10">PlayerEntries!#REF!</definedName>
    <definedName name="ExternalData_678" localSheetId="10">PlayerEntries!#REF!</definedName>
    <definedName name="ExternalData_679" localSheetId="10">PlayerEntries!#REF!</definedName>
    <definedName name="ExternalData_68" localSheetId="14">iDSTTAData!$B$1:$E$497</definedName>
    <definedName name="ExternalData_68" localSheetId="15">iRanking!$A$1:$L$393</definedName>
    <definedName name="ExternalData_68" localSheetId="10">PlayerEntries!#REF!</definedName>
    <definedName name="ExternalData_680" localSheetId="10">PlayerEntries!#REF!</definedName>
    <definedName name="ExternalData_681" localSheetId="10">PlayerEntries!#REF!</definedName>
    <definedName name="ExternalData_682" localSheetId="10">PlayerEntries!#REF!</definedName>
    <definedName name="ExternalData_683" localSheetId="10">PlayerEntries!#REF!</definedName>
    <definedName name="ExternalData_684" localSheetId="10">PlayerEntries!#REF!</definedName>
    <definedName name="ExternalData_685" localSheetId="10">PlayerEntries!#REF!</definedName>
    <definedName name="ExternalData_686" localSheetId="10">PlayerEntries!#REF!</definedName>
    <definedName name="ExternalData_687" localSheetId="10">PlayerEntries!#REF!</definedName>
    <definedName name="ExternalData_688" localSheetId="10">PlayerEntries!#REF!</definedName>
    <definedName name="ExternalData_689" localSheetId="10">PlayerEntries!#REF!</definedName>
    <definedName name="ExternalData_69" localSheetId="14">iDSTTAData!$B$1:$E$497</definedName>
    <definedName name="ExternalData_69" localSheetId="15">iRanking!$A$1:$L$393</definedName>
    <definedName name="ExternalData_69" localSheetId="10">PlayerEntries!#REF!</definedName>
    <definedName name="ExternalData_690" localSheetId="10">PlayerEntries!#REF!</definedName>
    <definedName name="ExternalData_691" localSheetId="10">PlayerEntries!#REF!</definedName>
    <definedName name="ExternalData_692" localSheetId="10">PlayerEntries!#REF!</definedName>
    <definedName name="ExternalData_693" localSheetId="10">PlayerEntries!#REF!</definedName>
    <definedName name="ExternalData_694" localSheetId="10">PlayerEntries!#REF!</definedName>
    <definedName name="ExternalData_695" localSheetId="10">PlayerEntries!#REF!</definedName>
    <definedName name="ExternalData_696" localSheetId="10">PlayerEntries!#REF!</definedName>
    <definedName name="ExternalData_697" localSheetId="10">PlayerEntries!#REF!</definedName>
    <definedName name="ExternalData_698" localSheetId="10">PlayerEntries!#REF!</definedName>
    <definedName name="ExternalData_699" localSheetId="10">PlayerEntries!#REF!</definedName>
    <definedName name="ExternalData_7" localSheetId="14">iDSTTAData!$B$1:$E$488</definedName>
    <definedName name="ExternalData_7" localSheetId="15">iRanking!$A$1:$K$359</definedName>
    <definedName name="ExternalData_7" localSheetId="16">iTournamentEntries!$K$1:$CG$32</definedName>
    <definedName name="ExternalData_7" localSheetId="10">PlayerEntries!$B$1:$AL$32</definedName>
    <definedName name="ExternalData_70" localSheetId="14">iDSTTAData!$B$1:$E$537</definedName>
    <definedName name="ExternalData_70" localSheetId="15">iRanking!$A$1:$L$393</definedName>
    <definedName name="ExternalData_70" localSheetId="10">PlayerEntries!#REF!</definedName>
    <definedName name="ExternalData_700" localSheetId="10">PlayerEntries!#REF!</definedName>
    <definedName name="ExternalData_701" localSheetId="10">PlayerEntries!#REF!</definedName>
    <definedName name="ExternalData_702" localSheetId="10">PlayerEntries!#REF!</definedName>
    <definedName name="ExternalData_703" localSheetId="10">PlayerEntries!#REF!</definedName>
    <definedName name="ExternalData_704" localSheetId="10">PlayerEntries!#REF!</definedName>
    <definedName name="ExternalData_705" localSheetId="10">PlayerEntries!#REF!</definedName>
    <definedName name="ExternalData_706" localSheetId="10">PlayerEntries!#REF!</definedName>
    <definedName name="ExternalData_707" localSheetId="10">PlayerEntries!#REF!</definedName>
    <definedName name="ExternalData_708" localSheetId="10">PlayerEntries!#REF!</definedName>
    <definedName name="ExternalData_709" localSheetId="10">PlayerEntries!#REF!</definedName>
    <definedName name="ExternalData_71" localSheetId="14">iDSTTAData!$B$1:$E$546</definedName>
    <definedName name="ExternalData_71" localSheetId="15">iRanking!$A$1:$L$393</definedName>
    <definedName name="ExternalData_71" localSheetId="10">PlayerEntries!$B$1:$AL$10</definedName>
    <definedName name="ExternalData_710" localSheetId="10">PlayerEntries!#REF!</definedName>
    <definedName name="ExternalData_711" localSheetId="10">PlayerEntries!#REF!</definedName>
    <definedName name="ExternalData_712" localSheetId="10">PlayerEntries!#REF!</definedName>
    <definedName name="ExternalData_713" localSheetId="10">PlayerEntries!#REF!</definedName>
    <definedName name="ExternalData_714" localSheetId="10">PlayerEntries!#REF!</definedName>
    <definedName name="ExternalData_715" localSheetId="10">PlayerEntries!#REF!</definedName>
    <definedName name="ExternalData_716" localSheetId="10">PlayerEntries!#REF!</definedName>
    <definedName name="ExternalData_717" localSheetId="10">PlayerEntries!#REF!</definedName>
    <definedName name="ExternalData_718" localSheetId="10">PlayerEntries!#REF!</definedName>
    <definedName name="ExternalData_719" localSheetId="10">PlayerEntries!#REF!</definedName>
    <definedName name="ExternalData_72" localSheetId="14">iDSTTAData!$B$1:$E$546</definedName>
    <definedName name="ExternalData_72" localSheetId="15">iRanking!$A$1:$L$393</definedName>
    <definedName name="ExternalData_72" localSheetId="10">PlayerEntries!$B$1:$EZP$148</definedName>
    <definedName name="ExternalData_720" localSheetId="10">PlayerEntries!#REF!</definedName>
    <definedName name="ExternalData_721" localSheetId="10">PlayerEntries!#REF!</definedName>
    <definedName name="ExternalData_722" localSheetId="10">PlayerEntries!#REF!</definedName>
    <definedName name="ExternalData_723" localSheetId="10">PlayerEntries!#REF!</definedName>
    <definedName name="ExternalData_724" localSheetId="10">PlayerEntries!#REF!</definedName>
    <definedName name="ExternalData_725" localSheetId="10">PlayerEntries!#REF!</definedName>
    <definedName name="ExternalData_726" localSheetId="10">PlayerEntries!#REF!</definedName>
    <definedName name="ExternalData_727" localSheetId="10">PlayerEntries!#REF!</definedName>
    <definedName name="ExternalData_728" localSheetId="10">PlayerEntries!#REF!</definedName>
    <definedName name="ExternalData_729" localSheetId="10">PlayerEntries!#REF!</definedName>
    <definedName name="ExternalData_73" localSheetId="14">iDSTTAData!$B$1:$E$546</definedName>
    <definedName name="ExternalData_73" localSheetId="15">iRanking!$A$1:$L$393</definedName>
    <definedName name="ExternalData_73" localSheetId="10">PlayerEntries!$B$1:$FFL$148</definedName>
    <definedName name="ExternalData_730" localSheetId="10">PlayerEntries!#REF!</definedName>
    <definedName name="ExternalData_731" localSheetId="10">PlayerEntries!#REF!</definedName>
    <definedName name="ExternalData_732" localSheetId="10">PlayerEntries!#REF!</definedName>
    <definedName name="ExternalData_733" localSheetId="10">PlayerEntries!#REF!</definedName>
    <definedName name="ExternalData_734" localSheetId="10">PlayerEntries!#REF!</definedName>
    <definedName name="ExternalData_735" localSheetId="10">PlayerEntries!#REF!</definedName>
    <definedName name="ExternalData_736" localSheetId="10">PlayerEntries!#REF!</definedName>
    <definedName name="ExternalData_737" localSheetId="10">PlayerEntries!#REF!</definedName>
    <definedName name="ExternalData_738" localSheetId="10">PlayerEntries!#REF!</definedName>
    <definedName name="ExternalData_739" localSheetId="10">PlayerEntries!#REF!</definedName>
    <definedName name="ExternalData_74" localSheetId="14">iDSTTAData!$B$1:$E$546</definedName>
    <definedName name="ExternalData_74" localSheetId="15">iRanking!$A$1:$L$393</definedName>
    <definedName name="ExternalData_74" localSheetId="10">PlayerEntries!#REF!</definedName>
    <definedName name="ExternalData_740" localSheetId="10">PlayerEntries!#REF!</definedName>
    <definedName name="ExternalData_741" localSheetId="10">PlayerEntries!#REF!</definedName>
    <definedName name="ExternalData_742" localSheetId="10">PlayerEntries!#REF!</definedName>
    <definedName name="ExternalData_743" localSheetId="10">PlayerEntries!#REF!</definedName>
    <definedName name="ExternalData_744" localSheetId="10">PlayerEntries!#REF!</definedName>
    <definedName name="ExternalData_745" localSheetId="10">PlayerEntries!#REF!</definedName>
    <definedName name="ExternalData_746" localSheetId="10">PlayerEntries!#REF!</definedName>
    <definedName name="ExternalData_747" localSheetId="10">PlayerEntries!#REF!</definedName>
    <definedName name="ExternalData_748" localSheetId="10">PlayerEntries!#REF!</definedName>
    <definedName name="ExternalData_749" localSheetId="10">PlayerEntries!#REF!</definedName>
    <definedName name="ExternalData_75" localSheetId="14">iDSTTAData!$B$1:$E$546</definedName>
    <definedName name="ExternalData_75" localSheetId="15">iRanking!$A$1:$L$393</definedName>
    <definedName name="ExternalData_75" localSheetId="10">PlayerEntries!#REF!</definedName>
    <definedName name="ExternalData_750" localSheetId="10">PlayerEntries!#REF!</definedName>
    <definedName name="ExternalData_751" localSheetId="10">PlayerEntries!#REF!</definedName>
    <definedName name="ExternalData_752" localSheetId="10">PlayerEntries!#REF!</definedName>
    <definedName name="ExternalData_753" localSheetId="10">PlayerEntries!#REF!</definedName>
    <definedName name="ExternalData_754" localSheetId="10">PlayerEntries!#REF!</definedName>
    <definedName name="ExternalData_755" localSheetId="10">PlayerEntries!#REF!</definedName>
    <definedName name="ExternalData_756" localSheetId="10">PlayerEntries!#REF!</definedName>
    <definedName name="ExternalData_757" localSheetId="10">PlayerEntries!#REF!</definedName>
    <definedName name="ExternalData_758" localSheetId="10">PlayerEntries!#REF!</definedName>
    <definedName name="ExternalData_759" localSheetId="10">PlayerEntries!#REF!</definedName>
    <definedName name="ExternalData_76" localSheetId="14">iDSTTAData!$B$1:$E$546</definedName>
    <definedName name="ExternalData_76" localSheetId="15">iRanking!$A$1:$L$393</definedName>
    <definedName name="ExternalData_76" localSheetId="10">PlayerEntries!#REF!</definedName>
    <definedName name="ExternalData_760" localSheetId="10">PlayerEntries!#REF!</definedName>
    <definedName name="ExternalData_761" localSheetId="10">PlayerEntries!#REF!</definedName>
    <definedName name="ExternalData_762" localSheetId="10">PlayerEntries!#REF!</definedName>
    <definedName name="ExternalData_763" localSheetId="10">PlayerEntries!#REF!</definedName>
    <definedName name="ExternalData_764" localSheetId="10">PlayerEntries!#REF!</definedName>
    <definedName name="ExternalData_765" localSheetId="10">PlayerEntries!#REF!</definedName>
    <definedName name="ExternalData_766" localSheetId="10">PlayerEntries!#REF!</definedName>
    <definedName name="ExternalData_767" localSheetId="10">PlayerEntries!#REF!</definedName>
    <definedName name="ExternalData_768" localSheetId="10">PlayerEntries!#REF!</definedName>
    <definedName name="ExternalData_769" localSheetId="10">PlayerEntries!#REF!</definedName>
    <definedName name="ExternalData_77" localSheetId="14">iDSTTAData!$B$1:$E$546</definedName>
    <definedName name="ExternalData_77" localSheetId="15">iRanking!$A$1:$L$393</definedName>
    <definedName name="ExternalData_77" localSheetId="10">PlayerEntries!#REF!</definedName>
    <definedName name="ExternalData_770" localSheetId="10">PlayerEntries!#REF!</definedName>
    <definedName name="ExternalData_771" localSheetId="10">PlayerEntries!#REF!</definedName>
    <definedName name="ExternalData_772" localSheetId="10">PlayerEntries!#REF!</definedName>
    <definedName name="ExternalData_773" localSheetId="10">PlayerEntries!#REF!</definedName>
    <definedName name="ExternalData_774" localSheetId="10">PlayerEntries!#REF!</definedName>
    <definedName name="ExternalData_775" localSheetId="10">PlayerEntries!#REF!</definedName>
    <definedName name="ExternalData_776" localSheetId="10">PlayerEntries!#REF!</definedName>
    <definedName name="ExternalData_777" localSheetId="10">PlayerEntries!#REF!</definedName>
    <definedName name="ExternalData_778" localSheetId="10">PlayerEntries!#REF!</definedName>
    <definedName name="ExternalData_779" localSheetId="10">PlayerEntries!#REF!</definedName>
    <definedName name="ExternalData_78" localSheetId="14">iDSTTAData!$B$1:$E$546</definedName>
    <definedName name="ExternalData_78" localSheetId="15">iRanking!$A$1:$L$393</definedName>
    <definedName name="ExternalData_78" localSheetId="10">PlayerEntries!#REF!</definedName>
    <definedName name="ExternalData_780" localSheetId="10">PlayerEntries!#REF!</definedName>
    <definedName name="ExternalData_781" localSheetId="10">PlayerEntries!#REF!</definedName>
    <definedName name="ExternalData_782" localSheetId="10">PlayerEntries!#REF!</definedName>
    <definedName name="ExternalData_783" localSheetId="10">PlayerEntries!#REF!</definedName>
    <definedName name="ExternalData_784" localSheetId="10">PlayerEntries!#REF!</definedName>
    <definedName name="ExternalData_785" localSheetId="10">PlayerEntries!#REF!</definedName>
    <definedName name="ExternalData_786" localSheetId="10">PlayerEntries!#REF!</definedName>
    <definedName name="ExternalData_787" localSheetId="10">PlayerEntries!#REF!</definedName>
    <definedName name="ExternalData_788" localSheetId="10">PlayerEntries!#REF!</definedName>
    <definedName name="ExternalData_789" localSheetId="10">PlayerEntries!#REF!</definedName>
    <definedName name="ExternalData_79" localSheetId="14">iDSTTAData!$B$1:$E$566</definedName>
    <definedName name="ExternalData_79" localSheetId="15">iRanking!$A$1:$L$393</definedName>
    <definedName name="ExternalData_79" localSheetId="10">PlayerEntries!#REF!</definedName>
    <definedName name="ExternalData_790" localSheetId="10">PlayerEntries!#REF!</definedName>
    <definedName name="ExternalData_791" localSheetId="10">PlayerEntries!#REF!</definedName>
    <definedName name="ExternalData_792" localSheetId="10">PlayerEntries!#REF!</definedName>
    <definedName name="ExternalData_793" localSheetId="10">PlayerEntries!#REF!</definedName>
    <definedName name="ExternalData_794" localSheetId="10">PlayerEntries!#REF!</definedName>
    <definedName name="ExternalData_795" localSheetId="10">PlayerEntries!#REF!</definedName>
    <definedName name="ExternalData_796" localSheetId="10">PlayerEntries!#REF!</definedName>
    <definedName name="ExternalData_797" localSheetId="10">PlayerEntries!#REF!</definedName>
    <definedName name="ExternalData_798" localSheetId="10">PlayerEntries!#REF!</definedName>
    <definedName name="ExternalData_799" localSheetId="10">PlayerEntries!#REF!</definedName>
    <definedName name="ExternalData_8" localSheetId="14">iDSTTAData!$B$1:$E$488</definedName>
    <definedName name="ExternalData_8" localSheetId="15">iRanking!$A$1:$K$359</definedName>
    <definedName name="ExternalData_8" localSheetId="16">iTournamentEntries!$J$1:$CF$59</definedName>
    <definedName name="ExternalData_8" localSheetId="10">PlayerEntries!$B$1:$AL$59</definedName>
    <definedName name="ExternalData_80" localSheetId="14">iDSTTAData!$B$1:$E$566</definedName>
    <definedName name="ExternalData_80" localSheetId="10">PlayerEntries!#REF!</definedName>
    <definedName name="ExternalData_800" localSheetId="10">PlayerEntries!#REF!</definedName>
    <definedName name="ExternalData_801" localSheetId="10">PlayerEntries!#REF!</definedName>
    <definedName name="ExternalData_802" localSheetId="10">PlayerEntries!#REF!</definedName>
    <definedName name="ExternalData_803" localSheetId="10">PlayerEntries!#REF!</definedName>
    <definedName name="ExternalData_804" localSheetId="10">PlayerEntries!#REF!</definedName>
    <definedName name="ExternalData_805" localSheetId="10">PlayerEntries!#REF!</definedName>
    <definedName name="ExternalData_806" localSheetId="10">PlayerEntries!#REF!</definedName>
    <definedName name="ExternalData_807" localSheetId="10">PlayerEntries!#REF!</definedName>
    <definedName name="ExternalData_808" localSheetId="10">PlayerEntries!#REF!</definedName>
    <definedName name="ExternalData_809" localSheetId="10">PlayerEntries!#REF!</definedName>
    <definedName name="ExternalData_81" localSheetId="14">iDSTTAData!$B$1:$E$566</definedName>
    <definedName name="ExternalData_81" localSheetId="10">PlayerEntries!#REF!</definedName>
    <definedName name="ExternalData_810" localSheetId="10">PlayerEntries!#REF!</definedName>
    <definedName name="ExternalData_811" localSheetId="10">PlayerEntries!#REF!</definedName>
    <definedName name="ExternalData_812" localSheetId="10">PlayerEntries!#REF!</definedName>
    <definedName name="ExternalData_813" localSheetId="10">PlayerEntries!#REF!</definedName>
    <definedName name="ExternalData_814" localSheetId="10">PlayerEntries!#REF!</definedName>
    <definedName name="ExternalData_815" localSheetId="10">PlayerEntries!#REF!</definedName>
    <definedName name="ExternalData_816" localSheetId="10">PlayerEntries!#REF!</definedName>
    <definedName name="ExternalData_817" localSheetId="10">PlayerEntries!#REF!</definedName>
    <definedName name="ExternalData_818" localSheetId="10">PlayerEntries!#REF!</definedName>
    <definedName name="ExternalData_819" localSheetId="10">PlayerEntries!#REF!</definedName>
    <definedName name="ExternalData_82" localSheetId="14">iDSTTAData!$B$1:$E$566</definedName>
    <definedName name="ExternalData_82" localSheetId="10">PlayerEntries!#REF!</definedName>
    <definedName name="ExternalData_820" localSheetId="10">PlayerEntries!#REF!</definedName>
    <definedName name="ExternalData_821" localSheetId="10">PlayerEntries!#REF!</definedName>
    <definedName name="ExternalData_822" localSheetId="10">PlayerEntries!#REF!</definedName>
    <definedName name="ExternalData_823" localSheetId="10">PlayerEntries!#REF!</definedName>
    <definedName name="ExternalData_824" localSheetId="10">PlayerEntries!#REF!</definedName>
    <definedName name="ExternalData_825" localSheetId="10">PlayerEntries!#REF!</definedName>
    <definedName name="ExternalData_826" localSheetId="10">PlayerEntries!#REF!</definedName>
    <definedName name="ExternalData_827" localSheetId="10">PlayerEntries!#REF!</definedName>
    <definedName name="ExternalData_828" localSheetId="10">PlayerEntries!#REF!</definedName>
    <definedName name="ExternalData_829" localSheetId="10">PlayerEntries!#REF!</definedName>
    <definedName name="ExternalData_83" localSheetId="14">iDSTTAData!$B$1:$E$572</definedName>
    <definedName name="ExternalData_83" localSheetId="10">PlayerEntries!#REF!</definedName>
    <definedName name="ExternalData_830" localSheetId="10">PlayerEntries!#REF!</definedName>
    <definedName name="ExternalData_831" localSheetId="10">PlayerEntries!#REF!</definedName>
    <definedName name="ExternalData_832" localSheetId="10">PlayerEntries!#REF!</definedName>
    <definedName name="ExternalData_833" localSheetId="10">PlayerEntries!#REF!</definedName>
    <definedName name="ExternalData_834" localSheetId="10">PlayerEntries!#REF!</definedName>
    <definedName name="ExternalData_835" localSheetId="10">PlayerEntries!#REF!</definedName>
    <definedName name="ExternalData_836" localSheetId="10">PlayerEntries!#REF!</definedName>
    <definedName name="ExternalData_837" localSheetId="10">PlayerEntries!#REF!</definedName>
    <definedName name="ExternalData_838" localSheetId="10">PlayerEntries!#REF!</definedName>
    <definedName name="ExternalData_839" localSheetId="10">PlayerEntries!#REF!</definedName>
    <definedName name="ExternalData_84" localSheetId="14">iDSTTAData!$B$1:$E$581</definedName>
    <definedName name="ExternalData_84" localSheetId="10">PlayerEntries!#REF!</definedName>
    <definedName name="ExternalData_840" localSheetId="10">PlayerEntries!#REF!</definedName>
    <definedName name="ExternalData_841" localSheetId="10">PlayerEntries!#REF!</definedName>
    <definedName name="ExternalData_842" localSheetId="10">PlayerEntries!#REF!</definedName>
    <definedName name="ExternalData_843" localSheetId="10">PlayerEntries!#REF!</definedName>
    <definedName name="ExternalData_844" localSheetId="10">PlayerEntries!#REF!</definedName>
    <definedName name="ExternalData_845" localSheetId="10">PlayerEntries!#REF!</definedName>
    <definedName name="ExternalData_846" localSheetId="10">PlayerEntries!#REF!</definedName>
    <definedName name="ExternalData_847" localSheetId="10">PlayerEntries!#REF!</definedName>
    <definedName name="ExternalData_848" localSheetId="10">PlayerEntries!#REF!</definedName>
    <definedName name="ExternalData_849" localSheetId="10">PlayerEntries!#REF!</definedName>
    <definedName name="ExternalData_85" localSheetId="14">iDSTTAData!$B$1:$E$581</definedName>
    <definedName name="ExternalData_85" localSheetId="10">PlayerEntries!#REF!</definedName>
    <definedName name="ExternalData_850" localSheetId="10">PlayerEntries!#REF!</definedName>
    <definedName name="ExternalData_851" localSheetId="10">PlayerEntries!#REF!</definedName>
    <definedName name="ExternalData_852" localSheetId="10">PlayerEntries!#REF!</definedName>
    <definedName name="ExternalData_853" localSheetId="10">PlayerEntries!#REF!</definedName>
    <definedName name="ExternalData_854" localSheetId="10">PlayerEntries!#REF!</definedName>
    <definedName name="ExternalData_855" localSheetId="10">PlayerEntries!#REF!</definedName>
    <definedName name="ExternalData_856" localSheetId="10">PlayerEntries!#REF!</definedName>
    <definedName name="ExternalData_857" localSheetId="10">PlayerEntries!#REF!</definedName>
    <definedName name="ExternalData_858" localSheetId="10">PlayerEntries!#REF!</definedName>
    <definedName name="ExternalData_859" localSheetId="10">PlayerEntries!#REF!</definedName>
    <definedName name="ExternalData_86" localSheetId="14">iDSTTAData!$B$1:$E$581</definedName>
    <definedName name="ExternalData_86" localSheetId="10">PlayerEntries!#REF!</definedName>
    <definedName name="ExternalData_860" localSheetId="10">PlayerEntries!#REF!</definedName>
    <definedName name="ExternalData_861" localSheetId="10">PlayerEntries!#REF!</definedName>
    <definedName name="ExternalData_862" localSheetId="10">PlayerEntries!#REF!</definedName>
    <definedName name="ExternalData_863" localSheetId="10">PlayerEntries!#REF!</definedName>
    <definedName name="ExternalData_864" localSheetId="10">PlayerEntries!#REF!</definedName>
    <definedName name="ExternalData_865" localSheetId="10">PlayerEntries!#REF!</definedName>
    <definedName name="ExternalData_866" localSheetId="10">PlayerEntries!#REF!</definedName>
    <definedName name="ExternalData_867" localSheetId="10">PlayerEntries!#REF!</definedName>
    <definedName name="ExternalData_868" localSheetId="10">PlayerEntries!#REF!</definedName>
    <definedName name="ExternalData_869" localSheetId="10">PlayerEntries!#REF!</definedName>
    <definedName name="ExternalData_87" localSheetId="14">iDSTTAData!$B$1:$E$582</definedName>
    <definedName name="ExternalData_87" localSheetId="10">PlayerEntries!#REF!</definedName>
    <definedName name="ExternalData_870" localSheetId="10">PlayerEntries!#REF!</definedName>
    <definedName name="ExternalData_871" localSheetId="10">PlayerEntries!#REF!</definedName>
    <definedName name="ExternalData_872" localSheetId="10">PlayerEntries!#REF!</definedName>
    <definedName name="ExternalData_873" localSheetId="10">PlayerEntries!#REF!</definedName>
    <definedName name="ExternalData_874" localSheetId="10">PlayerEntries!#REF!</definedName>
    <definedName name="ExternalData_875" localSheetId="10">PlayerEntries!#REF!</definedName>
    <definedName name="ExternalData_876" localSheetId="10">PlayerEntries!#REF!</definedName>
    <definedName name="ExternalData_877" localSheetId="10">PlayerEntries!#REF!</definedName>
    <definedName name="ExternalData_878" localSheetId="10">PlayerEntries!#REF!</definedName>
    <definedName name="ExternalData_879" localSheetId="10">PlayerEntries!#REF!</definedName>
    <definedName name="ExternalData_88" localSheetId="14">iDSTTAData!$B$1:$E$583</definedName>
    <definedName name="ExternalData_88" localSheetId="10">PlayerEntries!#REF!</definedName>
    <definedName name="ExternalData_880" localSheetId="10">PlayerEntries!#REF!</definedName>
    <definedName name="ExternalData_881" localSheetId="10">PlayerEntries!#REF!</definedName>
    <definedName name="ExternalData_882" localSheetId="10">PlayerEntries!#REF!</definedName>
    <definedName name="ExternalData_883" localSheetId="10">PlayerEntries!#REF!</definedName>
    <definedName name="ExternalData_884" localSheetId="10">PlayerEntries!#REF!</definedName>
    <definedName name="ExternalData_885" localSheetId="10">PlayerEntries!#REF!</definedName>
    <definedName name="ExternalData_886" localSheetId="10">PlayerEntries!#REF!</definedName>
    <definedName name="ExternalData_887" localSheetId="10">PlayerEntries!#REF!</definedName>
    <definedName name="ExternalData_888" localSheetId="10">PlayerEntries!#REF!</definedName>
    <definedName name="ExternalData_889" localSheetId="10">PlayerEntries!#REF!</definedName>
    <definedName name="ExternalData_89" localSheetId="14">iDSTTAData!$B$1:$E$583</definedName>
    <definedName name="ExternalData_89" localSheetId="10">PlayerEntries!#REF!</definedName>
    <definedName name="ExternalData_890" localSheetId="10">PlayerEntries!#REF!</definedName>
    <definedName name="ExternalData_891" localSheetId="10">PlayerEntries!#REF!</definedName>
    <definedName name="ExternalData_892" localSheetId="10">PlayerEntries!#REF!</definedName>
    <definedName name="ExternalData_893" localSheetId="10">PlayerEntries!#REF!</definedName>
    <definedName name="ExternalData_894" localSheetId="10">PlayerEntries!#REF!</definedName>
    <definedName name="ExternalData_895" localSheetId="10">PlayerEntries!#REF!</definedName>
    <definedName name="ExternalData_896" localSheetId="10">PlayerEntries!#REF!</definedName>
    <definedName name="ExternalData_897" localSheetId="10">PlayerEntries!#REF!</definedName>
    <definedName name="ExternalData_898" localSheetId="10">PlayerEntries!#REF!</definedName>
    <definedName name="ExternalData_899" localSheetId="10">PlayerEntries!#REF!</definedName>
    <definedName name="ExternalData_9" localSheetId="14">iDSTTAData!$B$1:$E$488</definedName>
    <definedName name="ExternalData_9" localSheetId="15">iRanking!$A$1:$K$359</definedName>
    <definedName name="ExternalData_9" localSheetId="16">iTournamentEntries!$I$1:$CE$59</definedName>
    <definedName name="ExternalData_9" localSheetId="10">PlayerEntries!$B$1:$AL$59</definedName>
    <definedName name="ExternalData_90" localSheetId="14">iDSTTAData!$B$1:$E$583</definedName>
    <definedName name="ExternalData_90" localSheetId="10">PlayerEntries!#REF!</definedName>
    <definedName name="ExternalData_900" localSheetId="10">PlayerEntries!#REF!</definedName>
    <definedName name="ExternalData_901" localSheetId="10">PlayerEntries!#REF!</definedName>
    <definedName name="ExternalData_902" localSheetId="10">PlayerEntries!#REF!</definedName>
    <definedName name="ExternalData_903" localSheetId="10">PlayerEntries!#REF!</definedName>
    <definedName name="ExternalData_904" localSheetId="10">PlayerEntries!#REF!</definedName>
    <definedName name="ExternalData_905" localSheetId="10">PlayerEntries!#REF!</definedName>
    <definedName name="ExternalData_906" localSheetId="10">PlayerEntries!#REF!</definedName>
    <definedName name="ExternalData_907" localSheetId="10">PlayerEntries!#REF!</definedName>
    <definedName name="ExternalData_908" localSheetId="10">PlayerEntries!#REF!</definedName>
    <definedName name="ExternalData_909" localSheetId="10">PlayerEntries!#REF!</definedName>
    <definedName name="ExternalData_91" localSheetId="14">iDSTTAData!$B$1:$E$583</definedName>
    <definedName name="ExternalData_91" localSheetId="10">PlayerEntries!#REF!</definedName>
    <definedName name="ExternalData_910" localSheetId="10">PlayerEntries!#REF!</definedName>
    <definedName name="ExternalData_911" localSheetId="10">PlayerEntries!#REF!</definedName>
    <definedName name="ExternalData_912" localSheetId="10">PlayerEntries!#REF!</definedName>
    <definedName name="ExternalData_913" localSheetId="10">PlayerEntries!#REF!</definedName>
    <definedName name="ExternalData_914" localSheetId="10">PlayerEntries!#REF!</definedName>
    <definedName name="ExternalData_915" localSheetId="10">PlayerEntries!#REF!</definedName>
    <definedName name="ExternalData_916" localSheetId="10">PlayerEntries!#REF!</definedName>
    <definedName name="ExternalData_917" localSheetId="10">PlayerEntries!#REF!</definedName>
    <definedName name="ExternalData_918" localSheetId="10">PlayerEntries!#REF!</definedName>
    <definedName name="ExternalData_919" localSheetId="10">PlayerEntries!#REF!</definedName>
    <definedName name="ExternalData_92" localSheetId="14">iDSTTAData!$B$1:$E$586</definedName>
    <definedName name="ExternalData_92" localSheetId="10">PlayerEntries!#REF!</definedName>
    <definedName name="ExternalData_920" localSheetId="10">PlayerEntries!#REF!</definedName>
    <definedName name="ExternalData_921" localSheetId="10">PlayerEntries!#REF!</definedName>
    <definedName name="ExternalData_922" localSheetId="10">PlayerEntries!#REF!</definedName>
    <definedName name="ExternalData_923" localSheetId="10">PlayerEntries!#REF!</definedName>
    <definedName name="ExternalData_924" localSheetId="10">PlayerEntries!#REF!</definedName>
    <definedName name="ExternalData_925" localSheetId="10">PlayerEntries!#REF!</definedName>
    <definedName name="ExternalData_926" localSheetId="10">PlayerEntries!#REF!</definedName>
    <definedName name="ExternalData_927" localSheetId="10">PlayerEntries!#REF!</definedName>
    <definedName name="ExternalData_928" localSheetId="10">PlayerEntries!#REF!</definedName>
    <definedName name="ExternalData_929" localSheetId="10">PlayerEntries!#REF!</definedName>
    <definedName name="ExternalData_93" localSheetId="10">PlayerEntries!#REF!</definedName>
    <definedName name="ExternalData_930" localSheetId="10">PlayerEntries!#REF!</definedName>
    <definedName name="ExternalData_931" localSheetId="10">PlayerEntries!#REF!</definedName>
    <definedName name="ExternalData_932" localSheetId="10">PlayerEntries!#REF!</definedName>
    <definedName name="ExternalData_933" localSheetId="10">PlayerEntries!#REF!</definedName>
    <definedName name="ExternalData_934" localSheetId="10">PlayerEntries!#REF!</definedName>
    <definedName name="ExternalData_935" localSheetId="10">PlayerEntries!#REF!</definedName>
    <definedName name="ExternalData_936" localSheetId="10">PlayerEntries!#REF!</definedName>
    <definedName name="ExternalData_937" localSheetId="10">PlayerEntries!#REF!</definedName>
    <definedName name="ExternalData_938" localSheetId="10">PlayerEntries!#REF!</definedName>
    <definedName name="ExternalData_939" localSheetId="10">PlayerEntries!#REF!</definedName>
    <definedName name="ExternalData_94" localSheetId="10">PlayerEntries!#REF!</definedName>
    <definedName name="ExternalData_940" localSheetId="10">PlayerEntries!#REF!</definedName>
    <definedName name="ExternalData_941" localSheetId="10">PlayerEntries!#REF!</definedName>
    <definedName name="ExternalData_942" localSheetId="10">PlayerEntries!#REF!</definedName>
    <definedName name="ExternalData_943" localSheetId="10">PlayerEntries!#REF!</definedName>
    <definedName name="ExternalData_944" localSheetId="10">PlayerEntries!#REF!</definedName>
    <definedName name="ExternalData_945" localSheetId="10">PlayerEntries!#REF!</definedName>
    <definedName name="ExternalData_946" localSheetId="10">PlayerEntries!#REF!</definedName>
    <definedName name="ExternalData_947" localSheetId="10">PlayerEntries!#REF!</definedName>
    <definedName name="ExternalData_948" localSheetId="10">PlayerEntries!#REF!</definedName>
    <definedName name="ExternalData_949" localSheetId="10">PlayerEntries!#REF!</definedName>
    <definedName name="ExternalData_95" localSheetId="10">PlayerEntries!#REF!</definedName>
    <definedName name="ExternalData_950" localSheetId="10">PlayerEntries!#REF!</definedName>
    <definedName name="ExternalData_951" localSheetId="10">PlayerEntries!#REF!</definedName>
    <definedName name="ExternalData_952" localSheetId="10">PlayerEntries!#REF!</definedName>
    <definedName name="ExternalData_953" localSheetId="10">PlayerEntries!#REF!</definedName>
    <definedName name="ExternalData_954" localSheetId="10">PlayerEntries!#REF!</definedName>
    <definedName name="ExternalData_955" localSheetId="10">PlayerEntries!#REF!</definedName>
    <definedName name="ExternalData_956" localSheetId="10">PlayerEntries!#REF!</definedName>
    <definedName name="ExternalData_957" localSheetId="10">PlayerEntries!#REF!</definedName>
    <definedName name="ExternalData_958" localSheetId="10">PlayerEntries!#REF!</definedName>
    <definedName name="ExternalData_959" localSheetId="10">PlayerEntries!#REF!</definedName>
    <definedName name="ExternalData_96" localSheetId="10">PlayerEntries!#REF!</definedName>
    <definedName name="ExternalData_960" localSheetId="10">PlayerEntries!#REF!</definedName>
    <definedName name="ExternalData_961" localSheetId="10">PlayerEntries!#REF!</definedName>
    <definedName name="ExternalData_962" localSheetId="10">PlayerEntries!#REF!</definedName>
    <definedName name="ExternalData_963" localSheetId="10">PlayerEntries!#REF!</definedName>
    <definedName name="ExternalData_964" localSheetId="10">PlayerEntries!#REF!</definedName>
    <definedName name="ExternalData_965" localSheetId="10">PlayerEntries!#REF!</definedName>
    <definedName name="ExternalData_966" localSheetId="10">PlayerEntries!#REF!</definedName>
    <definedName name="ExternalData_967" localSheetId="10">PlayerEntries!#REF!</definedName>
    <definedName name="ExternalData_968" localSheetId="10">PlayerEntries!#REF!</definedName>
    <definedName name="ExternalData_969" localSheetId="10">PlayerEntries!#REF!</definedName>
    <definedName name="ExternalData_97" localSheetId="10">PlayerEntries!#REF!</definedName>
    <definedName name="ExternalData_970" localSheetId="10">PlayerEntries!#REF!</definedName>
    <definedName name="ExternalData_971" localSheetId="10">PlayerEntries!#REF!</definedName>
    <definedName name="ExternalData_972" localSheetId="10">PlayerEntries!#REF!</definedName>
    <definedName name="ExternalData_973" localSheetId="10">PlayerEntries!#REF!</definedName>
    <definedName name="ExternalData_974" localSheetId="10">PlayerEntries!#REF!</definedName>
    <definedName name="ExternalData_975" localSheetId="10">PlayerEntries!#REF!</definedName>
    <definedName name="ExternalData_976" localSheetId="10">PlayerEntries!#REF!</definedName>
    <definedName name="ExternalData_977" localSheetId="10">PlayerEntries!#REF!</definedName>
    <definedName name="ExternalData_978" localSheetId="10">PlayerEntries!#REF!</definedName>
    <definedName name="ExternalData_979" localSheetId="10">PlayerEntries!#REF!</definedName>
    <definedName name="ExternalData_98" localSheetId="10">PlayerEntries!#REF!</definedName>
    <definedName name="ExternalData_980" localSheetId="10">PlayerEntries!#REF!</definedName>
    <definedName name="ExternalData_981" localSheetId="10">PlayerEntries!#REF!</definedName>
    <definedName name="ExternalData_982" localSheetId="10">PlayerEntries!#REF!</definedName>
    <definedName name="ExternalData_983" localSheetId="10">PlayerEntries!#REF!</definedName>
    <definedName name="ExternalData_984" localSheetId="10">PlayerEntries!#REF!</definedName>
    <definedName name="ExternalData_985" localSheetId="10">PlayerEntries!#REF!</definedName>
    <definedName name="ExternalData_986" localSheetId="10">PlayerEntries!#REF!</definedName>
    <definedName name="ExternalData_987" localSheetId="10">PlayerEntries!#REF!</definedName>
    <definedName name="ExternalData_988" localSheetId="10">PlayerEntries!#REF!</definedName>
    <definedName name="ExternalData_989" localSheetId="10">PlayerEntries!#REF!</definedName>
    <definedName name="ExternalData_99" localSheetId="10">PlayerEntries!#REF!</definedName>
    <definedName name="ExternalData_990" localSheetId="10">PlayerEntries!#REF!</definedName>
    <definedName name="ExternalData_991" localSheetId="10">PlayerEntries!#REF!</definedName>
    <definedName name="ExternalData_992" localSheetId="10">PlayerEntries!#REF!</definedName>
    <definedName name="ExternalData_993" localSheetId="10">PlayerEntries!#REF!</definedName>
    <definedName name="ExternalData_994" localSheetId="10">PlayerEntries!#REF!</definedName>
    <definedName name="ExternalData_995" localSheetId="10">PlayerEntries!#REF!</definedName>
    <definedName name="ExternalData_996" localSheetId="10">PlayerEntries!#REF!</definedName>
    <definedName name="ExternalData_997" localSheetId="10">PlayerEntries!#REF!</definedName>
    <definedName name="ExternalData_998" localSheetId="10">PlayerEntries!#REF!</definedName>
    <definedName name="ExternalData_999" localSheetId="10">PlayerEntries!#REF!</definedName>
    <definedName name="_xlnm.Print_Area" localSheetId="3">Bracket!$A$1:$X$21</definedName>
    <definedName name="_xlnm.Print_Area" localSheetId="0">Draw!$A$1:$U$131</definedName>
    <definedName name="_xlnm.Print_Area" localSheetId="4">PBracket!$A$1:$X$20</definedName>
    <definedName name="_xlnm.Print_Area" localSheetId="9">ScoreSheetTemplate!$A$1:$O$13</definedName>
    <definedName name="_xlnm.Print_Titles" localSheetId="3">Bracket!$1:$4</definedName>
    <definedName name="_xlnm.Print_Titles" localSheetId="0">Draw!$1:$4</definedName>
    <definedName name="_xlnm.Print_Titles" localSheetId="4">PBracket!$1:$4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2" l="1"/>
  <c r="G38" i="8"/>
  <c r="F38" i="8"/>
  <c r="E38" i="8"/>
  <c r="D38" i="8"/>
  <c r="C38" i="8"/>
  <c r="G37" i="8"/>
  <c r="F37" i="8"/>
  <c r="E37" i="8"/>
  <c r="D37" i="8"/>
  <c r="C37" i="8"/>
  <c r="G36" i="8"/>
  <c r="F36" i="8"/>
  <c r="E36" i="8"/>
  <c r="D36" i="8"/>
  <c r="C36" i="8"/>
  <c r="G35" i="8"/>
  <c r="F35" i="8"/>
  <c r="E35" i="8"/>
  <c r="D35" i="8"/>
  <c r="C35" i="8"/>
  <c r="G34" i="8"/>
  <c r="F34" i="8"/>
  <c r="E34" i="8"/>
  <c r="D34" i="8"/>
  <c r="C34" i="8"/>
  <c r="G33" i="8"/>
  <c r="F33" i="8"/>
  <c r="E33" i="8"/>
  <c r="D33" i="8"/>
  <c r="C33" i="8"/>
  <c r="G32" i="8"/>
  <c r="F32" i="8"/>
  <c r="E32" i="8"/>
  <c r="D32" i="8"/>
  <c r="C32" i="8"/>
  <c r="G31" i="8"/>
  <c r="F31" i="8"/>
  <c r="E31" i="8"/>
  <c r="D31" i="8"/>
  <c r="C31" i="8"/>
  <c r="G30" i="8"/>
  <c r="F30" i="8"/>
  <c r="E30" i="8"/>
  <c r="D30" i="8"/>
  <c r="C30" i="8"/>
  <c r="G29" i="8"/>
  <c r="F29" i="8"/>
  <c r="E29" i="8"/>
  <c r="D29" i="8"/>
  <c r="C29" i="8"/>
  <c r="G28" i="8"/>
  <c r="F28" i="8"/>
  <c r="E28" i="8"/>
  <c r="D28" i="8"/>
  <c r="C28" i="8"/>
  <c r="G27" i="8"/>
  <c r="F27" i="8"/>
  <c r="E27" i="8"/>
  <c r="D27" i="8"/>
  <c r="C27" i="8"/>
  <c r="G26" i="8"/>
  <c r="F26" i="8"/>
  <c r="E26" i="8"/>
  <c r="D26" i="8"/>
  <c r="C26" i="8"/>
  <c r="G25" i="8"/>
  <c r="F25" i="8"/>
  <c r="E25" i="8"/>
  <c r="D25" i="8"/>
  <c r="C25" i="8"/>
  <c r="G24" i="8"/>
  <c r="F24" i="8"/>
  <c r="E24" i="8"/>
  <c r="D24" i="8"/>
  <c r="C24" i="8"/>
  <c r="G23" i="8"/>
  <c r="D23" i="8"/>
  <c r="C23" i="8"/>
  <c r="G22" i="8"/>
  <c r="D22" i="8"/>
  <c r="C22" i="8"/>
  <c r="G21" i="8"/>
  <c r="D21" i="8"/>
  <c r="C21" i="8"/>
  <c r="G20" i="8"/>
  <c r="D20" i="8"/>
  <c r="C20" i="8"/>
  <c r="G19" i="8"/>
  <c r="D19" i="8"/>
  <c r="C19" i="8"/>
  <c r="G18" i="8"/>
  <c r="D18" i="8"/>
  <c r="C18" i="8"/>
  <c r="G17" i="8"/>
  <c r="D17" i="8"/>
  <c r="C17" i="8"/>
  <c r="G16" i="8"/>
  <c r="D16" i="8"/>
  <c r="C16" i="8"/>
  <c r="G15" i="8"/>
  <c r="D15" i="8"/>
  <c r="C15" i="8"/>
  <c r="G14" i="8"/>
  <c r="D14" i="8"/>
  <c r="C14" i="8"/>
  <c r="G13" i="8"/>
  <c r="D13" i="8"/>
  <c r="C13" i="8"/>
  <c r="G12" i="8"/>
  <c r="D12" i="8"/>
  <c r="C12" i="8"/>
  <c r="G11" i="8"/>
  <c r="D11" i="8"/>
  <c r="C11" i="8"/>
  <c r="G10" i="8"/>
  <c r="D10" i="8"/>
  <c r="C10" i="8"/>
  <c r="G9" i="8"/>
  <c r="D9" i="8"/>
  <c r="C9" i="8"/>
  <c r="G8" i="8"/>
  <c r="D8" i="8"/>
  <c r="C8" i="8"/>
  <c r="G7" i="8"/>
  <c r="D7" i="8"/>
  <c r="C7" i="8"/>
  <c r="G6" i="8"/>
  <c r="D6" i="8"/>
  <c r="C6" i="8"/>
  <c r="A1" i="8"/>
  <c r="A1" i="13"/>
  <c r="G24" i="32"/>
  <c r="H24" i="32" s="1"/>
  <c r="G17" i="32"/>
  <c r="H17" i="32" s="1"/>
  <c r="F11" i="32"/>
  <c r="G11" i="32" s="1"/>
  <c r="F5" i="32"/>
  <c r="G5" i="32" s="1"/>
  <c r="B391" i="28"/>
  <c r="B390" i="28"/>
  <c r="B379" i="28"/>
  <c r="B378" i="28"/>
  <c r="B367" i="28"/>
  <c r="B366" i="28"/>
  <c r="B355" i="28"/>
  <c r="B354" i="28"/>
  <c r="B343" i="28"/>
  <c r="B342" i="28"/>
  <c r="B331" i="28"/>
  <c r="B330" i="28"/>
  <c r="B319" i="28"/>
  <c r="B318" i="28"/>
  <c r="B307" i="28"/>
  <c r="B306" i="28"/>
  <c r="B295" i="28"/>
  <c r="B294" i="28"/>
  <c r="B283" i="28"/>
  <c r="B282" i="28"/>
  <c r="B271" i="28"/>
  <c r="B270" i="28"/>
  <c r="B259" i="28"/>
  <c r="B258" i="28"/>
  <c r="B247" i="28"/>
  <c r="B246" i="28"/>
  <c r="B235" i="28"/>
  <c r="B234" i="28"/>
  <c r="B223" i="28"/>
  <c r="B222" i="28"/>
  <c r="B211" i="28"/>
  <c r="B210" i="28"/>
  <c r="B199" i="28"/>
  <c r="B198" i="28"/>
  <c r="B187" i="28"/>
  <c r="B186" i="28"/>
  <c r="B175" i="28"/>
  <c r="B174" i="28"/>
  <c r="B163" i="28"/>
  <c r="B162" i="28"/>
  <c r="B151" i="28"/>
  <c r="B150" i="28"/>
  <c r="B139" i="28"/>
  <c r="B138" i="28"/>
  <c r="B127" i="28"/>
  <c r="B126" i="28"/>
  <c r="B115" i="28"/>
  <c r="B114" i="28"/>
  <c r="B103" i="28"/>
  <c r="B102" i="28"/>
  <c r="B91" i="28"/>
  <c r="B90" i="28"/>
  <c r="B79" i="28"/>
  <c r="B78" i="28"/>
  <c r="B67" i="28"/>
  <c r="B66" i="28"/>
  <c r="B55" i="28"/>
  <c r="B54" i="28"/>
  <c r="B43" i="28"/>
  <c r="B42" i="28"/>
  <c r="B31" i="28"/>
  <c r="B30" i="28"/>
  <c r="B19" i="28"/>
  <c r="B18" i="28"/>
  <c r="B7" i="28"/>
  <c r="B6" i="28"/>
  <c r="K38" i="8"/>
  <c r="J38" i="8"/>
  <c r="K37" i="8"/>
  <c r="J37" i="8"/>
  <c r="K36" i="8"/>
  <c r="J36" i="8"/>
  <c r="K35" i="8"/>
  <c r="J35" i="8"/>
  <c r="K34" i="8"/>
  <c r="J34" i="8"/>
  <c r="K33" i="8"/>
  <c r="J33" i="8"/>
  <c r="K32" i="8"/>
  <c r="J32" i="8"/>
  <c r="K31" i="8"/>
  <c r="J31" i="8"/>
  <c r="K30" i="8"/>
  <c r="J30" i="8"/>
  <c r="K29" i="8"/>
  <c r="J29" i="8"/>
  <c r="K28" i="8"/>
  <c r="J28" i="8"/>
  <c r="K27" i="8"/>
  <c r="J27" i="8"/>
  <c r="K26" i="8"/>
  <c r="J26" i="8"/>
  <c r="K25" i="8"/>
  <c r="J25" i="8"/>
  <c r="K24" i="8"/>
  <c r="J24" i="8"/>
  <c r="K23" i="8"/>
  <c r="J23" i="8"/>
  <c r="K22" i="8"/>
  <c r="J22" i="8"/>
  <c r="K21" i="8"/>
  <c r="J21" i="8"/>
  <c r="K20" i="8"/>
  <c r="J20" i="8"/>
  <c r="K19" i="8"/>
  <c r="J19" i="8"/>
  <c r="K18" i="8"/>
  <c r="J18" i="8"/>
  <c r="K17" i="8"/>
  <c r="J17" i="8"/>
  <c r="K16" i="8"/>
  <c r="J16" i="8"/>
  <c r="K15" i="8"/>
  <c r="J15" i="8"/>
  <c r="K14" i="8"/>
  <c r="J14" i="8"/>
  <c r="K13" i="8"/>
  <c r="J13" i="8"/>
  <c r="K12" i="8"/>
  <c r="J12" i="8"/>
  <c r="K11" i="8"/>
  <c r="J11" i="8"/>
  <c r="K10" i="8"/>
  <c r="J10" i="8"/>
  <c r="K9" i="8"/>
  <c r="J9" i="8"/>
  <c r="K8" i="8"/>
  <c r="J8" i="8"/>
  <c r="K7" i="8"/>
  <c r="J7" i="8"/>
  <c r="K6" i="8"/>
  <c r="J6" i="8"/>
  <c r="C25" i="32"/>
  <c r="C20" i="32"/>
  <c r="D7" i="32"/>
  <c r="C19" i="32"/>
  <c r="C7" i="32"/>
  <c r="C18" i="32"/>
  <c r="E27" i="32"/>
  <c r="C13" i="32"/>
  <c r="D27" i="32"/>
  <c r="D13" i="32"/>
  <c r="D26" i="32"/>
  <c r="E20" i="32"/>
  <c r="C27" i="32"/>
  <c r="D20" i="32"/>
  <c r="C12" i="32"/>
  <c r="C26" i="32"/>
  <c r="D19" i="32"/>
  <c r="C6" i="32"/>
  <c r="F6" i="32" l="1"/>
  <c r="G6" i="32" s="1"/>
  <c r="G26" i="32"/>
  <c r="H26" i="32" s="1"/>
  <c r="F12" i="32"/>
  <c r="G12" i="32" s="1"/>
  <c r="H12" i="32" s="1"/>
  <c r="G27" i="32"/>
  <c r="H27" i="32" s="1"/>
  <c r="F13" i="32"/>
  <c r="G13" i="32" s="1"/>
  <c r="H13" i="32" s="1"/>
  <c r="G18" i="32"/>
  <c r="H18" i="32" s="1"/>
  <c r="F7" i="32"/>
  <c r="G7" i="32" s="1"/>
  <c r="G19" i="32"/>
  <c r="H19" i="32" s="1"/>
  <c r="G20" i="32"/>
  <c r="H20" i="32" s="1"/>
  <c r="G25" i="32"/>
  <c r="H25" i="32" s="1"/>
  <c r="I2" i="33" a="1"/>
  <c r="I2" i="33" s="1"/>
  <c r="I3" i="33" s="1"/>
  <c r="I4" i="33"/>
  <c r="I27" i="32" l="1"/>
  <c r="I20" i="32"/>
  <c r="I26" i="32"/>
  <c r="H6" i="32"/>
  <c r="I25" i="32"/>
  <c r="I24" i="32"/>
  <c r="I19" i="32"/>
  <c r="I18" i="32"/>
  <c r="I17" i="32"/>
  <c r="H11" i="32"/>
  <c r="H7" i="32"/>
  <c r="H5" i="32"/>
  <c r="F18" i="3"/>
  <c r="B2" i="9"/>
  <c r="B3" i="9"/>
  <c r="A1" i="11"/>
  <c r="L5" i="3" l="1"/>
  <c r="P131" i="3" l="1" a="1"/>
  <c r="P131" i="3" s="1"/>
  <c r="P123" i="3" a="1"/>
  <c r="P123" i="3" s="1"/>
  <c r="P115" i="3" a="1"/>
  <c r="P115" i="3" s="1"/>
  <c r="P107" i="3" a="1"/>
  <c r="P107" i="3" s="1"/>
  <c r="P99" i="3" a="1"/>
  <c r="P99" i="3" s="1"/>
  <c r="P91" i="3" a="1"/>
  <c r="P91" i="3" s="1"/>
  <c r="P83" i="3" a="1"/>
  <c r="P83" i="3" s="1"/>
  <c r="P75" i="3" a="1"/>
  <c r="P75" i="3" s="1"/>
  <c r="P67" i="3" a="1"/>
  <c r="P67" i="3" s="1"/>
  <c r="P59" i="3" a="1"/>
  <c r="P59" i="3" s="1"/>
  <c r="P51" i="3" a="1"/>
  <c r="P51" i="3" s="1"/>
  <c r="P43" i="3" a="1"/>
  <c r="P43" i="3" s="1"/>
  <c r="P35" i="3" a="1"/>
  <c r="P35" i="3" s="1"/>
  <c r="P27" i="3" a="1"/>
  <c r="P27" i="3" s="1"/>
  <c r="P19" i="3" a="1"/>
  <c r="P19" i="3" s="1"/>
  <c r="P11" i="3" a="1"/>
  <c r="P11" i="3" s="1"/>
  <c r="O131" i="3" a="1"/>
  <c r="O131" i="3" s="1"/>
  <c r="O123" i="3" a="1"/>
  <c r="O123" i="3" s="1"/>
  <c r="O115" i="3" a="1"/>
  <c r="O115" i="3" s="1"/>
  <c r="O107" i="3" a="1"/>
  <c r="O107" i="3" s="1"/>
  <c r="O99" i="3" a="1"/>
  <c r="O99" i="3" s="1"/>
  <c r="O91" i="3" a="1"/>
  <c r="O91" i="3" s="1"/>
  <c r="O83" i="3" a="1"/>
  <c r="O83" i="3" s="1"/>
  <c r="O75" i="3" a="1"/>
  <c r="O75" i="3" s="1"/>
  <c r="O67" i="3" a="1"/>
  <c r="O67" i="3" s="1"/>
  <c r="O59" i="3" a="1"/>
  <c r="O59" i="3" s="1"/>
  <c r="O51" i="3" a="1"/>
  <c r="O51" i="3" s="1"/>
  <c r="O43" i="3" a="1"/>
  <c r="O43" i="3" s="1"/>
  <c r="O35" i="3" a="1"/>
  <c r="O35" i="3" s="1"/>
  <c r="O27" i="3" a="1"/>
  <c r="O27" i="3" s="1"/>
  <c r="O19" i="3" a="1"/>
  <c r="O19" i="3" s="1"/>
  <c r="B14" i="3" s="1"/>
  <c r="A14" i="3" s="1"/>
  <c r="O11" i="3" a="1"/>
  <c r="O11" i="3" s="1"/>
  <c r="P76" i="3" a="1"/>
  <c r="P76" i="3" s="1"/>
  <c r="P52" i="3" a="1"/>
  <c r="P52" i="3" s="1"/>
  <c r="O124" i="3" a="1"/>
  <c r="O124" i="3" s="1"/>
  <c r="O60" i="3" a="1"/>
  <c r="O60" i="3" s="1"/>
  <c r="O4" i="3" a="1"/>
  <c r="O4" i="3" s="1"/>
  <c r="P130" i="3" a="1"/>
  <c r="P130" i="3" s="1"/>
  <c r="P122" i="3" a="1"/>
  <c r="P122" i="3" s="1"/>
  <c r="P114" i="3" a="1"/>
  <c r="P114" i="3" s="1"/>
  <c r="P106" i="3" a="1"/>
  <c r="P106" i="3" s="1"/>
  <c r="P98" i="3" a="1"/>
  <c r="P98" i="3" s="1"/>
  <c r="P90" i="3" a="1"/>
  <c r="P90" i="3" s="1"/>
  <c r="P82" i="3" a="1"/>
  <c r="P82" i="3" s="1"/>
  <c r="P74" i="3" a="1"/>
  <c r="P74" i="3" s="1"/>
  <c r="P66" i="3" a="1"/>
  <c r="P66" i="3" s="1"/>
  <c r="P58" i="3" a="1"/>
  <c r="P58" i="3" s="1"/>
  <c r="P50" i="3" a="1"/>
  <c r="P50" i="3" s="1"/>
  <c r="P42" i="3" a="1"/>
  <c r="P42" i="3" s="1"/>
  <c r="P34" i="3" a="1"/>
  <c r="P34" i="3" s="1"/>
  <c r="P26" i="3" a="1"/>
  <c r="P26" i="3" s="1"/>
  <c r="P18" i="3" a="1"/>
  <c r="P18" i="3" s="1"/>
  <c r="P10" i="3" a="1"/>
  <c r="P10" i="3" s="1"/>
  <c r="O130" i="3" a="1"/>
  <c r="O130" i="3" s="1"/>
  <c r="O122" i="3" a="1"/>
  <c r="O122" i="3" s="1"/>
  <c r="O114" i="3" a="1"/>
  <c r="O114" i="3" s="1"/>
  <c r="O106" i="3" a="1"/>
  <c r="O106" i="3" s="1"/>
  <c r="O98" i="3" a="1"/>
  <c r="O98" i="3" s="1"/>
  <c r="O90" i="3" a="1"/>
  <c r="O90" i="3" s="1"/>
  <c r="O82" i="3" a="1"/>
  <c r="O82" i="3" s="1"/>
  <c r="O74" i="3" a="1"/>
  <c r="O74" i="3" s="1"/>
  <c r="O66" i="3" a="1"/>
  <c r="O66" i="3" s="1"/>
  <c r="O58" i="3" a="1"/>
  <c r="O58" i="3" s="1"/>
  <c r="O50" i="3" a="1"/>
  <c r="O50" i="3" s="1"/>
  <c r="O42" i="3" a="1"/>
  <c r="O42" i="3" s="1"/>
  <c r="O34" i="3" a="1"/>
  <c r="O34" i="3" s="1"/>
  <c r="O26" i="3" a="1"/>
  <c r="O26" i="3" s="1"/>
  <c r="O18" i="3" a="1"/>
  <c r="O18" i="3" s="1"/>
  <c r="O10" i="3" a="1"/>
  <c r="O10" i="3" s="1"/>
  <c r="N2" i="3" a="1"/>
  <c r="N2" i="3" s="1"/>
  <c r="P84" i="3" a="1"/>
  <c r="P84" i="3" s="1"/>
  <c r="P68" i="3" a="1"/>
  <c r="P68" i="3" s="1"/>
  <c r="P44" i="3" a="1"/>
  <c r="P44" i="3" s="1"/>
  <c r="P4" i="3" a="1"/>
  <c r="P4" i="3" s="1"/>
  <c r="O92" i="3" a="1"/>
  <c r="O92" i="3" s="1"/>
  <c r="O44" i="3" a="1"/>
  <c r="O44" i="3" s="1"/>
  <c r="P129" i="3" a="1"/>
  <c r="P129" i="3" s="1"/>
  <c r="P121" i="3" a="1"/>
  <c r="P121" i="3" s="1"/>
  <c r="P113" i="3" a="1"/>
  <c r="P113" i="3" s="1"/>
  <c r="P105" i="3" a="1"/>
  <c r="P105" i="3" s="1"/>
  <c r="P97" i="3" a="1"/>
  <c r="P97" i="3" s="1"/>
  <c r="P89" i="3" a="1"/>
  <c r="P89" i="3" s="1"/>
  <c r="P81" i="3" a="1"/>
  <c r="P81" i="3" s="1"/>
  <c r="P73" i="3" a="1"/>
  <c r="P73" i="3" s="1"/>
  <c r="P65" i="3" a="1"/>
  <c r="P65" i="3" s="1"/>
  <c r="P57" i="3" a="1"/>
  <c r="P57" i="3" s="1"/>
  <c r="P49" i="3" a="1"/>
  <c r="P49" i="3" s="1"/>
  <c r="P41" i="3" a="1"/>
  <c r="P41" i="3" s="1"/>
  <c r="P33" i="3" a="1"/>
  <c r="P33" i="3" s="1"/>
  <c r="P25" i="3" a="1"/>
  <c r="P25" i="3" s="1"/>
  <c r="P17" i="3" a="1"/>
  <c r="P17" i="3" s="1"/>
  <c r="P9" i="3" a="1"/>
  <c r="P9" i="3" s="1"/>
  <c r="O129" i="3" a="1"/>
  <c r="O129" i="3" s="1"/>
  <c r="O121" i="3" a="1"/>
  <c r="O121" i="3" s="1"/>
  <c r="O113" i="3" a="1"/>
  <c r="O113" i="3" s="1"/>
  <c r="O105" i="3" a="1"/>
  <c r="O105" i="3" s="1"/>
  <c r="O97" i="3" a="1"/>
  <c r="O97" i="3" s="1"/>
  <c r="O89" i="3" a="1"/>
  <c r="O89" i="3" s="1"/>
  <c r="O81" i="3" a="1"/>
  <c r="O81" i="3" s="1"/>
  <c r="O73" i="3" a="1"/>
  <c r="O73" i="3" s="1"/>
  <c r="O65" i="3" a="1"/>
  <c r="O65" i="3" s="1"/>
  <c r="O57" i="3" a="1"/>
  <c r="O57" i="3" s="1"/>
  <c r="O49" i="3" a="1"/>
  <c r="O49" i="3" s="1"/>
  <c r="O41" i="3" a="1"/>
  <c r="O41" i="3" s="1"/>
  <c r="O33" i="3" a="1"/>
  <c r="O33" i="3" s="1"/>
  <c r="O25" i="3" a="1"/>
  <c r="O25" i="3" s="1"/>
  <c r="O17" i="3" a="1"/>
  <c r="O17" i="3" s="1"/>
  <c r="O9" i="3" a="1"/>
  <c r="O9" i="3" s="1"/>
  <c r="P116" i="3" a="1"/>
  <c r="P116" i="3" s="1"/>
  <c r="P36" i="3" a="1"/>
  <c r="P36" i="3" s="1"/>
  <c r="O84" i="3" a="1"/>
  <c r="O84" i="3" s="1"/>
  <c r="O28" i="3" a="1"/>
  <c r="O28" i="3" s="1"/>
  <c r="P128" i="3" a="1"/>
  <c r="P128" i="3" s="1"/>
  <c r="P120" i="3" a="1"/>
  <c r="P120" i="3" s="1"/>
  <c r="P112" i="3" a="1"/>
  <c r="P112" i="3" s="1"/>
  <c r="P104" i="3" a="1"/>
  <c r="P104" i="3" s="1"/>
  <c r="P96" i="3" a="1"/>
  <c r="P96" i="3" s="1"/>
  <c r="P88" i="3" a="1"/>
  <c r="P88" i="3" s="1"/>
  <c r="P80" i="3" a="1"/>
  <c r="P80" i="3" s="1"/>
  <c r="P72" i="3" a="1"/>
  <c r="P72" i="3" s="1"/>
  <c r="P64" i="3" a="1"/>
  <c r="P64" i="3" s="1"/>
  <c r="P56" i="3" a="1"/>
  <c r="P56" i="3" s="1"/>
  <c r="P48" i="3" a="1"/>
  <c r="P48" i="3" s="1"/>
  <c r="P40" i="3" a="1"/>
  <c r="P40" i="3" s="1"/>
  <c r="P32" i="3" a="1"/>
  <c r="P32" i="3" s="1"/>
  <c r="P24" i="3" a="1"/>
  <c r="P24" i="3" s="1"/>
  <c r="P16" i="3" a="1"/>
  <c r="P16" i="3" s="1"/>
  <c r="P8" i="3" a="1"/>
  <c r="P8" i="3" s="1"/>
  <c r="O128" i="3" a="1"/>
  <c r="O128" i="3" s="1"/>
  <c r="O120" i="3" a="1"/>
  <c r="O120" i="3" s="1"/>
  <c r="O112" i="3" a="1"/>
  <c r="O112" i="3" s="1"/>
  <c r="O104" i="3" a="1"/>
  <c r="O104" i="3" s="1"/>
  <c r="O96" i="3" a="1"/>
  <c r="O96" i="3" s="1"/>
  <c r="O88" i="3" a="1"/>
  <c r="O88" i="3" s="1"/>
  <c r="O80" i="3" a="1"/>
  <c r="O80" i="3" s="1"/>
  <c r="O72" i="3" a="1"/>
  <c r="O72" i="3" s="1"/>
  <c r="O64" i="3" a="1"/>
  <c r="O64" i="3" s="1"/>
  <c r="O56" i="3" a="1"/>
  <c r="O56" i="3" s="1"/>
  <c r="O48" i="3" a="1"/>
  <c r="O48" i="3" s="1"/>
  <c r="O40" i="3" a="1"/>
  <c r="O40" i="3" s="1"/>
  <c r="O32" i="3" a="1"/>
  <c r="O32" i="3" s="1"/>
  <c r="O24" i="3" a="1"/>
  <c r="O24" i="3" s="1"/>
  <c r="O16" i="3" a="1"/>
  <c r="O16" i="3" s="1"/>
  <c r="O8" i="3" a="1"/>
  <c r="O8" i="3" s="1"/>
  <c r="P100" i="3" a="1"/>
  <c r="P100" i="3" s="1"/>
  <c r="O108" i="3" a="1"/>
  <c r="O108" i="3" s="1"/>
  <c r="O12" i="3" a="1"/>
  <c r="O12" i="3" s="1"/>
  <c r="P127" i="3" a="1"/>
  <c r="P127" i="3" s="1"/>
  <c r="P119" i="3" a="1"/>
  <c r="P119" i="3" s="1"/>
  <c r="P111" i="3" a="1"/>
  <c r="P111" i="3" s="1"/>
  <c r="P103" i="3" a="1"/>
  <c r="P103" i="3" s="1"/>
  <c r="P95" i="3" a="1"/>
  <c r="P95" i="3" s="1"/>
  <c r="P87" i="3" a="1"/>
  <c r="P87" i="3" s="1"/>
  <c r="P79" i="3" a="1"/>
  <c r="P79" i="3" s="1"/>
  <c r="P71" i="3" a="1"/>
  <c r="P71" i="3" s="1"/>
  <c r="P63" i="3" a="1"/>
  <c r="P63" i="3" s="1"/>
  <c r="P55" i="3" a="1"/>
  <c r="P55" i="3" s="1"/>
  <c r="P47" i="3" a="1"/>
  <c r="P47" i="3" s="1"/>
  <c r="P39" i="3" a="1"/>
  <c r="P39" i="3" s="1"/>
  <c r="P31" i="3" a="1"/>
  <c r="P31" i="3" s="1"/>
  <c r="P23" i="3" a="1"/>
  <c r="P23" i="3" s="1"/>
  <c r="P15" i="3" a="1"/>
  <c r="P15" i="3" s="1"/>
  <c r="P7" i="3" a="1"/>
  <c r="P7" i="3" s="1"/>
  <c r="O127" i="3" a="1"/>
  <c r="O127" i="3" s="1"/>
  <c r="O119" i="3" a="1"/>
  <c r="O119" i="3" s="1"/>
  <c r="O111" i="3" a="1"/>
  <c r="O111" i="3" s="1"/>
  <c r="O103" i="3" a="1"/>
  <c r="O103" i="3" s="1"/>
  <c r="O95" i="3" a="1"/>
  <c r="O95" i="3" s="1"/>
  <c r="O87" i="3" a="1"/>
  <c r="O87" i="3" s="1"/>
  <c r="O79" i="3" a="1"/>
  <c r="O79" i="3" s="1"/>
  <c r="O71" i="3" a="1"/>
  <c r="O71" i="3" s="1"/>
  <c r="O63" i="3" a="1"/>
  <c r="O63" i="3" s="1"/>
  <c r="O55" i="3" a="1"/>
  <c r="O55" i="3" s="1"/>
  <c r="O47" i="3" a="1"/>
  <c r="O47" i="3" s="1"/>
  <c r="O39" i="3" a="1"/>
  <c r="O39" i="3" s="1"/>
  <c r="O31" i="3" a="1"/>
  <c r="O31" i="3" s="1"/>
  <c r="O23" i="3" a="1"/>
  <c r="O23" i="3" s="1"/>
  <c r="O15" i="3" a="1"/>
  <c r="O15" i="3" s="1"/>
  <c r="O7" i="3" a="1"/>
  <c r="O7" i="3" s="1"/>
  <c r="P92" i="3" a="1"/>
  <c r="P92" i="3" s="1"/>
  <c r="P28" i="3" a="1"/>
  <c r="P28" i="3" s="1"/>
  <c r="O100" i="3" a="1"/>
  <c r="O100" i="3" s="1"/>
  <c r="O52" i="3" a="1"/>
  <c r="O52" i="3" s="1"/>
  <c r="P126" i="3" a="1"/>
  <c r="P126" i="3" s="1"/>
  <c r="P118" i="3" a="1"/>
  <c r="P118" i="3" s="1"/>
  <c r="P110" i="3" a="1"/>
  <c r="P110" i="3" s="1"/>
  <c r="P102" i="3" a="1"/>
  <c r="P102" i="3" s="1"/>
  <c r="P94" i="3" a="1"/>
  <c r="P94" i="3" s="1"/>
  <c r="P86" i="3" a="1"/>
  <c r="P86" i="3" s="1"/>
  <c r="P78" i="3" a="1"/>
  <c r="P78" i="3" s="1"/>
  <c r="P70" i="3" a="1"/>
  <c r="P70" i="3" s="1"/>
  <c r="P62" i="3" a="1"/>
  <c r="P62" i="3" s="1"/>
  <c r="P54" i="3" a="1"/>
  <c r="P54" i="3" s="1"/>
  <c r="P46" i="3" a="1"/>
  <c r="P46" i="3" s="1"/>
  <c r="P38" i="3" a="1"/>
  <c r="P38" i="3" s="1"/>
  <c r="P30" i="3" a="1"/>
  <c r="P30" i="3" s="1"/>
  <c r="P22" i="3" a="1"/>
  <c r="P22" i="3" s="1"/>
  <c r="P14" i="3" a="1"/>
  <c r="P14" i="3" s="1"/>
  <c r="P6" i="3" a="1"/>
  <c r="P6" i="3" s="1"/>
  <c r="O126" i="3" a="1"/>
  <c r="O126" i="3" s="1"/>
  <c r="O118" i="3" a="1"/>
  <c r="O118" i="3" s="1"/>
  <c r="O110" i="3" a="1"/>
  <c r="O110" i="3" s="1"/>
  <c r="O102" i="3" a="1"/>
  <c r="O102" i="3" s="1"/>
  <c r="O94" i="3" a="1"/>
  <c r="O94" i="3" s="1"/>
  <c r="O86" i="3" a="1"/>
  <c r="O86" i="3" s="1"/>
  <c r="O78" i="3" a="1"/>
  <c r="O78" i="3" s="1"/>
  <c r="O70" i="3" a="1"/>
  <c r="O70" i="3" s="1"/>
  <c r="O62" i="3" a="1"/>
  <c r="O62" i="3" s="1"/>
  <c r="O54" i="3" a="1"/>
  <c r="O54" i="3" s="1"/>
  <c r="O46" i="3" a="1"/>
  <c r="O46" i="3" s="1"/>
  <c r="O38" i="3" a="1"/>
  <c r="O38" i="3" s="1"/>
  <c r="O30" i="3" a="1"/>
  <c r="O30" i="3" s="1"/>
  <c r="O22" i="3" a="1"/>
  <c r="O22" i="3" s="1"/>
  <c r="O14" i="3" a="1"/>
  <c r="O14" i="3" s="1"/>
  <c r="O6" i="3" a="1"/>
  <c r="O6" i="3" s="1"/>
  <c r="P108" i="3" a="1"/>
  <c r="P108" i="3" s="1"/>
  <c r="P60" i="3" a="1"/>
  <c r="P60" i="3" s="1"/>
  <c r="P12" i="3" a="1"/>
  <c r="P12" i="3" s="1"/>
  <c r="O116" i="3" a="1"/>
  <c r="O116" i="3" s="1"/>
  <c r="O68" i="3" a="1"/>
  <c r="O68" i="3" s="1"/>
  <c r="O20" i="3" a="1"/>
  <c r="O20" i="3" s="1"/>
  <c r="P125" i="3" a="1"/>
  <c r="P125" i="3" s="1"/>
  <c r="P117" i="3" a="1"/>
  <c r="P117" i="3" s="1"/>
  <c r="P109" i="3" a="1"/>
  <c r="P109" i="3" s="1"/>
  <c r="P101" i="3" a="1"/>
  <c r="P101" i="3" s="1"/>
  <c r="P93" i="3" a="1"/>
  <c r="P93" i="3" s="1"/>
  <c r="P85" i="3" a="1"/>
  <c r="P85" i="3" s="1"/>
  <c r="P77" i="3" a="1"/>
  <c r="P77" i="3" s="1"/>
  <c r="P69" i="3" a="1"/>
  <c r="P69" i="3" s="1"/>
  <c r="P61" i="3" a="1"/>
  <c r="P61" i="3" s="1"/>
  <c r="P53" i="3" a="1"/>
  <c r="P53" i="3" s="1"/>
  <c r="P45" i="3" a="1"/>
  <c r="P45" i="3" s="1"/>
  <c r="P37" i="3" a="1"/>
  <c r="P37" i="3" s="1"/>
  <c r="P29" i="3" a="1"/>
  <c r="P29" i="3" s="1"/>
  <c r="P21" i="3" a="1"/>
  <c r="P21" i="3" s="1"/>
  <c r="P13" i="3" a="1"/>
  <c r="P13" i="3" s="1"/>
  <c r="P5" i="3" a="1"/>
  <c r="P5" i="3" s="1"/>
  <c r="O125" i="3" a="1"/>
  <c r="O125" i="3" s="1"/>
  <c r="O117" i="3" a="1"/>
  <c r="O117" i="3" s="1"/>
  <c r="O109" i="3" a="1"/>
  <c r="O109" i="3" s="1"/>
  <c r="O101" i="3" a="1"/>
  <c r="O101" i="3" s="1"/>
  <c r="O93" i="3" a="1"/>
  <c r="O93" i="3" s="1"/>
  <c r="O85" i="3" a="1"/>
  <c r="O85" i="3" s="1"/>
  <c r="O77" i="3" a="1"/>
  <c r="O77" i="3" s="1"/>
  <c r="O69" i="3" a="1"/>
  <c r="O69" i="3" s="1"/>
  <c r="O61" i="3" a="1"/>
  <c r="O61" i="3" s="1"/>
  <c r="O53" i="3" a="1"/>
  <c r="O53" i="3" s="1"/>
  <c r="O45" i="3" a="1"/>
  <c r="O45" i="3" s="1"/>
  <c r="O37" i="3" a="1"/>
  <c r="O37" i="3" s="1"/>
  <c r="O29" i="3" a="1"/>
  <c r="O29" i="3" s="1"/>
  <c r="O21" i="3" a="1"/>
  <c r="O21" i="3" s="1"/>
  <c r="O13" i="3" a="1"/>
  <c r="O13" i="3" s="1"/>
  <c r="O5" i="3" a="1"/>
  <c r="O5" i="3" s="1"/>
  <c r="P124" i="3" a="1"/>
  <c r="P124" i="3" s="1"/>
  <c r="P20" i="3" a="1"/>
  <c r="P20" i="3" s="1"/>
  <c r="O76" i="3" a="1"/>
  <c r="O76" i="3" s="1"/>
  <c r="O36" i="3" a="1"/>
  <c r="O36" i="3" s="1"/>
  <c r="J9" i="3"/>
  <c r="H9" i="3"/>
  <c r="I9" i="3"/>
  <c r="L7" i="3" l="1" a="1"/>
  <c r="L7" i="3" s="1"/>
  <c r="C131" i="3"/>
  <c r="B131" i="3"/>
  <c r="A131" i="3" s="1"/>
  <c r="C130" i="3"/>
  <c r="B130" i="3"/>
  <c r="A130" i="3" s="1"/>
  <c r="C129" i="3"/>
  <c r="B129" i="3"/>
  <c r="A129" i="3" s="1"/>
  <c r="C128" i="3"/>
  <c r="B128" i="3"/>
  <c r="A128" i="3" s="1"/>
  <c r="C127" i="3"/>
  <c r="B127" i="3"/>
  <c r="A127" i="3" s="1"/>
  <c r="C126" i="3"/>
  <c r="B126" i="3"/>
  <c r="A126" i="3" s="1"/>
  <c r="C125" i="3"/>
  <c r="B125" i="3"/>
  <c r="A125" i="3" s="1"/>
  <c r="C124" i="3"/>
  <c r="B124" i="3"/>
  <c r="A124" i="3" s="1"/>
  <c r="C123" i="3"/>
  <c r="B123" i="3"/>
  <c r="A123" i="3" s="1"/>
  <c r="C122" i="3"/>
  <c r="B122" i="3"/>
  <c r="A122" i="3" s="1"/>
  <c r="C121" i="3"/>
  <c r="B121" i="3"/>
  <c r="A121" i="3" s="1"/>
  <c r="C120" i="3"/>
  <c r="B120" i="3"/>
  <c r="A120" i="3" s="1"/>
  <c r="C119" i="3"/>
  <c r="B119" i="3"/>
  <c r="A119" i="3" s="1"/>
  <c r="C118" i="3"/>
  <c r="B118" i="3"/>
  <c r="A118" i="3" s="1"/>
  <c r="C117" i="3"/>
  <c r="B117" i="3"/>
  <c r="A117" i="3" s="1"/>
  <c r="C116" i="3"/>
  <c r="B116" i="3"/>
  <c r="A116" i="3" s="1"/>
  <c r="C115" i="3"/>
  <c r="B115" i="3"/>
  <c r="A115" i="3" s="1"/>
  <c r="C114" i="3"/>
  <c r="B114" i="3"/>
  <c r="A114" i="3" s="1"/>
  <c r="C113" i="3"/>
  <c r="B113" i="3"/>
  <c r="A113" i="3" s="1"/>
  <c r="C112" i="3"/>
  <c r="B112" i="3"/>
  <c r="A112" i="3" s="1"/>
  <c r="C111" i="3"/>
  <c r="B111" i="3"/>
  <c r="A111" i="3" s="1"/>
  <c r="C110" i="3"/>
  <c r="B110" i="3"/>
  <c r="A110" i="3" s="1"/>
  <c r="C109" i="3"/>
  <c r="B109" i="3"/>
  <c r="A109" i="3" s="1"/>
  <c r="C108" i="3"/>
  <c r="B108" i="3"/>
  <c r="A108" i="3" s="1"/>
  <c r="C107" i="3"/>
  <c r="B107" i="3"/>
  <c r="A107" i="3" s="1"/>
  <c r="C106" i="3"/>
  <c r="B106" i="3"/>
  <c r="A106" i="3" s="1"/>
  <c r="C105" i="3"/>
  <c r="B105" i="3"/>
  <c r="A105" i="3" s="1"/>
  <c r="C104" i="3"/>
  <c r="B104" i="3"/>
  <c r="A104" i="3" s="1"/>
  <c r="C103" i="3"/>
  <c r="B103" i="3"/>
  <c r="A103" i="3" s="1"/>
  <c r="C102" i="3"/>
  <c r="B102" i="3"/>
  <c r="A102" i="3" s="1"/>
  <c r="C101" i="3"/>
  <c r="B101" i="3"/>
  <c r="A101" i="3" s="1"/>
  <c r="C100" i="3"/>
  <c r="B100" i="3"/>
  <c r="A100" i="3" s="1"/>
  <c r="C99" i="3"/>
  <c r="B99" i="3"/>
  <c r="A99" i="3" s="1"/>
  <c r="C98" i="3"/>
  <c r="B98" i="3"/>
  <c r="A98" i="3" s="1"/>
  <c r="C97" i="3"/>
  <c r="B97" i="3"/>
  <c r="A97" i="3" s="1"/>
  <c r="C96" i="3"/>
  <c r="B96" i="3"/>
  <c r="A96" i="3" s="1"/>
  <c r="C95" i="3"/>
  <c r="B95" i="3"/>
  <c r="A95" i="3" s="1"/>
  <c r="C94" i="3"/>
  <c r="B94" i="3"/>
  <c r="A94" i="3" s="1"/>
  <c r="C93" i="3"/>
  <c r="B93" i="3"/>
  <c r="A93" i="3" s="1"/>
  <c r="C92" i="3"/>
  <c r="B92" i="3"/>
  <c r="A92" i="3" s="1"/>
  <c r="C91" i="3"/>
  <c r="B91" i="3"/>
  <c r="A91" i="3" s="1"/>
  <c r="C90" i="3"/>
  <c r="B90" i="3"/>
  <c r="A90" i="3" s="1"/>
  <c r="C89" i="3"/>
  <c r="B89" i="3"/>
  <c r="A89" i="3" s="1"/>
  <c r="C88" i="3"/>
  <c r="B88" i="3"/>
  <c r="A88" i="3" s="1"/>
  <c r="C87" i="3"/>
  <c r="B87" i="3"/>
  <c r="A87" i="3" s="1"/>
  <c r="C86" i="3"/>
  <c r="B86" i="3"/>
  <c r="A86" i="3" s="1"/>
  <c r="C85" i="3"/>
  <c r="B85" i="3"/>
  <c r="A85" i="3" s="1"/>
  <c r="C84" i="3"/>
  <c r="B84" i="3"/>
  <c r="A84" i="3" s="1"/>
  <c r="C83" i="3"/>
  <c r="B83" i="3"/>
  <c r="A83" i="3" s="1"/>
  <c r="C82" i="3"/>
  <c r="B82" i="3"/>
  <c r="A82" i="3" s="1"/>
  <c r="C81" i="3"/>
  <c r="B81" i="3"/>
  <c r="A81" i="3" s="1"/>
  <c r="C80" i="3"/>
  <c r="B80" i="3"/>
  <c r="A80" i="3" s="1"/>
  <c r="C79" i="3"/>
  <c r="B79" i="3"/>
  <c r="A79" i="3" s="1"/>
  <c r="C78" i="3"/>
  <c r="B78" i="3"/>
  <c r="A78" i="3" s="1"/>
  <c r="C77" i="3"/>
  <c r="B77" i="3"/>
  <c r="A77" i="3" s="1"/>
  <c r="C76" i="3"/>
  <c r="B76" i="3"/>
  <c r="A76" i="3" s="1"/>
  <c r="C75" i="3"/>
  <c r="B75" i="3"/>
  <c r="A75" i="3" s="1"/>
  <c r="I4" i="4" l="1"/>
  <c r="C62" i="3" l="1"/>
  <c r="C67" i="3"/>
  <c r="B61" i="3"/>
  <c r="A61" i="3" s="1"/>
  <c r="B67" i="3"/>
  <c r="A67" i="3" s="1"/>
  <c r="C48" i="3"/>
  <c r="B73" i="3"/>
  <c r="A73" i="3" s="1"/>
  <c r="C74" i="3"/>
  <c r="C73" i="3"/>
  <c r="C72" i="3"/>
  <c r="C64" i="3"/>
  <c r="B54" i="3" l="1"/>
  <c r="A54" i="3" s="1"/>
  <c r="B62" i="3"/>
  <c r="A62" i="3" s="1"/>
  <c r="C66" i="3"/>
  <c r="B71" i="3"/>
  <c r="A71" i="3" s="1"/>
  <c r="C49" i="3"/>
  <c r="B31" i="3"/>
  <c r="A31" i="3" s="1"/>
  <c r="B74" i="3"/>
  <c r="A74" i="3" s="1"/>
  <c r="C59" i="3"/>
  <c r="B63" i="3"/>
  <c r="A63" i="3" s="1"/>
  <c r="C61" i="3"/>
  <c r="B68" i="3"/>
  <c r="A68" i="3" s="1"/>
  <c r="C65" i="3"/>
  <c r="B70" i="3"/>
  <c r="A70" i="3" s="1"/>
  <c r="B69" i="3"/>
  <c r="A69" i="3" s="1"/>
  <c r="B59" i="3"/>
  <c r="A59" i="3" s="1"/>
  <c r="B65" i="3"/>
  <c r="A65" i="3" s="1"/>
  <c r="B66" i="3"/>
  <c r="A66" i="3" s="1"/>
  <c r="C38" i="3"/>
  <c r="C63" i="3"/>
  <c r="B51" i="3"/>
  <c r="A51" i="3" s="1"/>
  <c r="C47" i="3"/>
  <c r="C69" i="3"/>
  <c r="C46" i="3"/>
  <c r="C27" i="3"/>
  <c r="C55" i="3"/>
  <c r="B30" i="3"/>
  <c r="A30" i="3" s="1"/>
  <c r="B46" i="3"/>
  <c r="A46" i="3" s="1"/>
  <c r="B44" i="3"/>
  <c r="A44" i="3" s="1"/>
  <c r="C57" i="3"/>
  <c r="C42" i="3"/>
  <c r="B45" i="3"/>
  <c r="A45" i="3" s="1"/>
  <c r="C52" i="3"/>
  <c r="C58" i="3"/>
  <c r="C60" i="3"/>
  <c r="C36" i="3"/>
  <c r="C35" i="3"/>
  <c r="B47" i="3"/>
  <c r="A47" i="3" s="1"/>
  <c r="C41" i="3"/>
  <c r="B48" i="3"/>
  <c r="A48" i="3" s="1"/>
  <c r="B72" i="3"/>
  <c r="A72" i="3" s="1"/>
  <c r="B39" i="3"/>
  <c r="A39" i="3" s="1"/>
  <c r="C71" i="3"/>
  <c r="C53" i="3"/>
  <c r="B43" i="3"/>
  <c r="A43" i="3" s="1"/>
  <c r="C70" i="3"/>
  <c r="C39" i="3"/>
  <c r="B55" i="3"/>
  <c r="A55" i="3" s="1"/>
  <c r="C40" i="3"/>
  <c r="B21" i="3"/>
  <c r="A21" i="3" s="1"/>
  <c r="B57" i="3"/>
  <c r="A57" i="3" s="1"/>
  <c r="C50" i="3"/>
  <c r="B49" i="3"/>
  <c r="A49" i="3" s="1"/>
  <c r="B38" i="3"/>
  <c r="A38" i="3" s="1"/>
  <c r="C23" i="3"/>
  <c r="C31" i="3"/>
  <c r="C26" i="3"/>
  <c r="B24" i="3"/>
  <c r="A24" i="3" s="1"/>
  <c r="B23" i="3"/>
  <c r="A23" i="3" s="1"/>
  <c r="C8" i="3"/>
  <c r="B58" i="3"/>
  <c r="A58" i="3" s="1"/>
  <c r="B53" i="3"/>
  <c r="A53" i="3" s="1"/>
  <c r="C54" i="3"/>
  <c r="C44" i="3"/>
  <c r="B32" i="3"/>
  <c r="A32" i="3" s="1"/>
  <c r="B42" i="3"/>
  <c r="A42" i="3" s="1"/>
  <c r="B20" i="3"/>
  <c r="A20" i="3" s="1"/>
  <c r="B52" i="3"/>
  <c r="A52" i="3" s="1"/>
  <c r="B35" i="3"/>
  <c r="A35" i="3" s="1"/>
  <c r="C45" i="3"/>
  <c r="B60" i="3"/>
  <c r="A60" i="3" s="1"/>
  <c r="C56" i="3"/>
  <c r="C29" i="3"/>
  <c r="B40" i="3"/>
  <c r="A40" i="3" s="1"/>
  <c r="C51" i="3"/>
  <c r="C28" i="3"/>
  <c r="B64" i="3"/>
  <c r="A64" i="3" s="1"/>
  <c r="C34" i="3"/>
  <c r="C43" i="3"/>
  <c r="B56" i="3"/>
  <c r="A56" i="3" s="1"/>
  <c r="C68" i="3"/>
  <c r="B50" i="3"/>
  <c r="A50" i="3" s="1"/>
  <c r="B25" i="3"/>
  <c r="A25" i="3" s="1"/>
  <c r="B27" i="3"/>
  <c r="A27" i="3" s="1"/>
  <c r="B34" i="3"/>
  <c r="A34" i="3" s="1"/>
  <c r="C32" i="3"/>
  <c r="B36" i="3"/>
  <c r="A36" i="3" s="1"/>
  <c r="B29" i="3"/>
  <c r="A29" i="3" s="1"/>
  <c r="C37" i="3"/>
  <c r="B28" i="3"/>
  <c r="A28" i="3" s="1"/>
  <c r="C20" i="3"/>
  <c r="C30" i="3"/>
  <c r="B37" i="3"/>
  <c r="A37" i="3" s="1"/>
  <c r="C21" i="3"/>
  <c r="B41" i="3"/>
  <c r="A41" i="3" s="1"/>
  <c r="B22" i="3"/>
  <c r="A22" i="3" s="1"/>
  <c r="C22" i="3"/>
  <c r="C24" i="3"/>
  <c r="B26" i="3"/>
  <c r="A26" i="3" s="1"/>
  <c r="C25" i="3"/>
  <c r="B33" i="3"/>
  <c r="A33" i="3" s="1"/>
  <c r="C33" i="3"/>
  <c r="H122" i="3"/>
  <c r="H106" i="3"/>
  <c r="H84" i="3"/>
  <c r="H61" i="3"/>
  <c r="H39" i="3"/>
  <c r="I123" i="3"/>
  <c r="H123" i="3"/>
  <c r="I107" i="3"/>
  <c r="H107" i="3"/>
  <c r="I85" i="3"/>
  <c r="H85" i="3"/>
  <c r="I62" i="3"/>
  <c r="H62" i="3"/>
  <c r="I40" i="3"/>
  <c r="H40" i="3"/>
  <c r="H8" i="3" l="1"/>
  <c r="H13" i="3"/>
  <c r="H7" i="3"/>
  <c r="H6" i="3"/>
  <c r="H5" i="3"/>
  <c r="H3" i="3"/>
  <c r="H56" i="3" l="1"/>
  <c r="H101" i="3"/>
  <c r="H34" i="3"/>
  <c r="H79" i="3"/>
  <c r="H117" i="3"/>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A110" i="4" l="1"/>
  <c r="B110" i="4"/>
  <c r="A101" i="4"/>
  <c r="B101" i="4"/>
  <c r="A109" i="4"/>
  <c r="B109" i="4"/>
  <c r="A117" i="4"/>
  <c r="B117" i="4"/>
  <c r="A125" i="4"/>
  <c r="B125" i="4"/>
  <c r="A95" i="4"/>
  <c r="B95" i="4"/>
  <c r="A103" i="4"/>
  <c r="B103" i="4"/>
  <c r="A111" i="4"/>
  <c r="B111" i="4"/>
  <c r="A119" i="4"/>
  <c r="B119" i="4"/>
  <c r="A127" i="4"/>
  <c r="B127" i="4"/>
  <c r="A118" i="4"/>
  <c r="B118" i="4"/>
  <c r="A96" i="4"/>
  <c r="B96" i="4"/>
  <c r="A104" i="4"/>
  <c r="B104" i="4"/>
  <c r="A112" i="4"/>
  <c r="B112" i="4"/>
  <c r="A120" i="4"/>
  <c r="B120" i="4"/>
  <c r="A128" i="4"/>
  <c r="B128" i="4"/>
  <c r="A102" i="4"/>
  <c r="B102" i="4"/>
  <c r="A97" i="4"/>
  <c r="B97" i="4"/>
  <c r="A105" i="4"/>
  <c r="B105" i="4"/>
  <c r="A113" i="4"/>
  <c r="B113" i="4"/>
  <c r="A121" i="4"/>
  <c r="B121" i="4"/>
  <c r="A129" i="4"/>
  <c r="B129" i="4"/>
  <c r="A98" i="4"/>
  <c r="B98" i="4"/>
  <c r="A106" i="4"/>
  <c r="B106" i="4"/>
  <c r="A114" i="4"/>
  <c r="B114" i="4"/>
  <c r="A122" i="4"/>
  <c r="B122" i="4"/>
  <c r="A126" i="4"/>
  <c r="B126" i="4"/>
  <c r="A99" i="4"/>
  <c r="B99" i="4"/>
  <c r="A107" i="4"/>
  <c r="B107" i="4"/>
  <c r="A115" i="4"/>
  <c r="B115" i="4"/>
  <c r="A123" i="4"/>
  <c r="B123" i="4"/>
  <c r="A100" i="4"/>
  <c r="B100" i="4"/>
  <c r="A108" i="4"/>
  <c r="B108" i="4"/>
  <c r="A116" i="4"/>
  <c r="B116" i="4"/>
  <c r="A124" i="4"/>
  <c r="B124" i="4"/>
  <c r="B4" i="3" l="1"/>
  <c r="C86" i="4" l="1"/>
  <c r="B88" i="4"/>
  <c r="B90" i="4"/>
  <c r="C92" i="4"/>
  <c r="C94" i="4"/>
  <c r="B86" i="4"/>
  <c r="B82" i="4"/>
  <c r="B71" i="4"/>
  <c r="B94" i="4"/>
  <c r="B63" i="4"/>
  <c r="C85" i="4"/>
  <c r="C91" i="4"/>
  <c r="C89" i="4"/>
  <c r="C90" i="4"/>
  <c r="C88" i="4"/>
  <c r="B92" i="4"/>
  <c r="C87" i="4"/>
  <c r="B93" i="4"/>
  <c r="B85" i="4"/>
  <c r="C83" i="4"/>
  <c r="B87" i="4"/>
  <c r="B72" i="4"/>
  <c r="C72" i="4"/>
  <c r="B76" i="4"/>
  <c r="C70" i="4"/>
  <c r="C33" i="4"/>
  <c r="B61" i="4"/>
  <c r="B83" i="4"/>
  <c r="B78" i="4"/>
  <c r="C73" i="4"/>
  <c r="C93" i="4"/>
  <c r="B39" i="4"/>
  <c r="C66" i="4"/>
  <c r="C84" i="4"/>
  <c r="B81" i="4"/>
  <c r="C69" i="4"/>
  <c r="B66" i="4"/>
  <c r="B84" i="4"/>
  <c r="C65" i="4"/>
  <c r="B67" i="4"/>
  <c r="B70" i="4"/>
  <c r="B64" i="4"/>
  <c r="C71" i="4"/>
  <c r="B77" i="4"/>
  <c r="B80" i="4"/>
  <c r="B79" i="4"/>
  <c r="C75" i="4"/>
  <c r="B73" i="4"/>
  <c r="B68" i="4"/>
  <c r="B69" i="4"/>
  <c r="B75" i="4"/>
  <c r="C79" i="4"/>
  <c r="C68" i="4"/>
  <c r="C76" i="4"/>
  <c r="C74" i="4"/>
  <c r="B65" i="4"/>
  <c r="C82" i="4"/>
  <c r="B74" i="4"/>
  <c r="C80" i="4"/>
  <c r="C77" i="4"/>
  <c r="C81" i="4"/>
  <c r="C67" i="4"/>
  <c r="B62" i="4"/>
  <c r="C78" i="4"/>
  <c r="B45" i="4"/>
  <c r="B42" i="4"/>
  <c r="B46" i="4"/>
  <c r="B49" i="4"/>
  <c r="B55" i="4"/>
  <c r="B58" i="4"/>
  <c r="B41" i="4"/>
  <c r="B56" i="4"/>
  <c r="B44" i="4"/>
  <c r="B47" i="4"/>
  <c r="B59" i="4"/>
  <c r="B48" i="4"/>
  <c r="B43" i="4"/>
  <c r="B57" i="4"/>
  <c r="B51" i="4"/>
  <c r="B54" i="4"/>
  <c r="B40" i="4"/>
  <c r="B50" i="4"/>
  <c r="B60" i="4"/>
  <c r="B52" i="4"/>
  <c r="B38" i="4"/>
  <c r="B53" i="4"/>
  <c r="C20" i="4"/>
  <c r="C18" i="4"/>
  <c r="B26" i="4"/>
  <c r="B32" i="4"/>
  <c r="C35" i="4"/>
  <c r="B30" i="4"/>
  <c r="C29" i="4"/>
  <c r="C25" i="4"/>
  <c r="B24" i="4"/>
  <c r="C32" i="4"/>
  <c r="C37" i="4"/>
  <c r="C21" i="4"/>
  <c r="B27" i="4"/>
  <c r="B18" i="4"/>
  <c r="B36" i="4"/>
  <c r="B33" i="4"/>
  <c r="C19" i="4"/>
  <c r="C26" i="4"/>
  <c r="B37" i="4"/>
  <c r="B35" i="4"/>
  <c r="C48" i="4"/>
  <c r="C51" i="4"/>
  <c r="C46" i="4"/>
  <c r="C58" i="4"/>
  <c r="C60" i="4"/>
  <c r="C49" i="4"/>
  <c r="C43" i="4"/>
  <c r="B21" i="4"/>
  <c r="B22" i="4"/>
  <c r="C56" i="4"/>
  <c r="C41" i="4"/>
  <c r="C50" i="4"/>
  <c r="C57" i="4"/>
  <c r="C59" i="4"/>
  <c r="C34" i="4"/>
  <c r="C52" i="4"/>
  <c r="C24" i="4"/>
  <c r="C63" i="4"/>
  <c r="B20" i="4"/>
  <c r="C28" i="4"/>
  <c r="C6" i="4"/>
  <c r="C53" i="4"/>
  <c r="C47" i="4"/>
  <c r="C54" i="4"/>
  <c r="C64" i="4"/>
  <c r="C31" i="4"/>
  <c r="C36" i="4"/>
  <c r="C45" i="4"/>
  <c r="C38" i="4"/>
  <c r="B23" i="4"/>
  <c r="B25" i="4"/>
  <c r="B29" i="4"/>
  <c r="C44" i="4"/>
  <c r="C55" i="4"/>
  <c r="C62" i="4"/>
  <c r="C40" i="4"/>
  <c r="C22" i="4"/>
  <c r="C39" i="4"/>
  <c r="C42" i="4"/>
  <c r="C61" i="4"/>
  <c r="B31" i="4"/>
  <c r="B28" i="4"/>
  <c r="B8" i="3"/>
  <c r="C27" i="4"/>
  <c r="C30" i="4"/>
  <c r="C23" i="4"/>
  <c r="B17" i="3"/>
  <c r="B18" i="3"/>
  <c r="A18" i="3" s="1"/>
  <c r="B9" i="3"/>
  <c r="C14" i="3"/>
  <c r="C12" i="4" s="1"/>
  <c r="B10" i="3"/>
  <c r="B12" i="3"/>
  <c r="B19" i="3"/>
  <c r="C17" i="3"/>
  <c r="C15" i="4" s="1"/>
  <c r="C16" i="3"/>
  <c r="C14" i="4" s="1"/>
  <c r="B16" i="3"/>
  <c r="A4" i="3"/>
  <c r="A2" i="4" s="1"/>
  <c r="B2" i="4"/>
  <c r="B15" i="3"/>
  <c r="A15" i="3" s="1"/>
  <c r="C19" i="3"/>
  <c r="C17" i="4" s="1"/>
  <c r="C7" i="3"/>
  <c r="C5" i="4" s="1"/>
  <c r="B11" i="3"/>
  <c r="B7" i="3"/>
  <c r="A7" i="3" s="1"/>
  <c r="C13" i="3"/>
  <c r="C11" i="4" s="1"/>
  <c r="C4" i="3"/>
  <c r="C2" i="4" s="1"/>
  <c r="C5" i="3"/>
  <c r="C3" i="4" s="1"/>
  <c r="C6" i="3"/>
  <c r="C4" i="4" s="1"/>
  <c r="C15" i="3"/>
  <c r="C13" i="4" s="1"/>
  <c r="B5" i="3"/>
  <c r="A5" i="3" s="1"/>
  <c r="B13" i="3"/>
  <c r="C10" i="3"/>
  <c r="C8" i="4" s="1"/>
  <c r="C11" i="3"/>
  <c r="C9" i="4" s="1"/>
  <c r="B6" i="3"/>
  <c r="A6" i="3" s="1"/>
  <c r="C9" i="3"/>
  <c r="C7" i="4" s="1"/>
  <c r="C12" i="3"/>
  <c r="C10" i="4" s="1"/>
  <c r="C18" i="3"/>
  <c r="C16" i="4" s="1"/>
  <c r="B17" i="4" l="1"/>
  <c r="A19" i="3"/>
  <c r="B13" i="4"/>
  <c r="B10" i="4"/>
  <c r="A12" i="3"/>
  <c r="B8" i="4"/>
  <c r="A10" i="3"/>
  <c r="B6" i="4"/>
  <c r="A8" i="3"/>
  <c r="B12" i="4"/>
  <c r="B14" i="4"/>
  <c r="A16" i="3"/>
  <c r="B7" i="4"/>
  <c r="A9" i="3"/>
  <c r="B11" i="4"/>
  <c r="A13" i="3"/>
  <c r="B9" i="4"/>
  <c r="A11" i="3"/>
  <c r="B15" i="4"/>
  <c r="A17" i="3"/>
  <c r="B16" i="4"/>
  <c r="B89" i="4"/>
  <c r="B91" i="4"/>
  <c r="B34" i="4"/>
  <c r="B19" i="4"/>
  <c r="B4" i="4"/>
  <c r="B5" i="4"/>
  <c r="A3" i="4"/>
  <c r="B3" i="4"/>
  <c r="I2" i="4" l="1" a="1"/>
  <c r="I2" i="4" s="1"/>
  <c r="I3" i="4" s="1"/>
  <c r="A4" i="4" l="1"/>
  <c r="A5" i="4" l="1"/>
  <c r="A6" i="4" l="1"/>
  <c r="A7" i="4" l="1"/>
  <c r="A8" i="4" l="1"/>
  <c r="A9" i="4" l="1"/>
  <c r="A10" i="4" l="1"/>
  <c r="A11" i="4" l="1"/>
  <c r="A12" i="4" l="1"/>
  <c r="A13" i="4" l="1"/>
  <c r="A14" i="4" l="1"/>
  <c r="A15" i="4" l="1"/>
  <c r="A16" i="4" l="1"/>
  <c r="A17" i="4" l="1"/>
  <c r="A18" i="4" l="1"/>
  <c r="A19" i="4" l="1"/>
  <c r="A20" i="4" l="1"/>
  <c r="A21" i="4" l="1"/>
  <c r="A22" i="4" l="1"/>
  <c r="A23" i="4" l="1"/>
  <c r="A24" i="4" l="1"/>
  <c r="A25" i="4" l="1"/>
  <c r="A26" i="4" l="1"/>
  <c r="A27" i="4" l="1"/>
  <c r="A28" i="4" l="1"/>
  <c r="A29" i="4" l="1"/>
  <c r="A30" i="4" l="1"/>
  <c r="A31" i="4" l="1"/>
  <c r="A32" i="4" l="1"/>
  <c r="A33" i="4" l="1"/>
  <c r="A34" i="4" l="1"/>
  <c r="A35" i="4" l="1"/>
  <c r="A36" i="4" l="1"/>
  <c r="A37" i="4" l="1"/>
  <c r="A38" i="4" l="1"/>
  <c r="A39" i="4" l="1"/>
  <c r="A40" i="4" l="1"/>
  <c r="A41" i="4" l="1"/>
  <c r="A42" i="4" l="1"/>
  <c r="A43" i="4" l="1"/>
  <c r="A44" i="4" l="1"/>
  <c r="A45" i="4" l="1"/>
  <c r="A46" i="4" l="1"/>
  <c r="A47" i="4" l="1"/>
  <c r="A48" i="4" l="1"/>
  <c r="A49" i="4" l="1"/>
  <c r="A50" i="4" l="1"/>
  <c r="A51" i="4" l="1"/>
  <c r="A52" i="4" l="1"/>
  <c r="A53" i="4" l="1"/>
  <c r="A54" i="4" l="1"/>
  <c r="A55" i="4" l="1"/>
  <c r="A56" i="4" l="1"/>
  <c r="A57" i="4" l="1"/>
  <c r="A58" i="4" l="1"/>
  <c r="A59" i="4" l="1"/>
  <c r="A60" i="4" l="1"/>
  <c r="A61" i="4" l="1"/>
  <c r="A62" i="4" l="1"/>
  <c r="A63" i="4" l="1"/>
  <c r="A64" i="4" l="1"/>
  <c r="A65" i="4" l="1"/>
  <c r="A66" i="4" l="1"/>
  <c r="A67" i="4" l="1"/>
  <c r="A68" i="4" l="1"/>
  <c r="A69" i="4" l="1"/>
  <c r="A70" i="4" l="1"/>
  <c r="A71" i="4" l="1"/>
  <c r="A72" i="4" l="1"/>
  <c r="A73" i="4" l="1"/>
  <c r="A74" i="4" l="1"/>
  <c r="A75" i="4" l="1"/>
  <c r="A76" i="4" l="1"/>
  <c r="A77" i="4" l="1"/>
  <c r="A78" i="4" l="1"/>
  <c r="A79" i="4" l="1"/>
  <c r="A80" i="4" l="1"/>
  <c r="A81" i="4" l="1"/>
  <c r="A82" i="4" l="1"/>
  <c r="A83" i="4" l="1"/>
  <c r="A84" i="4" l="1"/>
  <c r="A85" i="4" l="1"/>
  <c r="A86" i="4" l="1"/>
  <c r="A87" i="4" l="1"/>
  <c r="A88" i="4" l="1"/>
  <c r="A89" i="4" l="1"/>
  <c r="A90" i="4" l="1"/>
  <c r="A91" i="4" l="1"/>
  <c r="A92" i="4" l="1"/>
  <c r="A93" i="4" l="1"/>
  <c r="A9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tc={D023D119-D723-4A4D-B782-416C31D4BB80}</author>
  </authors>
  <commentList>
    <comment ref="O7" authorId="0" shapeId="0" xr:uid="{D023D119-D723-4A4D-B782-416C31D4BB80}">
      <text>
        <t xml:space="preserve">[Threaded comment]
Your version of Excel allows you to read this threaded comment; however, any edits to it will get removed if the file is opened in a newer version of Excel. Learn more: https://go.microsoft.com/fwlink/?linkid=870924
Comment:
    If user overrides auto and gives a count
, above fields are ignored.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61C5C7-0471-4AF5-AE08-10F76567F515}" name="temp_google_sheet" type="6" refreshedVersion="8" background="1" saveData="1">
    <textPr prompt="0" sourceFile="C:\ashish\Backup\Desktop\Other\ITTF\TournamentSoftware\DrawSoftware\DilliLabsTournamentSoftware\temp_google_sheet.csv" comma="1">
      <textFields>
        <textField/>
      </textFields>
    </textPr>
  </connection>
  <connection id="2" xr16:uid="{503D2796-E94A-450E-BBB9-360C3D36058C}" name="temp_google_sheet1" type="6" refreshedVersion="8" background="1" saveData="1">
    <textPr prompt="0" sourceFile="C:\ashish\Backup\Desktop\Other\ITTF\TournamentSoftware\DrawSoftware\DilliLabsTournamentSoftware\temp_google_sheet.csv" comma="1">
      <textFields>
        <textField/>
      </textFields>
    </textPr>
  </connection>
  <connection id="3" xr16:uid="{9C0D6D99-59B0-4BD3-B994-3834DB245B7C}" name="temp_google_sheet10" type="6" refreshedVersion="8" background="1" saveData="1">
    <textPr prompt="0" sourceFile="C:\ashish\Backup\Desktop\Other\ITTF\TournamentSoftware\DrawSoftware\DilliLabsTournamentSoftware\temp_google_sheet.csv" comma="1">
      <textFields>
        <textField/>
      </textFields>
    </textPr>
  </connection>
  <connection id="4" xr16:uid="{DAB26EF9-603F-49B8-972F-B61AA4DCFF2D}" name="temp_google_sheet100" type="6" refreshedVersion="8" background="1" saveData="1">
    <textPr prompt="0" sourceFile="C:\ashish\Backup\Desktop\Other\ITTF\TournamentSoftware\DrawSoftware\DilliLabsTournamentSoftware\temp_google_sheet.csv" comma="1">
      <textFields>
        <textField/>
      </textFields>
    </textPr>
  </connection>
  <connection id="5" xr16:uid="{3DC0539B-CAD1-462B-AF3D-BEDBABE30A01}" name="temp_google_sheet101" type="6" refreshedVersion="8" background="1" saveData="1">
    <textPr prompt="0" sourceFile="C:\ashish\Backup\Desktop\Delhi State Championship\temp_google_sheet.csv" comma="1">
      <textFields>
        <textField/>
      </textFields>
    </textPr>
  </connection>
  <connection id="6" xr16:uid="{57591552-80DF-42D4-8046-AA3CA84FFF3E}" name="temp_google_sheet1014" type="6" refreshedVersion="8" background="1" saveData="1">
    <textPr prompt="0" sourceFile="C:\ashish\Backup\Desktop\Other\ITTF\TournamentSoftware\DrawSoftware\DilliLabsTournamentSoftware\temp_google_sheet.csv" comma="1">
      <textFields>
        <textField/>
      </textFields>
    </textPr>
  </connection>
  <connection id="7" xr16:uid="{935F7EB8-7BCE-46DD-B0CE-0CCF813EEBA0}" name="temp_google_sheet10141" type="6" refreshedVersion="8" background="1" saveData="1">
    <textPr prompt="0" sourceFile="C:\ashish\Backup\Desktop\Other\ITTF\TournamentSoftware\DrawSoftware\DilliLabsTournamentSoftware\temp_google_sheet.csv" comma="1">
      <textFields>
        <textField/>
      </textFields>
    </textPr>
  </connection>
  <connection id="8" xr16:uid="{0887A9DF-EDE3-4898-A1FE-8ACBDF057CC6}" name="temp_google_sheet1015" type="6" refreshedVersion="8" background="1" saveData="1">
    <textPr prompt="0" sourceFile="C:\ashish\Backup\Desktop\Other\ITTF\TournamentSoftware\DrawSoftware\DilliLabsTournamentSoftware\temp_google_sheet.csv" comma="1">
      <textFields>
        <textField/>
      </textFields>
    </textPr>
  </connection>
  <connection id="9" xr16:uid="{B5064F4D-E0FF-4913-B0E0-9B78DDA57E26}" name="temp_google_sheet10151" type="6" refreshedVersion="8" background="1" saveData="1">
    <textPr prompt="0" sourceFile="C:\ashish\Backup\Desktop\Other\ITTF\TournamentSoftware\DrawSoftware\DilliLabsTournamentSoftware\temp_google_sheet.csv" comma="1">
      <textFields>
        <textField/>
      </textFields>
    </textPr>
  </connection>
  <connection id="10" xr16:uid="{BDA4A411-C303-4391-A78E-29F903946F29}" name="temp_google_sheet1016" type="6" refreshedVersion="8" background="1" saveData="1">
    <textPr prompt="0" sourceFile="C:\ashish\Backup\Desktop\Other\ITTF\TournamentSoftware\DrawSoftware\DilliLabsTournamentSoftware\temp_google_sheet.csv" comma="1">
      <textFields>
        <textField/>
      </textFields>
    </textPr>
  </connection>
  <connection id="11" xr16:uid="{2819E5A8-80FE-4B6F-AFCD-77B35A17B1C1}" name="temp_google_sheet10161" type="6" refreshedVersion="8" background="1" saveData="1">
    <textPr prompt="0" sourceFile="C:\ashish\Backup\Desktop\Other\ITTF\TournamentSoftware\DrawSoftware\DilliLabsTournamentSoftware\temp_google_sheet.csv" comma="1">
      <textFields>
        <textField/>
      </textFields>
    </textPr>
  </connection>
  <connection id="12" xr16:uid="{3276B6AE-DEBB-4024-A988-4BF36F03E4BA}" name="temp_google_sheet102" type="6" refreshedVersion="8" background="1" saveData="1">
    <textPr prompt="0" sourceFile="C:\ashish\Backup\Desktop\Other\ITTF\TournamentSoftware\DrawSoftware\DilliLabsTournamentSoftware\temp_google_sheet.csv" comma="1">
      <textFields>
        <textField/>
      </textFields>
    </textPr>
  </connection>
  <connection id="13" xr16:uid="{E697EA1B-6AA9-4C6A-9695-2F50DAE7C143}" name="temp_google_sheet103" type="6" refreshedVersion="8" background="1" saveData="1">
    <textPr prompt="0" sourceFile="C:\ashish\Backup\Desktop\Other\ITTF\TournamentSoftware\DrawSoftware\DilliLabsTournamentSoftware\temp_google_sheet.csv" comma="1">
      <textFields>
        <textField/>
      </textFields>
    </textPr>
  </connection>
  <connection id="14" xr16:uid="{8E5B681A-C97E-4608-AE28-65A0E0EB40EE}" name="temp_google_sheet104" type="6" refreshedVersion="8" background="1" saveData="1">
    <textPr prompt="0" sourceFile="C:\ashish\Backup\Desktop\Delhi State Championship\temp_google_sheet.csv" comma="1">
      <textFields>
        <textField/>
      </textFields>
    </textPr>
  </connection>
  <connection id="15" xr16:uid="{7B924F91-117E-4850-BF5B-4A31C4213A25}" name="temp_google_sheet1044" type="6" refreshedVersion="8" background="1" saveData="1">
    <textPr prompt="0" sourceFile="C:\ashish\Backup\Desktop\Other\ITTF\TournamentSoftware\DrawSoftware\DilliLabsTournamentSoftware\temp_google_sheet.csv" comma="1">
      <textFields>
        <textField/>
      </textFields>
    </textPr>
  </connection>
  <connection id="16" xr16:uid="{4FD36462-CE92-418E-A3C7-6BBD12D811D2}" name="temp_google_sheet10441" type="6" refreshedVersion="8" background="1" saveData="1">
    <textPr prompt="0" sourceFile="C:\ashish\Backup\Desktop\Other\ITTF\TournamentSoftware\DrawSoftware\DilliLabsTournamentSoftware\temp_google_sheet.csv" comma="1">
      <textFields>
        <textField/>
      </textFields>
    </textPr>
  </connection>
  <connection id="17" xr16:uid="{84D91ABE-36FA-464E-9466-6E1452A088EA}" name="temp_google_sheet1045" type="6" refreshedVersion="8" background="1" saveData="1">
    <textPr prompt="0" sourceFile="C:\ashish\Backup\Desktop\Other\ITTF\TournamentSoftware\DrawSoftware\DilliLabsTournamentSoftware\temp_google_sheet.csv" comma="1">
      <textFields>
        <textField/>
      </textFields>
    </textPr>
  </connection>
  <connection id="18" xr16:uid="{92100739-C05B-42FC-93EB-B35800FE7AF7}" name="temp_google_sheet10451" type="6" refreshedVersion="8" background="1" saveData="1">
    <textPr prompt="0" sourceFile="C:\ashish\Backup\Desktop\Other\ITTF\TournamentSoftware\DrawSoftware\DilliLabsTournamentSoftware\temp_google_sheet.csv" comma="1">
      <textFields>
        <textField/>
      </textFields>
    </textPr>
  </connection>
  <connection id="19" xr16:uid="{59AD375A-C876-4A19-97DF-DCF9C305469B}" name="temp_google_sheet1046" type="6" refreshedVersion="8" background="1" saveData="1">
    <textPr prompt="0" sourceFile="C:\ashish\Backup\Desktop\Other\ITTF\TournamentSoftware\DrawSoftware\DilliLabsTournamentSoftware\temp_google_sheet.csv" comma="1">
      <textFields>
        <textField/>
      </textFields>
    </textPr>
  </connection>
  <connection id="20" xr16:uid="{EB86C49A-E319-4BF9-811C-DB176C52B9AE}" name="temp_google_sheet10461" type="6" refreshedVersion="8" background="1" saveData="1">
    <textPr prompt="0" sourceFile="C:\ashish\Backup\Desktop\Other\ITTF\TournamentSoftware\DrawSoftware\DilliLabsTournamentSoftware\temp_google_sheet.csv" comma="1">
      <textFields>
        <textField/>
      </textFields>
    </textPr>
  </connection>
  <connection id="21" xr16:uid="{066B9470-91FC-4124-A0E7-56B34ED6D40F}" name="temp_google_sheet105" type="6" refreshedVersion="8" background="1" saveData="1">
    <textPr prompt="0" sourceFile="C:\ashish\Backup\Desktop\Other\ITTF\TournamentSoftware\DrawSoftware\DilliLabsTournamentSoftware\temp_google_sheet.csv" comma="1">
      <textFields>
        <textField/>
      </textFields>
    </textPr>
  </connection>
  <connection id="22" xr16:uid="{1EEE1446-276F-445A-8B20-8C012B88090A}" name="temp_google_sheet106" type="6" refreshedVersion="8" background="1" saveData="1">
    <textPr prompt="0" sourceFile="C:\ashish\Backup\Desktop\Other\ITTF\TournamentSoftware\DrawSoftware\DilliLabsTournamentSoftware\temp_google_sheet.csv" comma="1">
      <textFields>
        <textField/>
      </textFields>
    </textPr>
  </connection>
  <connection id="23" xr16:uid="{954029CF-1641-4B81-9BC2-2AA10E1E0741}" name="temp_google_sheet107" type="6" refreshedVersion="8" background="1" saveData="1">
    <textPr prompt="0" sourceFile="C:\ashish\Backup\Desktop\Delhi State Championship\temp_google_sheet.csv" comma="1">
      <textFields>
        <textField/>
      </textFields>
    </textPr>
  </connection>
  <connection id="24" xr16:uid="{74F527A3-1535-4A59-8C6C-A92CDD34B981}" name="temp_google_sheet1071" type="6" refreshedVersion="8" background="1" saveData="1">
    <textPr prompt="0" sourceFile="C:\ashish\Backup\Desktop\Delhi State Championship\temp_google_sheet.csv" comma="1">
      <textFields>
        <textField/>
      </textFields>
    </textPr>
  </connection>
  <connection id="25" xr16:uid="{053855B4-5508-49C6-AEAC-D9FA673CA6B2}" name="temp_google_sheet10711" type="6" refreshedVersion="8" background="1" saveData="1">
    <textPr prompt="0" sourceFile="C:\ashish\Backup\Desktop\Delhi State Championship\temp_google_sheet.csv" comma="1">
      <textFields>
        <textField/>
      </textFields>
    </textPr>
  </connection>
  <connection id="26" xr16:uid="{BB5FA060-3019-4F1D-99BF-4CEB8CFC5503}" name="temp_google_sheet1072" type="6" refreshedVersion="8" background="1" saveData="1">
    <textPr prompt="0" sourceFile="C:\ashish\Backup\Desktop\Delhi State Championship\temp_google_sheet.csv" comma="1">
      <textFields>
        <textField/>
      </textFields>
    </textPr>
  </connection>
  <connection id="27" xr16:uid="{B3CA90D8-2D92-4CAD-A6BE-57794E1B5D1C}" name="temp_google_sheet10721" type="6" refreshedVersion="8" background="1" saveData="1">
    <textPr prompt="0" sourceFile="C:\ashish\Backup\Desktop\Delhi State Championship\temp_google_sheet.csv" comma="1">
      <textFields>
        <textField/>
      </textFields>
    </textPr>
  </connection>
  <connection id="28" xr16:uid="{6794AAB5-F482-4DED-A470-33C2D91BC9DD}" name="temp_google_sheet1073" type="6" refreshedVersion="8" background="1" saveData="1">
    <textPr prompt="0" sourceFile="C:\ashish\Backup\Desktop\Delhi State Championship\temp_google_sheet.csv" comma="1">
      <textFields>
        <textField/>
      </textFields>
    </textPr>
  </connection>
  <connection id="29" xr16:uid="{946C67B1-158F-44A9-A52E-A763D2C9DD1A}" name="temp_google_sheet10731" type="6" refreshedVersion="8" background="1" saveData="1">
    <textPr prompt="0" sourceFile="C:\ashish\Backup\Desktop\Delhi State Championship\temp_google_sheet.csv" comma="1">
      <textFields>
        <textField/>
      </textFields>
    </textPr>
  </connection>
  <connection id="30" xr16:uid="{292AF700-1132-4404-A41F-470BA82AF7F5}" name="temp_google_sheet1074" type="6" refreshedVersion="8" background="1" saveData="1">
    <textPr prompt="0" sourceFile="C:\ashish\Backup\Desktop\Other\ITTF\TournamentSoftware\DrawSoftware\DilliLabsTournamentSoftware\temp_google_sheet.csv" comma="1">
      <textFields>
        <textField/>
      </textFields>
    </textPr>
  </connection>
  <connection id="31" xr16:uid="{41FEDE91-3BFC-4EF9-B7F2-C1BC9EA0D48E}" name="temp_google_sheet10741" type="6" refreshedVersion="8" background="1" saveData="1">
    <textPr prompt="0" sourceFile="C:\ashish\Backup\Desktop\Other\ITTF\TournamentSoftware\DrawSoftware\DilliLabsTournamentSoftware\temp_google_sheet.csv" comma="1">
      <textFields>
        <textField/>
      </textFields>
    </textPr>
  </connection>
  <connection id="32" xr16:uid="{A7DCCADF-EDDE-45DC-A1E4-5719586A9C6A}" name="temp_google_sheet1075" type="6" refreshedVersion="8" background="1" saveData="1">
    <textPr prompt="0" sourceFile="C:\ashish\Backup\Desktop\Other\ITTF\TournamentSoftware\DrawSoftware\DilliLabsTournamentSoftware\temp_google_sheet.csv" comma="1">
      <textFields>
        <textField/>
      </textFields>
    </textPr>
  </connection>
  <connection id="33" xr16:uid="{3C6DC3C7-324D-4052-87E6-F98EE71ABEEE}" name="temp_google_sheet10751" type="6" refreshedVersion="8" background="1" saveData="1">
    <textPr prompt="0" sourceFile="C:\ashish\Backup\Desktop\Other\ITTF\TournamentSoftware\DrawSoftware\DilliLabsTournamentSoftware\temp_google_sheet.csv" comma="1">
      <textFields>
        <textField/>
      </textFields>
    </textPr>
  </connection>
  <connection id="34" xr16:uid="{CA5553D0-6572-4986-B817-2004CDA617A6}" name="temp_google_sheet1076" type="6" refreshedVersion="8" background="1" saveData="1">
    <textPr prompt="0" sourceFile="C:\ashish\Backup\Desktop\Other\ITTF\TournamentSoftware\DrawSoftware\DilliLabsTournamentSoftware\temp_google_sheet.csv" comma="1">
      <textFields>
        <textField/>
      </textFields>
    </textPr>
  </connection>
  <connection id="35" xr16:uid="{B849F15C-C9CB-46A2-BCA2-3635C458C219}" name="temp_google_sheet10761" type="6" refreshedVersion="8" background="1" saveData="1">
    <textPr prompt="0" sourceFile="C:\ashish\Backup\Desktop\Other\ITTF\TournamentSoftware\DrawSoftware\DilliLabsTournamentSoftware\temp_google_sheet.csv" comma="1">
      <textFields>
        <textField/>
      </textFields>
    </textPr>
  </connection>
  <connection id="36" xr16:uid="{7C820A85-437E-45CF-98DC-955EA08532AE}" name="temp_google_sheet1077" type="6" refreshedVersion="8" background="1" saveData="1">
    <textPr prompt="0" sourceFile="C:\ashish\Backup\Desktop\Delhi State Championship\temp_google_sheet.csv" comma="1">
      <textFields>
        <textField/>
      </textFields>
    </textPr>
  </connection>
  <connection id="37" xr16:uid="{4DA25E59-C84F-4FCF-94A0-2B31D0109B83}" name="temp_google_sheet108" type="6" refreshedVersion="8" background="1" saveData="1">
    <textPr prompt="0" sourceFile="C:\ashish\Backup\Desktop\Other\ITTF\TournamentSoftware\DrawSoftware\DilliLabsTournamentSoftware\temp_google_sheet.csv" comma="1">
      <textFields>
        <textField/>
      </textFields>
    </textPr>
  </connection>
  <connection id="38" xr16:uid="{CFA26A13-EC2B-4D4A-A254-2634E90102EE}" name="temp_google_sheet109" type="6" refreshedVersion="8" background="1" saveData="1">
    <textPr prompt="0" sourceFile="C:\ashish\Backup\Desktop\Other\ITTF\TournamentSoftware\DrawSoftware\DilliLabsTournamentSoftware\temp_google_sheet.csv" comma="1">
      <textFields>
        <textField/>
      </textFields>
    </textPr>
  </connection>
  <connection id="39" xr16:uid="{66F9CC00-5555-48AD-8929-1CDFF8A87418}" name="temp_google_sheet11" type="6" refreshedVersion="8" background="1" saveData="1">
    <textPr prompt="0" sourceFile="C:\ashish\Backup\Desktop\Other\ITTF\TournamentSoftware\DrawSoftware\DilliLabsTournamentSoftware\temp_google_sheet.csv" comma="1">
      <textFields>
        <textField/>
      </textFields>
    </textPr>
  </connection>
  <connection id="40" xr16:uid="{BCC61EF7-10D0-4DD3-B49D-A50E9716A274}" name="temp_google_sheet110" type="6" refreshedVersion="8" background="1" saveData="1">
    <textPr prompt="0" sourceFile="C:\ashish\Backup\Desktop\Delhi State Championship\temp_google_sheet.csv" comma="1">
      <textFields>
        <textField/>
      </textFields>
    </textPr>
  </connection>
  <connection id="41" xr16:uid="{17D0B073-E573-43B2-AB94-804D276BE3DD}" name="temp_google_sheet111" type="6" refreshedVersion="8" background="1" saveData="1">
    <textPr prompt="0" sourceFile="C:\ashish\Backup\Desktop\Delhi State Championship\temp_google_sheet.csv" comma="1">
      <textFields>
        <textField/>
      </textFields>
    </textPr>
  </connection>
  <connection id="42" xr16:uid="{D9B67FD2-7FF6-45FC-B396-E795F6DB1C03}" name="temp_google_sheet112" type="6" refreshedVersion="8" background="1" saveData="1">
    <textPr prompt="0" sourceFile="C:\ashish\Backup\Desktop\Delhi State Championship\temp_google_sheet.csv" comma="1">
      <textFields>
        <textField/>
      </textFields>
    </textPr>
  </connection>
  <connection id="43" xr16:uid="{F1DBE57D-A97B-4A23-ABC9-F0D28C5CD3E8}" name="temp_google_sheet1121" type="6" refreshedVersion="8" background="1" saveData="1">
    <textPr prompt="0" sourceFile="C:\ashish\Backup\Desktop\Delhi State Championship\temp_google_sheet.csv" comma="1">
      <textFields>
        <textField/>
      </textFields>
    </textPr>
  </connection>
  <connection id="44" xr16:uid="{62107FD4-C7BE-4E34-B42C-7B237361128A}" name="temp_google_sheet11211" type="6" refreshedVersion="8" background="1" saveData="1">
    <textPr prompt="0" sourceFile="C:\ashish\Backup\Desktop\Delhi State Championship\temp_google_sheet.csv" comma="1">
      <textFields>
        <textField/>
      </textFields>
    </textPr>
  </connection>
  <connection id="45" xr16:uid="{B7C2BE18-A802-4273-B50F-033384DA57BE}" name="temp_google_sheet1122" type="6" refreshedVersion="8" background="1" saveData="1">
    <textPr prompt="0" sourceFile="C:\ashish\Backup\Desktop\Delhi State Championship\temp_google_sheet.csv" comma="1">
      <textFields>
        <textField/>
      </textFields>
    </textPr>
  </connection>
  <connection id="46" xr16:uid="{FCCE9E8C-279D-4C8B-8ABF-AAAFD79123CE}" name="temp_google_sheet11221" type="6" refreshedVersion="8" background="1" saveData="1">
    <textPr prompt="0" sourceFile="C:\ashish\Backup\Desktop\Delhi State Championship\temp_google_sheet.csv" comma="1">
      <textFields>
        <textField/>
      </textFields>
    </textPr>
  </connection>
  <connection id="47" xr16:uid="{07C7875E-4303-4B5D-97A9-60D1263CEC56}" name="temp_google_sheet1123" type="6" refreshedVersion="8" background="1" saveData="1">
    <textPr prompt="0" sourceFile="C:\ashish\Backup\Desktop\Delhi State Championship\temp_google_sheet.csv" comma="1">
      <textFields>
        <textField/>
      </textFields>
    </textPr>
  </connection>
  <connection id="48" xr16:uid="{47413E3E-BC5C-4B1F-A120-43B659DF1EC3}" name="temp_google_sheet113" type="6" refreshedVersion="8" background="1" saveData="1">
    <textPr prompt="0" sourceFile="C:\ashish\Backup\Desktop\Other\ITTF\TournamentSoftware\DrawSoftware\DilliLabsTournamentSoftware\temp_google_sheet.csv" comma="1">
      <textFields>
        <textField/>
      </textFields>
    </textPr>
  </connection>
  <connection id="49" xr16:uid="{2113E448-69F1-4DE0-903A-25D8FE4EA655}" name="temp_google_sheet1131" type="6" refreshedVersion="8" background="1" saveData="1">
    <textPr prompt="0" sourceFile="C:\ashish\Backup\Desktop\Other\ITTF\TournamentSoftware\DrawSoftware\DilliLabsTournamentSoftware\temp_google_sheet.csv" comma="1">
      <textFields>
        <textField/>
      </textFields>
    </textPr>
  </connection>
  <connection id="50" xr16:uid="{9CEC9996-4B97-40FF-9C92-B204E487F63D}" name="temp_google_sheet114" type="6" refreshedVersion="8" background="1" saveData="1">
    <textPr prompt="0" sourceFile="C:\ashish\Backup\Desktop\Other\ITTF\TournamentSoftware\DrawSoftware\DilliLabsTournamentSoftware\temp_google_sheet.csv" comma="1">
      <textFields>
        <textField/>
      </textFields>
    </textPr>
  </connection>
  <connection id="51" xr16:uid="{9D421D8B-EE2B-4E45-B784-43E751798D26}" name="temp_google_sheet1141" type="6" refreshedVersion="8" background="1" saveData="1">
    <textPr prompt="0" sourceFile="C:\ashish\Backup\Desktop\Other\ITTF\TournamentSoftware\DrawSoftware\DilliLabsTournamentSoftware\temp_google_sheet.csv" comma="1">
      <textFields>
        <textField/>
      </textFields>
    </textPr>
  </connection>
  <connection id="52" xr16:uid="{FA64E59B-E33B-4791-A351-BE850D244D85}" name="temp_google_sheet115" type="6" refreshedVersion="8" background="1" saveData="1">
    <textPr prompt="0" sourceFile="C:\ashish\Backup\Desktop\Other\ITTF\TournamentSoftware\DrawSoftware\DilliLabsTournamentSoftware\temp_google_sheet.csv" comma="1">
      <textFields>
        <textField/>
      </textFields>
    </textPr>
  </connection>
  <connection id="53" xr16:uid="{2D87E746-4AC0-48E7-A4B7-144B2F72408C}" name="temp_google_sheet1151" type="6" refreshedVersion="8" background="1" saveData="1">
    <textPr prompt="0" sourceFile="C:\ashish\Backup\Desktop\Other\ITTF\TournamentSoftware\DrawSoftware\DilliLabsTournamentSoftware\temp_google_sheet.csv" comma="1">
      <textFields>
        <textField/>
      </textFields>
    </textPr>
  </connection>
  <connection id="54" xr16:uid="{FADF13CA-EB7A-4DD2-9F9E-BDE61CC7DA47}" name="temp_google_sheet116" type="6" refreshedVersion="8" background="1" saveData="1">
    <textPr prompt="0" sourceFile="C:\ashish\Backup\Desktop\Delhi State Championship\temp_google_sheet.csv" comma="1">
      <textFields>
        <textField/>
      </textFields>
    </textPr>
  </connection>
  <connection id="55" xr16:uid="{61EDAA98-6788-49DB-9D5C-0233342DF01F}" name="temp_google_sheet117" type="6" refreshedVersion="8" background="1" saveData="1">
    <textPr prompt="0" sourceFile="C:\ashish\Backup\Desktop\Delhi State Championship\temp_google_sheet.csv" comma="1">
      <textFields>
        <textField/>
      </textFields>
    </textPr>
  </connection>
  <connection id="56" xr16:uid="{F7EC96D6-22A4-4C8D-91A7-69B4A9FA8EC4}" name="temp_google_sheet118" type="6" refreshedVersion="8" background="1" saveData="1">
    <textPr prompt="0" sourceFile="C:\ashish\Backup\Desktop\Delhi State Championship\temp_google_sheet.csv" comma="1">
      <textFields>
        <textField/>
      </textFields>
    </textPr>
  </connection>
  <connection id="57" xr16:uid="{D19F1394-B8F1-4099-8FB8-C10B67E81CAB}" name="temp_google_sheet1181" type="6" refreshedVersion="8" background="1" saveData="1">
    <textPr prompt="0" sourceFile="C:\ashish\Backup\Desktop\Delhi State Championship\temp_google_sheet.csv" comma="1">
      <textFields>
        <textField/>
      </textFields>
    </textPr>
  </connection>
  <connection id="58" xr16:uid="{6BF08882-CA69-4656-ACD8-A92742903767}" name="temp_google_sheet11811" type="6" refreshedVersion="8" background="1" saveData="1">
    <textPr prompt="0" sourceFile="C:\ashish\Backup\Desktop\Delhi State Championship\temp_google_sheet.csv" comma="1">
      <textFields>
        <textField/>
      </textFields>
    </textPr>
  </connection>
  <connection id="59" xr16:uid="{E8E0FF1B-BAB8-47CD-A18F-ED3BA80307D2}" name="temp_google_sheet1182" type="6" refreshedVersion="8" background="1" saveData="1">
    <textPr prompt="0" sourceFile="C:\ashish\Backup\Desktop\Delhi State Championship\temp_google_sheet.csv" comma="1">
      <textFields>
        <textField/>
      </textFields>
    </textPr>
  </connection>
  <connection id="60" xr16:uid="{C6CA86C3-D859-4A95-9593-94442DCFEEB0}" name="temp_google_sheet119" type="6" refreshedVersion="8" background="1" saveData="1">
    <textPr prompt="0" sourceFile="C:\ashish\Backup\Desktop\Other\ITTF\TournamentSoftware\DrawSoftware\DilliLabsTournamentSoftware\temp_google_sheet.csv" comma="1">
      <textFields>
        <textField/>
      </textFields>
    </textPr>
  </connection>
  <connection id="61" xr16:uid="{85CBB036-C26C-4DD4-95BC-6DCF43933404}" name="temp_google_sheet12" type="6" refreshedVersion="8" background="1" saveData="1">
    <textPr prompt="0" sourceFile="C:\ashish\Backup\Desktop\Other\ITTF\TournamentSoftware\DrawSoftware\DilliLabsTournamentSoftware\temp_google_sheet.csv" comma="1">
      <textFields>
        <textField/>
      </textFields>
    </textPr>
  </connection>
  <connection id="62" xr16:uid="{824632EA-F265-4017-9DED-7B9E0B63A49F}" name="temp_google_sheet120" type="6" refreshedVersion="8" background="1" saveData="1">
    <textPr prompt="0" sourceFile="C:\ashish\Backup\Desktop\Other\ITTF\TournamentSoftware\DrawSoftware\DilliLabsTournamentSoftware\temp_google_sheet.csv" comma="1">
      <textFields>
        <textField/>
      </textFields>
    </textPr>
  </connection>
  <connection id="63" xr16:uid="{07C727C9-C430-4393-A76E-4DB5B4C4F3CF}" name="temp_google_sheet121" type="6" refreshedVersion="8" background="1" saveData="1">
    <textPr prompt="0" sourceFile="C:\ashish\Backup\Desktop\Other\ITTF\TournamentSoftware\DrawSoftware\DilliLabsTournamentSoftware\temp_google_sheet.csv" comma="1">
      <textFields>
        <textField/>
      </textFields>
    </textPr>
  </connection>
  <connection id="64" xr16:uid="{B65C6944-50B5-4C74-86A4-E22F544E42EB}" name="temp_google_sheet1210" type="6" refreshedVersion="8" background="1" saveData="1">
    <textPr prompt="0" sourceFile="C:\ashish\Backup\Desktop\Other\ITTF\TournamentSoftware\DrawSoftware\DilliLabsTournamentSoftware\temp_google_sheet.csv" comma="1">
      <textFields>
        <textField/>
      </textFields>
    </textPr>
  </connection>
  <connection id="65" xr16:uid="{46993433-EEE9-4C4E-A288-AC7F98191042}" name="temp_google_sheet12101" type="6" refreshedVersion="8" background="1" saveData="1">
    <textPr prompt="0" sourceFile="C:\ashish\Backup\Desktop\Other\ITTF\TournamentSoftware\DrawSoftware\DilliLabsTournamentSoftware\temp_google_sheet.csv" comma="1">
      <textFields>
        <textField/>
      </textFields>
    </textPr>
  </connection>
  <connection id="66" xr16:uid="{C0358B0E-3A3C-4900-B61D-5216F922DB49}" name="temp_google_sheet1211" type="6" refreshedVersion="8" background="1" saveData="1">
    <textPr prompt="0" sourceFile="C:\ashish\Backup\Desktop\Other\ITTF\TournamentSoftware\DrawSoftware\DilliLabsTournamentSoftware\temp_google_sheet.csv" comma="1">
      <textFields>
        <textField/>
      </textFields>
    </textPr>
  </connection>
  <connection id="67" xr16:uid="{99F8E932-DB96-449F-9CFE-B806B077D6EE}" name="temp_google_sheet12111" type="6" refreshedVersion="8" background="1" saveData="1">
    <textPr prompt="0" sourceFile="C:\ashish\Backup\Desktop\Other\ITTF\TournamentSoftware\DrawSoftware\DilliLabsTournamentSoftware\temp_google_sheet.csv" comma="1">
      <textFields>
        <textField/>
      </textFields>
    </textPr>
  </connection>
  <connection id="68" xr16:uid="{FBD1DA42-B96D-497D-B09D-EE22559FB714}" name="temp_google_sheet1212" type="6" refreshedVersion="8" background="1" saveData="1">
    <textPr prompt="0" sourceFile="C:\ashish\Backup\Desktop\Other\ITTF\TournamentSoftware\DrawSoftware\DilliLabsTournamentSoftware\temp_google_sheet.csv" comma="1">
      <textFields>
        <textField/>
      </textFields>
    </textPr>
  </connection>
  <connection id="69" xr16:uid="{914054BD-9FA0-48F4-A619-0CCBE9CA1EED}" name="temp_google_sheet12121" type="6" refreshedVersion="8" background="1" saveData="1">
    <textPr prompt="0" sourceFile="C:\ashish\Backup\Desktop\Other\ITTF\TournamentSoftware\DrawSoftware\DilliLabsTournamentSoftware\temp_google_sheet.csv" comma="1">
      <textFields>
        <textField/>
      </textFields>
    </textPr>
  </connection>
  <connection id="70" xr16:uid="{C2A3F90A-F62F-4944-BEB4-CEAF867D4824}" name="temp_google_sheet1213" type="6" refreshedVersion="8" background="1" saveData="1">
    <textPr prompt="0" sourceFile="C:\ashish\Backup\Desktop\Other\ITTF\TournamentSoftware\DrawSoftware\DilliLabsTournamentSoftware\temp_google_sheet.csv" comma="1">
      <textFields>
        <textField/>
      </textFields>
    </textPr>
  </connection>
  <connection id="71" xr16:uid="{755FA17E-CFEC-40FD-9A3C-0730CF503E4E}" name="temp_google_sheet12131" type="6" refreshedVersion="8" background="1" saveData="1">
    <textPr prompt="0" sourceFile="C:\ashish\Backup\Desktop\Other\ITTF\TournamentSoftware\DrawSoftware\DilliLabsTournamentSoftware\temp_google_sheet.csv" comma="1">
      <textFields>
        <textField/>
      </textFields>
    </textPr>
  </connection>
  <connection id="72" xr16:uid="{F9E63EF4-60EA-4A0C-9371-0C31849A2F07}" name="temp_google_sheet1214" type="6" refreshedVersion="8" background="1" saveData="1">
    <textPr prompt="0" sourceFile="C:\ashish\Backup\Desktop\Other\ITTF\TournamentSoftware\DrawSoftware\DilliLabsTournamentSoftware\temp_google_sheet.csv" comma="1">
      <textFields>
        <textField/>
      </textFields>
    </textPr>
  </connection>
  <connection id="73" xr16:uid="{4C38F6D3-6D14-42F8-B342-2F5B20F19B9D}" name="temp_google_sheet12141" type="6" refreshedVersion="8" background="1" saveData="1">
    <textPr prompt="0" sourceFile="C:\ashish\Backup\Desktop\Other\ITTF\TournamentSoftware\DrawSoftware\DilliLabsTournamentSoftware\temp_google_sheet.csv" comma="1">
      <textFields>
        <textField/>
      </textFields>
    </textPr>
  </connection>
  <connection id="74" xr16:uid="{35CC3D3E-5240-405C-8B44-CBF9ED78389F}" name="temp_google_sheet1215" type="6" refreshedVersion="8" background="1" saveData="1">
    <textPr prompt="0" sourceFile="C:\ashish\Backup\Desktop\Other\ITTF\TournamentSoftware\DrawSoftware\DilliLabsTournamentSoftware\temp_google_sheet.csv" comma="1">
      <textFields>
        <textField/>
      </textFields>
    </textPr>
  </connection>
  <connection id="75" xr16:uid="{1463CDE3-0A5E-4EB0-A038-41085F6F0F80}" name="temp_google_sheet12151" type="6" refreshedVersion="8" background="1" saveData="1">
    <textPr prompt="0" sourceFile="C:\ashish\Backup\Desktop\Other\ITTF\TournamentSoftware\DrawSoftware\DilliLabsTournamentSoftware\temp_google_sheet.csv" comma="1">
      <textFields>
        <textField/>
      </textFields>
    </textPr>
  </connection>
  <connection id="76" xr16:uid="{12E3C36F-7BD5-48C2-ABD8-F0CF6500A7FB}" name="temp_google_sheet1216" type="6" refreshedVersion="8" background="1" saveData="1">
    <textPr prompt="0" sourceFile="C:\ashish\Backup\Desktop\Other\ITTF\TournamentSoftware\DrawSoftware\DilliLabsTournamentSoftware\temp_google_sheet.csv" comma="1">
      <textFields>
        <textField/>
      </textFields>
    </textPr>
  </connection>
  <connection id="77" xr16:uid="{B2093413-4470-4D1F-86D9-4D577C5C61E1}" name="temp_google_sheet12161" type="6" refreshedVersion="8" background="1" saveData="1">
    <textPr prompt="0" sourceFile="C:\ashish\Backup\Desktop\Other\ITTF\TournamentSoftware\DrawSoftware\DilliLabsTournamentSoftware\temp_google_sheet.csv" comma="1">
      <textFields>
        <textField/>
      </textFields>
    </textPr>
  </connection>
  <connection id="78" xr16:uid="{6B66DC85-51F2-4227-A7A3-B29A0264134B}" name="temp_google_sheet1217" type="6" refreshedVersion="8" background="1" saveData="1">
    <textPr prompt="0" sourceFile="C:\ashish\Backup\Desktop\Other\ITTF\TournamentSoftware\DrawSoftware\DilliLabsTournamentSoftware\temp_google_sheet.csv" comma="1">
      <textFields>
        <textField/>
      </textFields>
    </textPr>
  </connection>
  <connection id="79" xr16:uid="{E0FCBA02-A9DF-4A0F-A7C6-5D109665968A}" name="temp_google_sheet12171" type="6" refreshedVersion="8" background="1" saveData="1">
    <textPr prompt="0" sourceFile="C:\ashish\Backup\Desktop\Other\ITTF\TournamentSoftware\DrawSoftware\DilliLabsTournamentSoftware\temp_google_sheet.csv" comma="1">
      <textFields>
        <textField/>
      </textFields>
    </textPr>
  </connection>
  <connection id="80" xr16:uid="{6D25C184-AD36-442C-A3B5-3A47715DB92F}" name="temp_google_sheet1218" type="6" refreshedVersion="8" background="1" saveData="1">
    <textPr prompt="0" sourceFile="C:\ashish\Backup\Desktop\Other\ITTF\TournamentSoftware\DrawSoftware\DilliLabsTournamentSoftware\temp_google_sheet.csv" comma="1">
      <textFields>
        <textField/>
      </textFields>
    </textPr>
  </connection>
  <connection id="81" xr16:uid="{44463ACF-7C21-4731-A432-B1E5B44884A1}" name="temp_google_sheet1219" type="6" refreshedVersion="8" background="1" saveData="1">
    <textPr prompt="0" sourceFile="C:\ashish\Backup\Desktop\Other\ITTF\TournamentSoftware\DrawSoftware\DilliLabsTournamentSoftware\temp_google_sheet.csv" comma="1">
      <textFields>
        <textField/>
      </textFields>
    </textPr>
  </connection>
  <connection id="82" xr16:uid="{C72F5C17-928D-49D5-A696-83D31D55E120}" name="temp_google_sheet122" type="6" refreshedVersion="8" background="1" saveData="1">
    <textPr prompt="0" sourceFile="C:\ashish\Backup\Desktop\Other\ITTF\TournamentSoftware\DrawSoftware\DilliLabsTournamentSoftware\temp_google_sheet.csv" comma="1">
      <textFields>
        <textField/>
      </textFields>
    </textPr>
  </connection>
  <connection id="83" xr16:uid="{A83AA883-2E69-4695-AE9E-685D6650DFFB}" name="temp_google_sheet1221" type="6" refreshedVersion="8" background="1" saveData="1">
    <textPr prompt="0" sourceFile="C:\ashish\Backup\Desktop\Other\ITTF\TournamentSoftware\DrawSoftware\DilliLabsTournamentSoftware\temp_google_sheet.csv" comma="1">
      <textFields>
        <textField/>
      </textFields>
    </textPr>
  </connection>
  <connection id="84" xr16:uid="{54D10E23-D1EA-4049-AAEA-5DA1EC5D84EB}" name="temp_google_sheet123" type="6" refreshedVersion="8" background="1" saveData="1">
    <textPr prompt="0" sourceFile="C:\ashish\Backup\Desktop\Other\ITTF\TournamentSoftware\DrawSoftware\DilliLabsTournamentSoftware\temp_google_sheet.csv" comma="1">
      <textFields>
        <textField/>
      </textFields>
    </textPr>
  </connection>
  <connection id="85" xr16:uid="{8D5628D4-C62C-499B-ADE9-E2BB51390306}" name="temp_google_sheet1231" type="6" refreshedVersion="8" background="1" saveData="1">
    <textPr prompt="0" sourceFile="C:\ashish\Backup\Desktop\Other\ITTF\TournamentSoftware\DrawSoftware\DilliLabsTournamentSoftware\temp_google_sheet.csv" comma="1">
      <textFields>
        <textField/>
      </textFields>
    </textPr>
  </connection>
  <connection id="86" xr16:uid="{AD3C0F87-D94A-4D4C-8470-C6B65B46BED7}" name="temp_google_sheet124" type="6" refreshedVersion="8" background="1" saveData="1">
    <textPr prompt="0" sourceFile="C:\ashish\Backup\Desktop\Other\ITTF\TournamentSoftware\DrawSoftware\DilliLabsTournamentSoftware\temp_google_sheet.csv" comma="1">
      <textFields>
        <textField/>
      </textFields>
    </textPr>
  </connection>
  <connection id="87" xr16:uid="{87F6FABC-3C82-4865-B31B-9A3847E70E25}" name="temp_google_sheet1241" type="6" refreshedVersion="8" background="1" saveData="1">
    <textPr prompt="0" sourceFile="C:\ashish\Backup\Desktop\Other\ITTF\TournamentSoftware\DrawSoftware\DilliLabsTournamentSoftware\temp_google_sheet.csv" comma="1">
      <textFields>
        <textField/>
      </textFields>
    </textPr>
  </connection>
  <connection id="88" xr16:uid="{828656B4-CE4D-4A33-AED5-C277204DD0B5}" name="temp_google_sheet125" type="6" refreshedVersion="8" background="1" saveData="1">
    <textPr prompt="0" sourceFile="C:\ashish\Backup\Desktop\Other\ITTF\TournamentSoftware\DrawSoftware\DilliLabsTournamentSoftware\temp_google_sheet.csv" comma="1">
      <textFields>
        <textField/>
      </textFields>
    </textPr>
  </connection>
  <connection id="89" xr16:uid="{A723DF86-8F6F-44FA-9EAC-42D51479DF68}" name="temp_google_sheet1251" type="6" refreshedVersion="8" background="1" saveData="1">
    <textPr prompt="0" sourceFile="C:\ashish\Backup\Desktop\Other\ITTF\TournamentSoftware\DrawSoftware\DilliLabsTournamentSoftware\temp_google_sheet.csv" comma="1">
      <textFields>
        <textField/>
      </textFields>
    </textPr>
  </connection>
  <connection id="90" xr16:uid="{BDB05C56-4B01-4A80-B5DA-4E4A4E7EA5DC}" name="temp_google_sheet126" type="6" refreshedVersion="8" background="1" saveData="1">
    <textPr prompt="0" sourceFile="C:\ashish\Backup\Desktop\Other\ITTF\TournamentSoftware\DrawSoftware\DilliLabsTournamentSoftware\temp_google_sheet.csv" comma="1">
      <textFields>
        <textField/>
      </textFields>
    </textPr>
  </connection>
  <connection id="91" xr16:uid="{0EE6A24F-9770-4294-974C-517C828A62C3}" name="temp_google_sheet1261" type="6" refreshedVersion="8" background="1" saveData="1">
    <textPr prompt="0" sourceFile="C:\ashish\Backup\Desktop\Other\ITTF\TournamentSoftware\DrawSoftware\DilliLabsTournamentSoftware\temp_google_sheet.csv" comma="1">
      <textFields>
        <textField/>
      </textFields>
    </textPr>
  </connection>
  <connection id="92" xr16:uid="{B3895892-9989-4508-A29A-64E369EA0FB8}" name="temp_google_sheet127" type="6" refreshedVersion="8" background="1" saveData="1">
    <textPr prompt="0" sourceFile="C:\ashish\Backup\Desktop\Other\ITTF\TournamentSoftware\DrawSoftware\DilliLabsTournamentSoftware\temp_google_sheet.csv" comma="1">
      <textFields>
        <textField/>
      </textFields>
    </textPr>
  </connection>
  <connection id="93" xr16:uid="{2CF598BE-6531-4E9C-9E86-8F9FA4745F5B}" name="temp_google_sheet1271" type="6" refreshedVersion="8" background="1" saveData="1">
    <textPr prompt="0" sourceFile="C:\ashish\Backup\Desktop\Other\ITTF\TournamentSoftware\DrawSoftware\DilliLabsTournamentSoftware\temp_google_sheet.csv" comma="1">
      <textFields>
        <textField/>
      </textFields>
    </textPr>
  </connection>
  <connection id="94" xr16:uid="{A2452CFF-364C-45CD-8A42-EAF1664BAE9B}" name="temp_google_sheet128" type="6" refreshedVersion="8" background="1" saveData="1">
    <textPr prompt="0" sourceFile="C:\ashish\Backup\Desktop\Other\ITTF\TournamentSoftware\DrawSoftware\DilliLabsTournamentSoftware\temp_google_sheet.csv" comma="1">
      <textFields>
        <textField/>
      </textFields>
    </textPr>
  </connection>
  <connection id="95" xr16:uid="{247581BE-4978-4031-B70F-05A1CDE8588D}" name="temp_google_sheet1281" type="6" refreshedVersion="8" background="1" saveData="1">
    <textPr prompt="0" sourceFile="C:\ashish\Backup\Desktop\Other\ITTF\TournamentSoftware\DrawSoftware\DilliLabsTournamentSoftware\temp_google_sheet.csv" comma="1">
      <textFields>
        <textField/>
      </textFields>
    </textPr>
  </connection>
  <connection id="96" xr16:uid="{A68E7EAD-1B53-4945-BE49-1FD6A2D6EAE8}" name="temp_google_sheet129" type="6" refreshedVersion="8" background="1" saveData="1">
    <textPr prompt="0" sourceFile="C:\ashish\Backup\Desktop\Other\ITTF\TournamentSoftware\DrawSoftware\DilliLabsTournamentSoftware\temp_google_sheet.csv" comma="1">
      <textFields>
        <textField/>
      </textFields>
    </textPr>
  </connection>
  <connection id="97" xr16:uid="{4E547CEF-3516-4050-88DA-F845861C643D}" name="temp_google_sheet1291" type="6" refreshedVersion="8" background="1" saveData="1">
    <textPr prompt="0" sourceFile="C:\ashish\Backup\Desktop\Other\ITTF\TournamentSoftware\DrawSoftware\DilliLabsTournamentSoftware\temp_google_sheet.csv" comma="1">
      <textFields>
        <textField/>
      </textFields>
    </textPr>
  </connection>
  <connection id="98" xr16:uid="{64F1D0A3-0DC4-4189-944B-48477104967F}" name="temp_google_sheet13" type="6" refreshedVersion="8" background="1" saveData="1">
    <textPr prompt="0" sourceFile="C:\ashish\Backup\Desktop\Other\ITTF\TournamentSoftware\DrawSoftware\DilliLabsTournamentSoftware\temp_google_sheet.csv" comma="1">
      <textFields>
        <textField/>
      </textFields>
    </textPr>
  </connection>
  <connection id="99" xr16:uid="{0C972DD6-1BE3-445C-BC6F-6FBB4ED73E5F}" name="temp_google_sheet130" type="6" refreshedVersion="8" background="1" saveData="1">
    <textPr prompt="0" sourceFile="C:\ashish\Backup\Desktop\Other\ITTF\TournamentSoftware\DrawSoftware\DilliLabsTournamentSoftware\temp_google_sheet.csv" comma="1">
      <textFields>
        <textField/>
      </textFields>
    </textPr>
  </connection>
  <connection id="100" xr16:uid="{483F8715-4791-467A-B3E8-0A979080C858}" name="temp_google_sheet1301" type="6" refreshedVersion="8" background="1" saveData="1">
    <textPr prompt="0" sourceFile="C:\ashish\Backup\Desktop\Other\ITTF\TournamentSoftware\DrawSoftware\DilliLabsTournamentSoftware\temp_google_sheet.csv" comma="1">
      <textFields>
        <textField/>
      </textFields>
    </textPr>
  </connection>
  <connection id="101" xr16:uid="{E0D34D91-2B29-4EB6-946D-9263AF25D49B}" name="temp_google_sheet1394" type="6" refreshedVersion="8" background="1" saveData="1">
    <textPr prompt="0" sourceFile="C:\ashish\Backup\Desktop\Other\ITTF\TournamentSoftware\DrawSoftware\DilliLabsTournamentSoftware\temp_google_sheet.csv" comma="1">
      <textFields>
        <textField/>
      </textFields>
    </textPr>
  </connection>
  <connection id="102" xr16:uid="{E25F3A18-F2B7-4846-975E-415686D9163B}" name="temp_google_sheet13941" type="6" refreshedVersion="8" background="1" saveData="1">
    <textPr prompt="0" sourceFile="C:\ashish\Backup\Desktop\Other\ITTF\TournamentSoftware\DrawSoftware\DilliLabsTournamentSoftware\temp_google_sheet.csv" comma="1">
      <textFields>
        <textField/>
      </textFields>
    </textPr>
  </connection>
  <connection id="103" xr16:uid="{8D681448-9A06-4ED1-82CD-F23E3E738B89}" name="temp_google_sheet1395" type="6" refreshedVersion="8" background="1" saveData="1">
    <textPr prompt="0" sourceFile="C:\ashish\Backup\Desktop\Other\ITTF\TournamentSoftware\DrawSoftware\DilliLabsTournamentSoftware\temp_google_sheet.csv" comma="1">
      <textFields>
        <textField/>
      </textFields>
    </textPr>
  </connection>
  <connection id="104" xr16:uid="{E14A0432-A54B-45D1-A34D-BC645D0B84B1}" name="temp_google_sheet13951" type="6" refreshedVersion="8" background="1" saveData="1">
    <textPr prompt="0" sourceFile="C:\ashish\Backup\Desktop\Other\ITTF\TournamentSoftware\DrawSoftware\DilliLabsTournamentSoftware\temp_google_sheet.csv" comma="1">
      <textFields>
        <textField/>
      </textFields>
    </textPr>
  </connection>
  <connection id="105" xr16:uid="{3D204E50-E9DC-4676-9EBA-46674B787B76}" name="temp_google_sheet1396" type="6" refreshedVersion="8" background="1" saveData="1">
    <textPr prompt="0" sourceFile="C:\ashish\Backup\Desktop\Other\ITTF\TournamentSoftware\DrawSoftware\DilliLabsTournamentSoftware\temp_google_sheet.csv" comma="1">
      <textFields>
        <textField/>
      </textFields>
    </textPr>
  </connection>
  <connection id="106" xr16:uid="{79A5BA03-9B38-4A9A-8D60-5684A09088D0}" name="temp_google_sheet13961" type="6" refreshedVersion="8" background="1" saveData="1">
    <textPr prompt="0" sourceFile="C:\ashish\Backup\Desktop\Other\ITTF\TournamentSoftware\DrawSoftware\DilliLabsTournamentSoftware\temp_google_sheet.csv" comma="1">
      <textFields>
        <textField/>
      </textFields>
    </textPr>
  </connection>
  <connection id="107" xr16:uid="{F2D97BC7-D16C-44D7-AD3C-BB1AB8155466}" name="temp_google_sheet14" type="6" refreshedVersion="8" background="1" saveData="1">
    <textPr prompt="0" sourceFile="C:\ashish\Backup\Desktop\Other\ITTF\TournamentSoftware\DrawSoftware\DilliLabsTournamentSoftware\temp_google_sheet.csv" comma="1">
      <textFields>
        <textField/>
      </textFields>
    </textPr>
  </connection>
  <connection id="108" xr16:uid="{49A44A24-DACD-4BDC-A2A6-13C7416B2B31}" name="temp_google_sheet141" type="6" refreshedVersion="8" background="1" saveData="1">
    <textPr prompt="0" sourceFile="C:\ashish\Backup\Desktop\Other\ITTF\TournamentSoftware\DrawSoftware\DilliLabsTournamentSoftware\temp_google_sheet.csv" comma="1">
      <textFields>
        <textField/>
      </textFields>
    </textPr>
  </connection>
  <connection id="109" xr16:uid="{16C17CBC-AD6C-4D47-9F9B-EBABA315C273}" name="temp_google_sheet142" type="6" refreshedVersion="8" background="1" saveData="1">
    <textPr prompt="0" sourceFile="C:\ashish\Backup\Desktop\Other\ITTF\TournamentSoftware\DrawSoftware\DilliLabsTournamentSoftware\temp_google_sheet.csv" comma="1">
      <textFields>
        <textField/>
      </textFields>
    </textPr>
  </connection>
  <connection id="110" xr16:uid="{B9383763-C8AD-441C-A720-B0D3E127C69E}" name="temp_google_sheet1434" type="6" refreshedVersion="8" background="1" saveData="1">
    <textPr prompt="0" sourceFile="C:\ashish\Backup\Desktop\Other\ITTF\TournamentSoftware\DrawSoftware\DilliLabsTournamentSoftware\temp_google_sheet.csv" comma="1">
      <textFields>
        <textField/>
      </textFields>
    </textPr>
  </connection>
  <connection id="111" xr16:uid="{889BDB98-245D-43CF-A3FE-F7DB16C9EF66}" name="temp_google_sheet14341" type="6" refreshedVersion="8" background="1" saveData="1">
    <textPr prompt="0" sourceFile="C:\ashish\Backup\Desktop\Other\ITTF\TournamentSoftware\DrawSoftware\DilliLabsTournamentSoftware\temp_google_sheet.csv" comma="1">
      <textFields>
        <textField/>
      </textFields>
    </textPr>
  </connection>
  <connection id="112" xr16:uid="{08890FFC-712C-4E81-B642-ABAB6A0BFFC1}" name="temp_google_sheet1435" type="6" refreshedVersion="8" background="1" saveData="1">
    <textPr prompt="0" sourceFile="C:\ashish\Backup\Desktop\Other\ITTF\TournamentSoftware\DrawSoftware\DilliLabsTournamentSoftware\temp_google_sheet.csv" comma="1">
      <textFields>
        <textField/>
      </textFields>
    </textPr>
  </connection>
  <connection id="113" xr16:uid="{8032C123-DAB8-4A56-86F2-348B9EFD7CB4}" name="temp_google_sheet14351" type="6" refreshedVersion="8" background="1" saveData="1">
    <textPr prompt="0" sourceFile="C:\ashish\Backup\Desktop\Other\ITTF\TournamentSoftware\DrawSoftware\DilliLabsTournamentSoftware\temp_google_sheet.csv" comma="1">
      <textFields>
        <textField/>
      </textFields>
    </textPr>
  </connection>
  <connection id="114" xr16:uid="{A590C2DF-6D8B-4A3B-9BBF-EE08A765A276}" name="temp_google_sheet1436" type="6" refreshedVersion="8" background="1" saveData="1">
    <textPr prompt="0" sourceFile="C:\ashish\Backup\Desktop\Other\ITTF\TournamentSoftware\DrawSoftware\DilliLabsTournamentSoftware\temp_google_sheet.csv" comma="1">
      <textFields>
        <textField/>
      </textFields>
    </textPr>
  </connection>
  <connection id="115" xr16:uid="{840B203E-6D7C-42EF-88BC-3A82EECE3E1B}" name="temp_google_sheet14361" type="6" refreshedVersion="8" background="1" saveData="1">
    <textPr prompt="0" sourceFile="C:\ashish\Backup\Desktop\Other\ITTF\TournamentSoftware\DrawSoftware\DilliLabsTournamentSoftware\temp_google_sheet.csv" comma="1">
      <textFields>
        <textField/>
      </textFields>
    </textPr>
  </connection>
  <connection id="116" xr16:uid="{FDF50EF4-D2D0-4CF0-A7B4-4C8C15E3960C}" name="temp_google_sheet145" type="6" refreshedVersion="8" background="1" saveData="1">
    <textPr prompt="0" sourceFile="C:\ashish\Backup\Desktop\Other\ITTF\TournamentSoftware\DrawSoftware\DilliLabsTournamentSoftware\temp_google_sheet.csv" comma="1">
      <textFields>
        <textField/>
      </textFields>
    </textPr>
  </connection>
  <connection id="117" xr16:uid="{6B40CE2C-1871-4B0A-A397-9381F6457A6F}" name="temp_google_sheet146" type="6" refreshedVersion="8" background="1" saveData="1">
    <textPr prompt="0" sourceFile="C:\ashish\Backup\Desktop\Other\ITTF\TournamentSoftware\DrawSoftware\DilliLabsTournamentSoftware\temp_google_sheet.csv" comma="1">
      <textFields>
        <textField/>
      </textFields>
    </textPr>
  </connection>
  <connection id="118" xr16:uid="{14901D99-E0E3-4839-8000-939C49880697}" name="temp_google_sheet1474" type="6" refreshedVersion="8" background="1" saveData="1">
    <textPr prompt="0" sourceFile="C:\ashish\Backup\Desktop\Other\ITTF\TournamentSoftware\DrawSoftware\DilliLabsTournamentSoftware\temp_google_sheet.csv" comma="1">
      <textFields>
        <textField/>
      </textFields>
    </textPr>
  </connection>
  <connection id="119" xr16:uid="{74778D59-AAAA-44B6-9171-ED3970B555A8}" name="temp_google_sheet14741" type="6" refreshedVersion="8" background="1" saveData="1">
    <textPr prompt="0" sourceFile="C:\ashish\Backup\Desktop\Other\ITTF\TournamentSoftware\DrawSoftware\DilliLabsTournamentSoftware\temp_google_sheet.csv" comma="1">
      <textFields>
        <textField/>
      </textFields>
    </textPr>
  </connection>
  <connection id="120" xr16:uid="{A6C24826-D928-4724-8B4A-67BEF21B8EAC}" name="temp_google_sheet1475" type="6" refreshedVersion="8" background="1" saveData="1">
    <textPr prompt="0" sourceFile="C:\ashish\Backup\Desktop\Other\ITTF\TournamentSoftware\DrawSoftware\DilliLabsTournamentSoftware\temp_google_sheet.csv" comma="1">
      <textFields>
        <textField/>
      </textFields>
    </textPr>
  </connection>
  <connection id="121" xr16:uid="{48679C14-2CA2-48AA-82AE-CB07F52E8087}" name="temp_google_sheet14751" type="6" refreshedVersion="8" background="1" saveData="1">
    <textPr prompt="0" sourceFile="C:\ashish\Backup\Desktop\Other\ITTF\TournamentSoftware\DrawSoftware\DilliLabsTournamentSoftware\temp_google_sheet.csv" comma="1">
      <textFields>
        <textField/>
      </textFields>
    </textPr>
  </connection>
  <connection id="122" xr16:uid="{C08330D9-5739-414C-899F-63092AD3ABEC}" name="temp_google_sheet1476" type="6" refreshedVersion="8" background="1" saveData="1">
    <textPr prompt="0" sourceFile="C:\ashish\Backup\Desktop\Other\ITTF\TournamentSoftware\DrawSoftware\DilliLabsTournamentSoftware\temp_google_sheet.csv" comma="1">
      <textFields>
        <textField/>
      </textFields>
    </textPr>
  </connection>
  <connection id="123" xr16:uid="{158D5494-FE70-48AA-B5CD-6EFCCEC68B42}" name="temp_google_sheet14761" type="6" refreshedVersion="8" background="1" saveData="1">
    <textPr prompt="0" sourceFile="C:\ashish\Backup\Desktop\Other\ITTF\TournamentSoftware\DrawSoftware\DilliLabsTournamentSoftware\temp_google_sheet.csv" comma="1">
      <textFields>
        <textField/>
      </textFields>
    </textPr>
  </connection>
  <connection id="124" xr16:uid="{9A609A56-9689-44F0-9628-EE9869D1A677}" name="temp_google_sheet15" type="6" refreshedVersion="8" background="1" saveData="1">
    <textPr prompt="0" sourceFile="C:\ashish\Backup\Desktop\Other\ITTF\TournamentSoftware\DrawSoftware\DilliLabsTournamentSoftware\temp_google_sheet.csv" comma="1">
      <textFields>
        <textField/>
      </textFields>
    </textPr>
  </connection>
  <connection id="125" xr16:uid="{EC0BC10F-9C7B-4E75-94BC-ED8F64675F00}" name="temp_google_sheet154" type="6" refreshedVersion="8" background="1" saveData="1">
    <textPr prompt="0" sourceFile="C:\ashish\Backup\Desktop\Other\ITTF\TournamentSoftware\DrawSoftware\DilliLabsTournamentSoftware\temp_google_sheet.csv" comma="1">
      <textFields>
        <textField/>
      </textFields>
    </textPr>
  </connection>
  <connection id="126" xr16:uid="{9A5256E9-1694-4EBF-A6D6-E19A881A778C}" name="temp_google_sheet1541" type="6" refreshedVersion="8" background="1" saveData="1">
    <textPr prompt="0" sourceFile="C:\ashish\Backup\Desktop\Other\ITTF\TournamentSoftware\DrawSoftware\DilliLabsTournamentSoftware\temp_google_sheet.csv" comma="1">
      <textFields>
        <textField/>
      </textFields>
    </textPr>
  </connection>
  <connection id="127" xr16:uid="{7600ED42-D242-423D-B59D-2714758AC6ED}" name="temp_google_sheet155" type="6" refreshedVersion="8" background="1" saveData="1">
    <textPr prompt="0" sourceFile="C:\ashish\Backup\Desktop\Other\ITTF\TournamentSoftware\DrawSoftware\DilliLabsTournamentSoftware\temp_google_sheet.csv" comma="1">
      <textFields>
        <textField/>
      </textFields>
    </textPr>
  </connection>
  <connection id="128" xr16:uid="{A5389033-229D-484B-8B22-061E179E41CE}" name="temp_google_sheet1551" type="6" refreshedVersion="8" background="1" saveData="1">
    <textPr prompt="0" sourceFile="C:\ashish\Backup\Desktop\Other\ITTF\TournamentSoftware\DrawSoftware\DilliLabsTournamentSoftware\temp_google_sheet.csv" comma="1">
      <textFields>
        <textField/>
      </textFields>
    </textPr>
  </connection>
  <connection id="129" xr16:uid="{691B89C3-EF0C-4DDB-85A9-7C6AB5201094}" name="temp_google_sheet156" type="6" refreshedVersion="8" background="1" saveData="1">
    <textPr prompt="0" sourceFile="C:\ashish\Backup\Desktop\Other\ITTF\TournamentSoftware\DrawSoftware\DilliLabsTournamentSoftware\temp_google_sheet.csv" comma="1">
      <textFields>
        <textField/>
      </textFields>
    </textPr>
  </connection>
  <connection id="130" xr16:uid="{1510E824-4EF6-4C37-8EDF-41B5A7869020}" name="temp_google_sheet1561" type="6" refreshedVersion="8" background="1" saveData="1">
    <textPr prompt="0" sourceFile="C:\ashish\Backup\Desktop\Other\ITTF\TournamentSoftware\DrawSoftware\DilliLabsTournamentSoftware\temp_google_sheet.csv" comma="1">
      <textFields>
        <textField/>
      </textFields>
    </textPr>
  </connection>
  <connection id="131" xr16:uid="{E6DAB662-B6B2-44B2-8B43-0CCCDCADF17A}" name="temp_google_sheet16" type="6" refreshedVersion="8" background="1" saveData="1">
    <textPr prompt="0" sourceFile="C:\ashish\Backup\Desktop\Other\ITTF\TournamentSoftware\DrawSoftware\DilliLabsTournamentSoftware\temp_google_sheet.csv" comma="1">
      <textFields>
        <textField/>
      </textFields>
    </textPr>
  </connection>
  <connection id="132" xr16:uid="{B01A7EB2-437D-4273-B8C7-BD765828DF66}" name="temp_google_sheet160" type="6" refreshedVersion="8" background="1" saveData="1">
    <textPr prompt="0" sourceFile="C:\ashish\Backup\Desktop\Other\ITTF\TournamentSoftware\DrawSoftware\DilliLabsTournamentSoftware\temp_google_sheet.csv" comma="1">
      <textFields>
        <textField/>
      </textFields>
    </textPr>
  </connection>
  <connection id="133" xr16:uid="{08BEAECE-C102-4BCF-A0E3-915D752C12DA}" name="temp_google_sheet164" type="6" refreshedVersion="8" background="1" saveData="1">
    <textPr prompt="0" sourceFile="C:\ashish\Backup\Desktop\Other\ITTF\TournamentSoftware\DrawSoftware\DilliLabsTournamentSoftware\temp_google_sheet.csv" comma="1">
      <textFields>
        <textField/>
      </textFields>
    </textPr>
  </connection>
  <connection id="134" xr16:uid="{6E757B2E-5E1B-4E12-B660-A61E9A01DCEC}" name="temp_google_sheet1641" type="6" refreshedVersion="8" background="1" saveData="1">
    <textPr prompt="0" sourceFile="C:\ashish\Backup\Desktop\Other\ITTF\TournamentSoftware\DrawSoftware\DilliLabsTournamentSoftware\temp_google_sheet.csv" comma="1">
      <textFields>
        <textField/>
      </textFields>
    </textPr>
  </connection>
  <connection id="135" xr16:uid="{6899C711-0E66-4B3A-8D27-35635BC4E07E}" name="temp_google_sheet165" type="6" refreshedVersion="8" background="1" saveData="1">
    <textPr prompt="0" sourceFile="C:\ashish\Backup\Desktop\Other\ITTF\TournamentSoftware\DrawSoftware\DilliLabsTournamentSoftware\temp_google_sheet.csv" comma="1">
      <textFields>
        <textField/>
      </textFields>
    </textPr>
  </connection>
  <connection id="136" xr16:uid="{1B2834AA-D183-4742-961E-E6F8DC458205}" name="temp_google_sheet1651" type="6" refreshedVersion="8" background="1" saveData="1">
    <textPr prompt="0" sourceFile="C:\ashish\Backup\Desktop\Other\ITTF\TournamentSoftware\DrawSoftware\DilliLabsTournamentSoftware\temp_google_sheet.csv" comma="1">
      <textFields>
        <textField/>
      </textFields>
    </textPr>
  </connection>
  <connection id="137" xr16:uid="{D0922CE7-905A-4D47-8A48-63CD6A38ADF2}" name="temp_google_sheet166" type="6" refreshedVersion="8" background="1" saveData="1">
    <textPr prompt="0" sourceFile="C:\ashish\Backup\Desktop\Other\ITTF\TournamentSoftware\DrawSoftware\DilliLabsTournamentSoftware\temp_google_sheet.csv" comma="1">
      <textFields>
        <textField/>
      </textFields>
    </textPr>
  </connection>
  <connection id="138" xr16:uid="{684AABBC-C77B-4F79-9C18-76107E3E6208}" name="temp_google_sheet1661" type="6" refreshedVersion="8" background="1" saveData="1">
    <textPr prompt="0" sourceFile="C:\ashish\Backup\Desktop\Other\ITTF\TournamentSoftware\DrawSoftware\DilliLabsTournamentSoftware\temp_google_sheet.csv" comma="1">
      <textFields>
        <textField/>
      </textFields>
    </textPr>
  </connection>
  <connection id="139" xr16:uid="{96EB6317-8424-4427-844A-A0F0B294AAFE}" name="temp_google_sheet17" type="6" refreshedVersion="8" background="1" saveData="1">
    <textPr prompt="0" sourceFile="C:\ashish\Backup\Desktop\Other\ITTF\TournamentSoftware\DrawSoftware\DilliLabsTournamentSoftware\temp_google_sheet.csv" comma="1">
      <textFields>
        <textField/>
      </textFields>
    </textPr>
  </connection>
  <connection id="140" xr16:uid="{38D69ED3-7750-47EF-9853-88B309B85F56}" name="temp_google_sheet170" type="6" refreshedVersion="8" background="1" saveData="1">
    <textPr prompt="0" sourceFile="C:\ashish\Backup\Desktop\Other\ITTF\TournamentSoftware\DrawSoftware\DilliLabsTournamentSoftware\temp_google_sheet.csv" comma="1">
      <textFields>
        <textField/>
      </textFields>
    </textPr>
  </connection>
  <connection id="141" xr16:uid="{E886CA2B-519B-4E8E-A967-1753695A2C26}" name="temp_google_sheet1714" type="6" refreshedVersion="8" background="1" saveData="1">
    <textPr prompt="0" sourceFile="C:\ashish\Backup\Desktop\Other\ITTF\TournamentSoftware\DrawSoftware\DilliLabsTournamentSoftware\temp_google_sheet.csv" comma="1">
      <textFields>
        <textField/>
      </textFields>
    </textPr>
  </connection>
  <connection id="142" xr16:uid="{5A0EA385-5589-465B-913E-91D10C798103}" name="temp_google_sheet17141" type="6" refreshedVersion="8" background="1" saveData="1">
    <textPr prompt="0" sourceFile="C:\ashish\Backup\Desktop\Other\ITTF\TournamentSoftware\DrawSoftware\DilliLabsTournamentSoftware\temp_google_sheet.csv" comma="1">
      <textFields>
        <textField/>
      </textFields>
    </textPr>
  </connection>
  <connection id="143" xr16:uid="{4184D818-D1AF-4519-9EF9-B994BC7309F3}" name="temp_google_sheet1715" type="6" refreshedVersion="8" background="1" saveData="1">
    <textPr prompt="0" sourceFile="C:\ashish\Backup\Desktop\Other\ITTF\TournamentSoftware\DrawSoftware\DilliLabsTournamentSoftware\temp_google_sheet.csv" comma="1">
      <textFields>
        <textField/>
      </textFields>
    </textPr>
  </connection>
  <connection id="144" xr16:uid="{1A686546-CC35-42C3-9D0A-B5565DB3DBC0}" name="temp_google_sheet17151" type="6" refreshedVersion="8" background="1" saveData="1">
    <textPr prompt="0" sourceFile="C:\ashish\Backup\Desktop\Other\ITTF\TournamentSoftware\DrawSoftware\DilliLabsTournamentSoftware\temp_google_sheet.csv" comma="1">
      <textFields>
        <textField/>
      </textFields>
    </textPr>
  </connection>
  <connection id="145" xr16:uid="{D7B19F9C-A9A2-40B4-AE5A-F2EBDA703D10}" name="temp_google_sheet1716" type="6" refreshedVersion="8" background="1" saveData="1">
    <textPr prompt="0" sourceFile="C:\ashish\Backup\Desktop\Other\ITTF\TournamentSoftware\DrawSoftware\DilliLabsTournamentSoftware\temp_google_sheet.csv" comma="1">
      <textFields>
        <textField/>
      </textFields>
    </textPr>
  </connection>
  <connection id="146" xr16:uid="{31809DC2-9F1D-44B5-AA6E-6B06FDD2D27D}" name="temp_google_sheet17161" type="6" refreshedVersion="8" background="1" saveData="1">
    <textPr prompt="0" sourceFile="C:\ashish\Backup\Desktop\Other\ITTF\TournamentSoftware\DrawSoftware\DilliLabsTournamentSoftware\temp_google_sheet.csv" comma="1">
      <textFields>
        <textField/>
      </textFields>
    </textPr>
  </connection>
  <connection id="147" xr16:uid="{4F67D593-42E3-404A-B2EB-D37626168EAC}" name="temp_google_sheet173" type="6" refreshedVersion="8" background="1" saveData="1">
    <textPr prompt="0" sourceFile="C:\ashish\Backup\Desktop\Other\ITTF\TournamentSoftware\DrawSoftware\DilliLabsTournamentSoftware\temp_google_sheet.csv" comma="1">
      <textFields>
        <textField/>
      </textFields>
    </textPr>
  </connection>
  <connection id="148" xr16:uid="{80E63355-374C-4EBF-A031-75CD7D85B385}" name="temp_google_sheet174" type="6" refreshedVersion="8" background="1" saveData="1">
    <textPr prompt="0" sourceFile="C:\ashish\Backup\Desktop\Other\ITTF\TournamentSoftware\DrawSoftware\DilliLabsTournamentSoftware\temp_google_sheet.csv" comma="1">
      <textFields>
        <textField/>
      </textFields>
    </textPr>
  </connection>
  <connection id="149" xr16:uid="{8E3E5B1B-40DF-403B-8682-81A047C4FC5D}" name="temp_google_sheet1754" type="6" refreshedVersion="8" background="1" saveData="1">
    <textPr prompt="0" sourceFile="C:\ashish\Backup\Desktop\Other\ITTF\TournamentSoftware\DrawSoftware\DilliLabsTournamentSoftware\temp_google_sheet.csv" comma="1">
      <textFields>
        <textField/>
      </textFields>
    </textPr>
  </connection>
  <connection id="150" xr16:uid="{D941660F-24CA-4CFA-9414-960D01C68368}" name="temp_google_sheet17541" type="6" refreshedVersion="8" background="1" saveData="1">
    <textPr prompt="0" sourceFile="C:\ashish\Backup\Desktop\Other\ITTF\TournamentSoftware\DrawSoftware\DilliLabsTournamentSoftware\temp_google_sheet.csv" comma="1">
      <textFields>
        <textField/>
      </textFields>
    </textPr>
  </connection>
  <connection id="151" xr16:uid="{2F7508BE-FE5C-431E-81C5-8DAF1573038B}" name="temp_google_sheet1755" type="6" refreshedVersion="8" background="1" saveData="1">
    <textPr prompt="0" sourceFile="C:\ashish\Backup\Desktop\Other\ITTF\TournamentSoftware\DrawSoftware\DilliLabsTournamentSoftware\temp_google_sheet.csv" comma="1">
      <textFields>
        <textField/>
      </textFields>
    </textPr>
  </connection>
  <connection id="152" xr16:uid="{358E6349-CF95-4F39-8E98-720554FEE44C}" name="temp_google_sheet17551" type="6" refreshedVersion="8" background="1" saveData="1">
    <textPr prompt="0" sourceFile="C:\ashish\Backup\Desktop\Other\ITTF\TournamentSoftware\DrawSoftware\DilliLabsTournamentSoftware\temp_google_sheet.csv" comma="1">
      <textFields>
        <textField/>
      </textFields>
    </textPr>
  </connection>
  <connection id="153" xr16:uid="{4AB7BB71-BC94-49AC-8D67-6EA286C7E55A}" name="temp_google_sheet1756" type="6" refreshedVersion="8" background="1" saveData="1">
    <textPr prompt="0" sourceFile="C:\ashish\Backup\Desktop\Other\ITTF\TournamentSoftware\DrawSoftware\DilliLabsTournamentSoftware\temp_google_sheet.csv" comma="1">
      <textFields>
        <textField/>
      </textFields>
    </textPr>
  </connection>
  <connection id="154" xr16:uid="{CCC358C2-FA2E-455E-A883-F89C777357BD}" name="temp_google_sheet17561" type="6" refreshedVersion="8" background="1" saveData="1">
    <textPr prompt="0" sourceFile="C:\ashish\Backup\Desktop\Other\ITTF\TournamentSoftware\DrawSoftware\DilliLabsTournamentSoftware\temp_google_sheet.csv" comma="1">
      <textFields>
        <textField/>
      </textFields>
    </textPr>
  </connection>
  <connection id="155" xr16:uid="{B2E3433B-7D2E-4284-B41F-5A916AB892C0}" name="temp_google_sheet177" type="6" refreshedVersion="8" background="1" saveData="1">
    <textPr prompt="0" sourceFile="C:\ashish\Backup\Desktop\Other\ITTF\TournamentSoftware\DrawSoftware\DilliLabsTournamentSoftware\temp_google_sheet.csv" comma="1">
      <textFields>
        <textField/>
      </textFields>
    </textPr>
  </connection>
  <connection id="156" xr16:uid="{4247C659-0C6C-4992-80F9-2EB0DE027506}" name="temp_google_sheet178" type="6" refreshedVersion="8" background="1" saveData="1">
    <textPr prompt="0" sourceFile="C:\ashish\Backup\Desktop\Other\ITTF\TournamentSoftware\DrawSoftware\DilliLabsTournamentSoftware\temp_google_sheet.csv" comma="1">
      <textFields>
        <textField/>
      </textFields>
    </textPr>
  </connection>
  <connection id="157" xr16:uid="{DEB88777-6E58-44FF-A425-3201F78159B6}" name="temp_google_sheet1794" type="6" refreshedVersion="8" background="1" saveData="1">
    <textPr prompt="0" sourceFile="C:\ashish\Backup\Desktop\Other\ITTF\TournamentSoftware\DrawSoftware\DilliLabsTournamentSoftware\temp_google_sheet.csv" comma="1">
      <textFields>
        <textField/>
      </textFields>
    </textPr>
  </connection>
  <connection id="158" xr16:uid="{9F7A66BC-6F8C-4B24-913F-12EC102A0C1C}" name="temp_google_sheet17941" type="6" refreshedVersion="8" background="1" saveData="1">
    <textPr prompt="0" sourceFile="C:\ashish\Backup\Desktop\Other\ITTF\TournamentSoftware\DrawSoftware\DilliLabsTournamentSoftware\temp_google_sheet.csv" comma="1">
      <textFields>
        <textField/>
      </textFields>
    </textPr>
  </connection>
  <connection id="159" xr16:uid="{6A61F111-AFF3-4A06-B27A-4B26DF6B9519}" name="temp_google_sheet1795" type="6" refreshedVersion="8" background="1" saveData="1">
    <textPr prompt="0" sourceFile="C:\ashish\Backup\Desktop\Other\ITTF\TournamentSoftware\DrawSoftware\DilliLabsTournamentSoftware\temp_google_sheet.csv" comma="1">
      <textFields>
        <textField/>
      </textFields>
    </textPr>
  </connection>
  <connection id="160" xr16:uid="{C854912B-0645-4378-9A78-981D7C94059B}" name="temp_google_sheet17951" type="6" refreshedVersion="8" background="1" saveData="1">
    <textPr prompt="0" sourceFile="C:\ashish\Backup\Desktop\Other\ITTF\TournamentSoftware\DrawSoftware\DilliLabsTournamentSoftware\temp_google_sheet.csv" comma="1">
      <textFields>
        <textField/>
      </textFields>
    </textPr>
  </connection>
  <connection id="161" xr16:uid="{DCF42068-E3A9-4076-B2BB-7C4AFBC4FD22}" name="temp_google_sheet1796" type="6" refreshedVersion="8" background="1" saveData="1">
    <textPr prompt="0" sourceFile="C:\ashish\Backup\Desktop\Other\ITTF\TournamentSoftware\DrawSoftware\DilliLabsTournamentSoftware\temp_google_sheet.csv" comma="1">
      <textFields>
        <textField/>
      </textFields>
    </textPr>
  </connection>
  <connection id="162" xr16:uid="{15F4D39A-C380-4035-8AB3-21038D682D3C}" name="temp_google_sheet17961" type="6" refreshedVersion="8" background="1" saveData="1">
    <textPr prompt="0" sourceFile="C:\ashish\Backup\Desktop\Other\ITTF\TournamentSoftware\DrawSoftware\DilliLabsTournamentSoftware\temp_google_sheet.csv" comma="1">
      <textFields>
        <textField/>
      </textFields>
    </textPr>
  </connection>
  <connection id="163" xr16:uid="{4F25CBB7-DD37-47FD-BCA4-AE62E38C3CE4}" name="temp_google_sheet18" type="6" refreshedVersion="8" background="1" saveData="1">
    <textPr prompt="0" sourceFile="C:\ashish\Backup\Desktop\Other\ITTF\TournamentSoftware\DrawSoftware\DilliLabsTournamentSoftware\temp_google_sheet.csv" comma="1">
      <textFields>
        <textField/>
      </textFields>
    </textPr>
  </connection>
  <connection id="164" xr16:uid="{811DD433-3AED-488E-86A7-3F9DDCAB6CBE}" name="temp_google_sheet181" type="6" refreshedVersion="8" background="1" saveData="1">
    <textPr prompt="0" sourceFile="C:\ashish\Backup\Desktop\Other\ITTF\TournamentSoftware\DrawSoftware\DilliLabsTournamentSoftware\temp_google_sheet.csv" comma="1">
      <textFields>
        <textField/>
      </textFields>
    </textPr>
  </connection>
  <connection id="165" xr16:uid="{76245D22-1B84-481B-95E0-1EDB2F11D50B}" name="temp_google_sheet182" type="6" refreshedVersion="8" background="1" saveData="1">
    <textPr prompt="0" sourceFile="C:\ashish\Backup\Desktop\Other\ITTF\TournamentSoftware\DrawSoftware\DilliLabsTournamentSoftware\temp_google_sheet.csv" comma="1">
      <textFields>
        <textField/>
      </textFields>
    </textPr>
  </connection>
  <connection id="166" xr16:uid="{C3203CCD-0785-498F-BC4B-D0A3686152CA}" name="temp_google_sheet1834" type="6" refreshedVersion="8" background="1" saveData="1">
    <textPr prompt="0" sourceFile="C:\ashish\Backup\Desktop\Other\ITTF\TournamentSoftware\DrawSoftware\DilliLabsTournamentSoftware\temp_google_sheet.csv" comma="1">
      <textFields>
        <textField/>
      </textFields>
    </textPr>
  </connection>
  <connection id="167" xr16:uid="{4DAA895A-70A4-4638-90AF-4F5FC263BF4B}" name="temp_google_sheet18341" type="6" refreshedVersion="8" background="1" saveData="1">
    <textPr prompt="0" sourceFile="C:\ashish\Backup\Desktop\Other\ITTF\TournamentSoftware\DrawSoftware\DilliLabsTournamentSoftware\temp_google_sheet.csv" comma="1">
      <textFields>
        <textField/>
      </textFields>
    </textPr>
  </connection>
  <connection id="168" xr16:uid="{27DE5B95-91CF-45ED-9988-59182E23B977}" name="temp_google_sheet1835" type="6" refreshedVersion="8" background="1" saveData="1">
    <textPr prompt="0" sourceFile="C:\ashish\Backup\Desktop\Other\ITTF\TournamentSoftware\DrawSoftware\DilliLabsTournamentSoftware\temp_google_sheet.csv" comma="1">
      <textFields>
        <textField/>
      </textFields>
    </textPr>
  </connection>
  <connection id="169" xr16:uid="{9982DB9D-453D-4C5C-8A4E-4E7ACB4A2830}" name="temp_google_sheet18351" type="6" refreshedVersion="8" background="1" saveData="1">
    <textPr prompt="0" sourceFile="C:\ashish\Backup\Desktop\Other\ITTF\TournamentSoftware\DrawSoftware\DilliLabsTournamentSoftware\temp_google_sheet.csv" comma="1">
      <textFields>
        <textField/>
      </textFields>
    </textPr>
  </connection>
  <connection id="170" xr16:uid="{84C4E8A6-B3EB-4247-8D32-753417147403}" name="temp_google_sheet1836" type="6" refreshedVersion="8" background="1" saveData="1">
    <textPr prompt="0" sourceFile="C:\ashish\Backup\Desktop\Other\ITTF\TournamentSoftware\DrawSoftware\DilliLabsTournamentSoftware\temp_google_sheet.csv" comma="1">
      <textFields>
        <textField/>
      </textFields>
    </textPr>
  </connection>
  <connection id="171" xr16:uid="{6B3B3BCF-7286-42A7-AAE7-4C816F75C086}" name="temp_google_sheet18361" type="6" refreshedVersion="8" background="1" saveData="1">
    <textPr prompt="0" sourceFile="C:\ashish\Backup\Desktop\Other\ITTF\TournamentSoftware\DrawSoftware\DilliLabsTournamentSoftware\temp_google_sheet.csv" comma="1">
      <textFields>
        <textField/>
      </textFields>
    </textPr>
  </connection>
  <connection id="172" xr16:uid="{F26A91D3-8D75-4C70-953D-51A0A531525D}" name="temp_google_sheet185" type="6" refreshedVersion="8" background="1" saveData="1">
    <textPr prompt="0" sourceFile="C:\ashish\Backup\Desktop\Other\ITTF\TournamentSoftware\DrawSoftware\DilliLabsTournamentSoftware\temp_google_sheet.csv" comma="1">
      <textFields>
        <textField/>
      </textFields>
    </textPr>
  </connection>
  <connection id="173" xr16:uid="{2F98A9A7-DF2A-4924-B0A1-19EB520A40BA}" name="temp_google_sheet186" type="6" refreshedVersion="8" background="1" saveData="1">
    <textPr prompt="0" sourceFile="C:\ashish\Backup\Desktop\Other\ITTF\TournamentSoftware\DrawSoftware\DilliLabsTournamentSoftware\temp_google_sheet.csv" comma="1">
      <textFields>
        <textField/>
      </textFields>
    </textPr>
  </connection>
  <connection id="174" xr16:uid="{0FCCF5A5-5FBC-4286-9A5D-265AF350A54F}" name="temp_google_sheet1874" type="6" refreshedVersion="8" background="1" saveData="1">
    <textPr prompt="0" sourceFile="C:\ashish\Backup\Desktop\Other\ITTF\TournamentSoftware\DrawSoftware\DilliLabsTournamentSoftware\temp_google_sheet.csv" comma="1">
      <textFields>
        <textField/>
      </textFields>
    </textPr>
  </connection>
  <connection id="175" xr16:uid="{75C19F5B-39D8-436F-86EC-F53F554B4196}" name="temp_google_sheet18741" type="6" refreshedVersion="8" background="1" saveData="1">
    <textPr prompt="0" sourceFile="C:\ashish\Backup\Desktop\Other\ITTF\TournamentSoftware\DrawSoftware\DilliLabsTournamentSoftware\temp_google_sheet.csv" comma="1">
      <textFields>
        <textField/>
      </textFields>
    </textPr>
  </connection>
  <connection id="176" xr16:uid="{D85EEA0E-B2DC-4B4B-A453-FAE2B09FA2D6}" name="temp_google_sheet1875" type="6" refreshedVersion="8" background="1" saveData="1">
    <textPr prompt="0" sourceFile="C:\ashish\Backup\Desktop\Other\ITTF\TournamentSoftware\DrawSoftware\DilliLabsTournamentSoftware\temp_google_sheet.csv" comma="1">
      <textFields>
        <textField/>
      </textFields>
    </textPr>
  </connection>
  <connection id="177" xr16:uid="{8B20E8F2-A070-418A-A212-42CE2569498A}" name="temp_google_sheet18751" type="6" refreshedVersion="8" background="1" saveData="1">
    <textPr prompt="0" sourceFile="C:\ashish\Backup\Desktop\Other\ITTF\TournamentSoftware\DrawSoftware\DilliLabsTournamentSoftware\temp_google_sheet.csv" comma="1">
      <textFields>
        <textField/>
      </textFields>
    </textPr>
  </connection>
  <connection id="178" xr16:uid="{CDD441BA-7DBB-4EB9-AD31-F215DD5D7A45}" name="temp_google_sheet1876" type="6" refreshedVersion="8" background="1" saveData="1">
    <textPr prompt="0" sourceFile="C:\ashish\Backup\Desktop\Other\ITTF\TournamentSoftware\DrawSoftware\DilliLabsTournamentSoftware\temp_google_sheet.csv" comma="1">
      <textFields>
        <textField/>
      </textFields>
    </textPr>
  </connection>
  <connection id="179" xr16:uid="{993E3864-6765-436B-8C47-FD0D0C5A7294}" name="temp_google_sheet18761" type="6" refreshedVersion="8" background="1" saveData="1">
    <textPr prompt="0" sourceFile="C:\ashish\Backup\Desktop\Other\ITTF\TournamentSoftware\DrawSoftware\DilliLabsTournamentSoftware\temp_google_sheet.csv" comma="1">
      <textFields>
        <textField/>
      </textFields>
    </textPr>
  </connection>
  <connection id="180" xr16:uid="{C96E1A3C-0FC7-4DBE-88BC-35B186AF6A8A}" name="temp_google_sheet189" type="6" refreshedVersion="8" background="1" saveData="1">
    <textPr prompt="0" sourceFile="C:\ashish\Backup\Desktop\AGA_StateRanking4\temp_google_sheet.csv" comma="1">
      <textFields>
        <textField/>
      </textFields>
    </textPr>
  </connection>
  <connection id="181" xr16:uid="{7B6A7C8B-4A0A-4431-A534-0B5FBCF1F9AE}" name="temp_google_sheet19" type="6" refreshedVersion="8" background="1" saveData="1">
    <textPr prompt="0" sourceFile="C:\ashish\Backup\Desktop\Other\ITTF\TournamentSoftware\DrawSoftware\DilliLabsTournamentSoftware\temp_google_sheet.csv" comma="1">
      <textFields>
        <textField/>
      </textFields>
    </textPr>
  </connection>
  <connection id="182" xr16:uid="{086EF4C5-DF9B-4922-B2A2-03B0375E766E}" name="temp_google_sheet190" type="6" refreshedVersion="8" background="1" saveData="1">
    <textPr prompt="0" sourceFile="C:\ashish\Backup\Desktop\AGA_StateRanking4\temp_google_sheet.csv" comma="1">
      <textFields>
        <textField/>
      </textFields>
    </textPr>
  </connection>
  <connection id="183" xr16:uid="{A5055A10-59A6-4778-8842-09869EC5570E}" name="temp_google_sheet1914" type="6" refreshedVersion="8" background="1" saveData="1">
    <textPr prompt="0" sourceFile="C:\ashish\Backup\Desktop\AGA_StateRanking4\temp_google_sheet.csv" comma="1">
      <textFields>
        <textField/>
      </textFields>
    </textPr>
  </connection>
  <connection id="184" xr16:uid="{B87AF65A-3F4F-4CD3-8D44-A5B300243A09}" name="temp_google_sheet19141" type="6" refreshedVersion="8" background="1" saveData="1">
    <textPr prompt="0" sourceFile="C:\ashish\Backup\Desktop\AGA_StateRanking4\temp_google_sheet.csv" comma="1">
      <textFields>
        <textField/>
      </textFields>
    </textPr>
  </connection>
  <connection id="185" xr16:uid="{8F319A11-AEC2-4FD9-BC2F-565C9D87333F}" name="temp_google_sheet1915" type="6" refreshedVersion="8" background="1" saveData="1">
    <textPr prompt="0" sourceFile="C:\ashish\Backup\Desktop\AGA_StateRanking4\temp_google_sheet.csv" comma="1">
      <textFields>
        <textField/>
      </textFields>
    </textPr>
  </connection>
  <connection id="186" xr16:uid="{1179C7D7-20EA-4557-9124-BF6D497A7E69}" name="temp_google_sheet19151" type="6" refreshedVersion="8" background="1" saveData="1">
    <textPr prompt="0" sourceFile="C:\ashish\Backup\Desktop\AGA_StateRanking4\temp_google_sheet.csv" comma="1">
      <textFields>
        <textField/>
      </textFields>
    </textPr>
  </connection>
  <connection id="187" xr16:uid="{3387AB6F-A9EB-48A8-AA1E-C217C3207B98}" name="temp_google_sheet1916" type="6" refreshedVersion="8" background="1" saveData="1">
    <textPr prompt="0" sourceFile="C:\ashish\Backup\Desktop\AGA_StateRanking4\temp_google_sheet.csv" comma="1">
      <textFields>
        <textField/>
      </textFields>
    </textPr>
  </connection>
  <connection id="188" xr16:uid="{9817AAE5-1DD8-4E3A-9489-3EE42E84F42D}" name="temp_google_sheet19161" type="6" refreshedVersion="8" background="1" saveData="1">
    <textPr prompt="0" sourceFile="C:\ashish\Backup\Desktop\AGA_StateRanking4\temp_google_sheet.csv" comma="1">
      <textFields>
        <textField/>
      </textFields>
    </textPr>
  </connection>
  <connection id="189" xr16:uid="{98675676-A033-4269-83CB-885BD165CDB5}" name="temp_google_sheet193" type="6" refreshedVersion="8" background="1" saveData="1">
    <textPr prompt="0" sourceFile="C:\ashish\Backup\Desktop\AGA_StateRanking4\temp_google_sheet.csv" comma="1">
      <textFields>
        <textField/>
      </textFields>
    </textPr>
  </connection>
  <connection id="190" xr16:uid="{043D107C-4ADE-4C25-B2F8-002D64E0F6A2}" name="temp_google_sheet194" type="6" refreshedVersion="8" background="1" saveData="1">
    <textPr prompt="0" sourceFile="C:\ashish\Backup\Desktop\AGA_StateRanking4\temp_google_sheet.csv" comma="1">
      <textFields>
        <textField/>
      </textFields>
    </textPr>
  </connection>
  <connection id="191" xr16:uid="{89D61517-1734-40E4-AAE3-4FE3D4EA2F9C}" name="temp_google_sheet1954" type="6" refreshedVersion="8" background="1" saveData="1">
    <textPr prompt="0" sourceFile="C:\ashish\Backup\Desktop\AGA_StateRanking4\temp_google_sheet.csv" comma="1">
      <textFields>
        <textField/>
      </textFields>
    </textPr>
  </connection>
  <connection id="192" xr16:uid="{BAFAC7B6-0A5C-4C5D-9FEB-1F28F88C5C53}" name="temp_google_sheet19541" type="6" refreshedVersion="8" background="1" saveData="1">
    <textPr prompt="0" sourceFile="C:\ashish\Backup\Desktop\AGA_StateRanking4\temp_google_sheet.csv" comma="1">
      <textFields>
        <textField/>
      </textFields>
    </textPr>
  </connection>
  <connection id="193" xr16:uid="{52A7A488-6AA4-4A9D-B3CB-3D3F014A8861}" name="temp_google_sheet1955" type="6" refreshedVersion="8" background="1" saveData="1">
    <textPr prompt="0" sourceFile="C:\ashish\Backup\Desktop\AGA_StateRanking4\temp_google_sheet.csv" comma="1">
      <textFields>
        <textField/>
      </textFields>
    </textPr>
  </connection>
  <connection id="194" xr16:uid="{D4DC577C-602B-4E76-96EA-387DBDB340DD}" name="temp_google_sheet19551" type="6" refreshedVersion="8" background="1" saveData="1">
    <textPr prompt="0" sourceFile="C:\ashish\Backup\Desktop\AGA_StateRanking4\temp_google_sheet.csv" comma="1">
      <textFields>
        <textField/>
      </textFields>
    </textPr>
  </connection>
  <connection id="195" xr16:uid="{9D551E74-B144-4C1D-BB70-02F4CE298A9A}" name="temp_google_sheet1956" type="6" refreshedVersion="8" background="1" saveData="1">
    <textPr prompt="0" sourceFile="C:\ashish\Backup\Desktop\AGA_StateRanking4\temp_google_sheet.csv" comma="1">
      <textFields>
        <textField/>
      </textFields>
    </textPr>
  </connection>
  <connection id="196" xr16:uid="{7A989C03-63FD-4925-96B7-14BECB3D6A16}" name="temp_google_sheet19561" type="6" refreshedVersion="8" background="1" saveData="1">
    <textPr prompt="0" sourceFile="C:\ashish\Backup\Desktop\AGA_StateRanking4\temp_google_sheet.csv" comma="1">
      <textFields>
        <textField/>
      </textFields>
    </textPr>
  </connection>
  <connection id="197" xr16:uid="{FFA20193-AF55-4313-A46E-097901EB64F2}" name="temp_google_sheet197" type="6" refreshedVersion="8" background="1" saveData="1">
    <textPr prompt="0" sourceFile="C:\ashish\Backup\Desktop\AGA_StateRanking4\temp_google_sheet.csv" comma="1">
      <textFields>
        <textField/>
      </textFields>
    </textPr>
  </connection>
  <connection id="198" xr16:uid="{EA54021E-68AE-4873-8190-DAF0BB84BD85}" name="temp_google_sheet198" type="6" refreshedVersion="8" background="1" saveData="1">
    <textPr prompt="0" sourceFile="C:\ashish\Backup\Desktop\AGA_StateRanking4\temp_google_sheet.csv" comma="1">
      <textFields>
        <textField/>
      </textFields>
    </textPr>
  </connection>
  <connection id="199" xr16:uid="{6A692131-0198-40A7-9D74-E51B1282B29D}" name="temp_google_sheet1994" type="6" refreshedVersion="8" background="1" saveData="1">
    <textPr prompt="0" sourceFile="C:\ashish\Backup\Desktop\AGA_StateRanking4\temp_google_sheet.csv" comma="1">
      <textFields>
        <textField/>
      </textFields>
    </textPr>
  </connection>
  <connection id="200" xr16:uid="{D95CDAA2-6691-4DDB-9CC0-4FBFCCBF1205}" name="temp_google_sheet19941" type="6" refreshedVersion="8" background="1" saveData="1">
    <textPr prompt="0" sourceFile="C:\ashish\Backup\Desktop\AGA_StateRanking4\temp_google_sheet.csv" comma="1">
      <textFields>
        <textField/>
      </textFields>
    </textPr>
  </connection>
  <connection id="201" xr16:uid="{AE6BBA5E-A3BF-47B3-B4AC-E9B1873D6907}" name="temp_google_sheet1995" type="6" refreshedVersion="8" background="1" saveData="1">
    <textPr prompt="0" sourceFile="C:\ashish\Backup\Desktop\AGA_StateRanking4\temp_google_sheet.csv" comma="1">
      <textFields>
        <textField/>
      </textFields>
    </textPr>
  </connection>
  <connection id="202" xr16:uid="{002FBD6B-96D7-4B1A-B740-A23D32B92EAE}" name="temp_google_sheet19951" type="6" refreshedVersion="8" background="1" saveData="1">
    <textPr prompt="0" sourceFile="C:\ashish\Backup\Desktop\AGA_StateRanking4\temp_google_sheet.csv" comma="1">
      <textFields>
        <textField/>
      </textFields>
    </textPr>
  </connection>
  <connection id="203" xr16:uid="{7BED84A5-9B94-4D37-B312-BAA905D33B57}" name="temp_google_sheet1996" type="6" refreshedVersion="8" background="1" saveData="1">
    <textPr prompt="0" sourceFile="C:\ashish\Backup\Desktop\AGA_StateRanking4\temp_google_sheet.csv" comma="1">
      <textFields>
        <textField/>
      </textFields>
    </textPr>
  </connection>
  <connection id="204" xr16:uid="{8199B6A7-31AA-4467-92A6-614CFB8A1321}" name="temp_google_sheet19961" type="6" refreshedVersion="8" background="1" saveData="1">
    <textPr prompt="0" sourceFile="C:\ashish\Backup\Desktop\AGA_StateRanking4\temp_google_sheet.csv" comma="1">
      <textFields>
        <textField/>
      </textFields>
    </textPr>
  </connection>
  <connection id="205" xr16:uid="{DBA8C565-8065-4494-B958-22D587F1F23E}" name="temp_google_sheet2" type="6" refreshedVersion="8" background="1" saveData="1">
    <textPr prompt="0" sourceFile="C:\ashish\Backup\Desktop\Other\ITTF\TournamentSoftware\DrawSoftware\DilliLabsTournamentSoftware\temp_google_sheet.csv" comma="1">
      <textFields>
        <textField/>
      </textFields>
    </textPr>
  </connection>
  <connection id="206" xr16:uid="{6C4E6E1F-0ECA-4668-A455-7295FA258441}" name="temp_google_sheet20" type="6" refreshedVersion="8" background="1" saveData="1">
    <textPr prompt="0" sourceFile="C:\ashish\Backup\Desktop\Other\ITTF\TournamentSoftware\DrawSoftware\DilliLabsTournamentSoftware\temp_google_sheet.csv" comma="1">
      <textFields>
        <textField/>
      </textFields>
    </textPr>
  </connection>
  <connection id="207" xr16:uid="{D033EC52-2EC0-46E5-AA55-21B642FB087C}" name="temp_google_sheet200" type="6" refreshedVersion="8" background="1" saveData="1">
    <textPr prompt="0" sourceFile="C:\ashish\Backup\Desktop\AGA_StateRanking4\temp_google_sheet.csv" comma="1">
      <textFields>
        <textField/>
      </textFields>
    </textPr>
  </connection>
  <connection id="208" xr16:uid="{18525965-2853-4301-AC67-6B67500D79F9}" name="temp_google_sheet201" type="6" refreshedVersion="8" background="1" saveData="1">
    <textPr prompt="0" sourceFile="C:\ashish\Backup\Desktop\AGA_StateRanking4\temp_google_sheet.csv" comma="1">
      <textFields>
        <textField/>
      </textFields>
    </textPr>
  </connection>
  <connection id="209" xr16:uid="{D3D8B9B9-9079-459E-B3F5-054C7594C00C}" name="temp_google_sheet2024" type="6" refreshedVersion="8" background="1" saveData="1">
    <textPr prompt="0" sourceFile="C:\ashish\Backup\Desktop\AGA_StateRanking4\temp_google_sheet.csv" comma="1">
      <textFields>
        <textField/>
      </textFields>
    </textPr>
  </connection>
  <connection id="210" xr16:uid="{A48723ED-5687-42CA-8260-3F77345EABDD}" name="temp_google_sheet20241" type="6" refreshedVersion="8" background="1" saveData="1">
    <textPr prompt="0" sourceFile="C:\ashish\Backup\Desktop\AGA_StateRanking4\temp_google_sheet.csv" comma="1">
      <textFields>
        <textField/>
      </textFields>
    </textPr>
  </connection>
  <connection id="211" xr16:uid="{8A24D6C2-42D2-4334-A039-14519AD1A014}" name="temp_google_sheet2025" type="6" refreshedVersion="8" background="1" saveData="1">
    <textPr prompt="0" sourceFile="C:\ashish\Backup\Desktop\AGA_StateRanking4\temp_google_sheet.csv" comma="1">
      <textFields>
        <textField/>
      </textFields>
    </textPr>
  </connection>
  <connection id="212" xr16:uid="{13B2EB83-CD3B-4CD5-A7BC-A26E24CC3EA9}" name="temp_google_sheet20251" type="6" refreshedVersion="8" background="1" saveData="1">
    <textPr prompt="0" sourceFile="C:\ashish\Backup\Desktop\AGA_StateRanking4\temp_google_sheet.csv" comma="1">
      <textFields>
        <textField/>
      </textFields>
    </textPr>
  </connection>
  <connection id="213" xr16:uid="{AF1E18AB-90AB-4036-8D54-2BA4A7F8F4DB}" name="temp_google_sheet2026" type="6" refreshedVersion="8" background="1" saveData="1">
    <textPr prompt="0" sourceFile="C:\ashish\Backup\Desktop\AGA_StateRanking4\temp_google_sheet.csv" comma="1">
      <textFields>
        <textField/>
      </textFields>
    </textPr>
  </connection>
  <connection id="214" xr16:uid="{E8151088-7AFB-487E-8F13-08DEB6DC017A}" name="temp_google_sheet20261" type="6" refreshedVersion="8" background="1" saveData="1">
    <textPr prompt="0" sourceFile="C:\ashish\Backup\Desktop\AGA_StateRanking4\temp_google_sheet.csv" comma="1">
      <textFields>
        <textField/>
      </textFields>
    </textPr>
  </connection>
  <connection id="215" xr16:uid="{F5908E99-EF06-41A8-8A65-38518E3D3940}" name="temp_google_sheet203" type="6" refreshedVersion="8" background="1" saveData="1">
    <textPr prompt="0" sourceFile="C:\ashish\Backup\Desktop\AGA_StateRanking4\temp_google_sheet.csv" comma="1">
      <textFields>
        <textField/>
      </textFields>
    </textPr>
  </connection>
  <connection id="216" xr16:uid="{9C27B48B-9EBC-4AD7-806E-302D4EAAA8F7}" name="temp_google_sheet204" type="6" refreshedVersion="8" background="1" saveData="1">
    <textPr prompt="0" sourceFile="C:\ashish\Backup\Desktop\AGA_StateRanking4\temp_google_sheet.csv" comma="1">
      <textFields>
        <textField/>
      </textFields>
    </textPr>
  </connection>
  <connection id="217" xr16:uid="{4AEA1540-F2D6-46C8-B93B-7A7E56443A96}" name="temp_google_sheet2054" type="6" refreshedVersion="8" background="1" saveData="1">
    <textPr prompt="0" sourceFile="C:\ashish\Backup\Desktop\AGA_StateRanking4\temp_google_sheet.csv" comma="1">
      <textFields>
        <textField/>
      </textFields>
    </textPr>
  </connection>
  <connection id="218" xr16:uid="{0FBDC2A5-DC01-4454-935A-AF9BEFD03006}" name="temp_google_sheet20541" type="6" refreshedVersion="8" background="1" saveData="1">
    <textPr prompt="0" sourceFile="C:\ashish\Backup\Desktop\AGA_StateRanking4\temp_google_sheet.csv" comma="1">
      <textFields>
        <textField/>
      </textFields>
    </textPr>
  </connection>
  <connection id="219" xr16:uid="{344A1C9C-ACB2-48C6-B504-C1F7614AE156}" name="temp_google_sheet2055" type="6" refreshedVersion="8" background="1" saveData="1">
    <textPr prompt="0" sourceFile="C:\ashish\Backup\Desktop\AGA_StateRanking4\temp_google_sheet.csv" comma="1">
      <textFields>
        <textField/>
      </textFields>
    </textPr>
  </connection>
  <connection id="220" xr16:uid="{ED652213-1012-4DBC-A031-0893955919B4}" name="temp_google_sheet20551" type="6" refreshedVersion="8" background="1" saveData="1">
    <textPr prompt="0" sourceFile="C:\ashish\Backup\Desktop\AGA_StateRanking4\temp_google_sheet.csv" comma="1">
      <textFields>
        <textField/>
      </textFields>
    </textPr>
  </connection>
  <connection id="221" xr16:uid="{08337DCB-6F5F-4253-A5C6-E1DF8213DB05}" name="temp_google_sheet2056" type="6" refreshedVersion="8" background="1" saveData="1">
    <textPr prompt="0" sourceFile="C:\ashish\Backup\Desktop\AGA_StateRanking4\temp_google_sheet.csv" comma="1">
      <textFields>
        <textField/>
      </textFields>
    </textPr>
  </connection>
  <connection id="222" xr16:uid="{F0FC97E0-BE2A-44E8-A858-EABFBE866A33}" name="temp_google_sheet20561" type="6" refreshedVersion="8" background="1" saveData="1">
    <textPr prompt="0" sourceFile="C:\ashish\Backup\Desktop\AGA_StateRanking4\temp_google_sheet.csv" comma="1">
      <textFields>
        <textField/>
      </textFields>
    </textPr>
  </connection>
  <connection id="223" xr16:uid="{B2B5DF92-1E90-41B3-BFEC-D5417C2CA13E}" name="temp_google_sheet206" type="6" refreshedVersion="8" background="1" saveData="1">
    <textPr prompt="0" sourceFile="C:\ashish\Backup\Desktop\AGA_StateRanking4\temp_google_sheet.csv" comma="1">
      <textFields>
        <textField/>
      </textFields>
    </textPr>
  </connection>
  <connection id="224" xr16:uid="{9EC838DA-61D3-48E1-AE48-88F0EC73DB8F}" name="temp_google_sheet207" type="6" refreshedVersion="8" background="1" saveData="1">
    <textPr prompt="0" sourceFile="C:\ashish\Backup\Desktop\AGA_StateRanking4\temp_google_sheet.csv" comma="1">
      <textFields>
        <textField/>
      </textFields>
    </textPr>
  </connection>
  <connection id="225" xr16:uid="{97E72741-AC78-4F3D-8063-CCE909659CE2}" name="temp_google_sheet2084" type="6" refreshedVersion="8" background="1" saveData="1">
    <textPr prompt="0" sourceFile="C:\ashish\Backup\Desktop\AGA_StateRanking4\temp_google_sheet.csv" comma="1">
      <textFields>
        <textField/>
      </textFields>
    </textPr>
  </connection>
  <connection id="226" xr16:uid="{0BC9D7E9-DEB7-4513-AB41-686627A83947}" name="temp_google_sheet20841" type="6" refreshedVersion="8" background="1" saveData="1">
    <textPr prompt="0" sourceFile="C:\ashish\Backup\Desktop\AGA_StateRanking4\temp_google_sheet.csv" comma="1">
      <textFields>
        <textField/>
      </textFields>
    </textPr>
  </connection>
  <connection id="227" xr16:uid="{2646E407-CE1F-47DA-9CA3-820102A2FC56}" name="temp_google_sheet2085" type="6" refreshedVersion="8" background="1" saveData="1">
    <textPr prompt="0" sourceFile="C:\ashish\Backup\Desktop\AGA_StateRanking4\temp_google_sheet.csv" comma="1">
      <textFields>
        <textField/>
      </textFields>
    </textPr>
  </connection>
  <connection id="228" xr16:uid="{276973BF-C36E-473D-88EA-D81E86B84A70}" name="temp_google_sheet20851" type="6" refreshedVersion="8" background="1" saveData="1">
    <textPr prompt="0" sourceFile="C:\ashish\Backup\Desktop\AGA_StateRanking4\temp_google_sheet.csv" comma="1">
      <textFields>
        <textField/>
      </textFields>
    </textPr>
  </connection>
  <connection id="229" xr16:uid="{B96E6355-D98A-448E-8F24-F5783C8CE296}" name="temp_google_sheet2086" type="6" refreshedVersion="8" background="1" saveData="1">
    <textPr prompt="0" sourceFile="C:\ashish\Backup\Desktop\AGA_StateRanking4\temp_google_sheet.csv" comma="1">
      <textFields>
        <textField/>
      </textFields>
    </textPr>
  </connection>
  <connection id="230" xr16:uid="{D40F213E-D038-4775-8006-9FA11907131C}" name="temp_google_sheet20861" type="6" refreshedVersion="8" background="1" saveData="1">
    <textPr prompt="0" sourceFile="C:\ashish\Backup\Desktop\AGA_StateRanking4\temp_google_sheet.csv" comma="1">
      <textFields>
        <textField/>
      </textFields>
    </textPr>
  </connection>
  <connection id="231" xr16:uid="{E6CDDC4E-D6EC-4F47-B939-5079ADEE30D8}" name="temp_google_sheet209" type="6" refreshedVersion="8" background="1" saveData="1">
    <textPr prompt="0" sourceFile="C:\ashish\Backup\Desktop\AGA_StateRanking4\temp_google_sheet.csv" comma="1">
      <textFields>
        <textField/>
      </textFields>
    </textPr>
  </connection>
  <connection id="232" xr16:uid="{76D5F90B-5A9C-4181-86CF-15D2E7D7AA82}" name="temp_google_sheet21" type="6" refreshedVersion="8" background="1" saveData="1">
    <textPr prompt="0" sourceFile="C:\ashish\Backup\Desktop\Other\ITTF\TournamentSoftware\DrawSoftware\DilliLabsTournamentSoftware\temp_google_sheet.csv" comma="1">
      <textFields>
        <textField/>
      </textFields>
    </textPr>
  </connection>
  <connection id="233" xr16:uid="{B51459EB-E55A-49CC-BF7C-7A096C7E7EB1}" name="temp_google_sheet210" type="6" refreshedVersion="8" background="1" saveData="1">
    <textPr prompt="0" sourceFile="C:\ashish\Backup\Desktop\AGA_StateRanking4\temp_google_sheet.csv" comma="1">
      <textFields>
        <textField/>
      </textFields>
    </textPr>
  </connection>
  <connection id="234" xr16:uid="{D6A9C4EF-9216-4621-A60A-93DBF3E7B055}" name="temp_google_sheet2114" type="6" refreshedVersion="8" background="1" saveData="1">
    <textPr prompt="0" sourceFile="C:\ashish\Backup\Desktop\AGA_StateRanking4\temp_google_sheet.csv" comma="1">
      <textFields>
        <textField/>
      </textFields>
    </textPr>
  </connection>
  <connection id="235" xr16:uid="{F393F137-725B-4F92-82FF-76BCF124DF07}" name="temp_google_sheet21141" type="6" refreshedVersion="8" background="1" saveData="1">
    <textPr prompt="0" sourceFile="C:\ashish\Backup\Desktop\AGA_StateRanking4\temp_google_sheet.csv" comma="1">
      <textFields>
        <textField/>
      </textFields>
    </textPr>
  </connection>
  <connection id="236" xr16:uid="{BC1D4CA2-340A-4968-A2AB-FBFA7A655226}" name="temp_google_sheet2115" type="6" refreshedVersion="8" background="1" saveData="1">
    <textPr prompt="0" sourceFile="C:\ashish\Backup\Desktop\AGA_StateRanking4\temp_google_sheet.csv" comma="1">
      <textFields>
        <textField/>
      </textFields>
    </textPr>
  </connection>
  <connection id="237" xr16:uid="{CB461593-814E-4E1D-AADF-B586136AEF1D}" name="temp_google_sheet21151" type="6" refreshedVersion="8" background="1" saveData="1">
    <textPr prompt="0" sourceFile="C:\ashish\Backup\Desktop\AGA_StateRanking4\temp_google_sheet.csv" comma="1">
      <textFields>
        <textField/>
      </textFields>
    </textPr>
  </connection>
  <connection id="238" xr16:uid="{9F933B53-19E1-451F-89C8-C389F6364EF2}" name="temp_google_sheet2116" type="6" refreshedVersion="8" background="1" saveData="1">
    <textPr prompt="0" sourceFile="C:\ashish\Backup\Desktop\AGA_StateRanking4\temp_google_sheet.csv" comma="1">
      <textFields>
        <textField/>
      </textFields>
    </textPr>
  </connection>
  <connection id="239" xr16:uid="{9C76FE81-F22A-4027-8BD4-EBB80484FCED}" name="temp_google_sheet21161" type="6" refreshedVersion="8" background="1" saveData="1">
    <textPr prompt="0" sourceFile="C:\ashish\Backup\Desktop\AGA_StateRanking4\temp_google_sheet.csv" comma="1">
      <textFields>
        <textField/>
      </textFields>
    </textPr>
  </connection>
  <connection id="240" xr16:uid="{59F284DD-70DE-4745-847D-381D0B1021F5}" name="temp_google_sheet212" type="6" refreshedVersion="8" background="1" saveData="1">
    <textPr prompt="0" sourceFile="C:\ashish\Backup\Desktop\Other\ITTF\TournamentSoftware\DrawSoftware\DilliLabsTournamentSoftware\temp_google_sheet.csv" comma="1">
      <textFields>
        <textField/>
      </textFields>
    </textPr>
  </connection>
  <connection id="241" xr16:uid="{19EAFCC5-0AED-4254-9EA2-AC3478CF2CFD}" name="temp_google_sheet213" type="6" refreshedVersion="8" background="1" saveData="1">
    <textPr prompt="0" sourceFile="C:\ashish\Backup\Desktop\Other\ITTF\TournamentSoftware\DrawSoftware\DilliLabsTournamentSoftware\temp_google_sheet.csv" comma="1">
      <textFields>
        <textField/>
      </textFields>
    </textPr>
  </connection>
  <connection id="242" xr16:uid="{D33BE9D3-F9F4-4B5E-B462-CEAAEEE708E4}" name="temp_google_sheet2144" type="6" refreshedVersion="8" background="1" saveData="1">
    <textPr prompt="0" sourceFile="C:\ashish\Backup\Desktop\Other\ITTF\TournamentSoftware\DrawSoftware\DilliLabsTournamentSoftware\temp_google_sheet.csv" comma="1">
      <textFields>
        <textField/>
      </textFields>
    </textPr>
  </connection>
  <connection id="243" xr16:uid="{4FCEC085-2A5E-4C91-862A-506689BAFD8C}" name="temp_google_sheet21441" type="6" refreshedVersion="8" background="1" saveData="1">
    <textPr prompt="0" sourceFile="C:\ashish\Backup\Desktop\Other\ITTF\TournamentSoftware\DrawSoftware\DilliLabsTournamentSoftware\temp_google_sheet.csv" comma="1">
      <textFields>
        <textField/>
      </textFields>
    </textPr>
  </connection>
  <connection id="244" xr16:uid="{CDBEA929-5029-4D74-AFF0-8DC24AFD99E1}" name="temp_google_sheet2145" type="6" refreshedVersion="8" background="1" saveData="1">
    <textPr prompt="0" sourceFile="C:\ashish\Backup\Desktop\Other\ITTF\TournamentSoftware\DrawSoftware\DilliLabsTournamentSoftware\temp_google_sheet.csv" comma="1">
      <textFields>
        <textField/>
      </textFields>
    </textPr>
  </connection>
  <connection id="245" xr16:uid="{A9C33089-476A-4842-8891-C755E8424693}" name="temp_google_sheet21451" type="6" refreshedVersion="8" background="1" saveData="1">
    <textPr prompt="0" sourceFile="C:\ashish\Backup\Desktop\Other\ITTF\TournamentSoftware\DrawSoftware\DilliLabsTournamentSoftware\temp_google_sheet.csv" comma="1">
      <textFields>
        <textField/>
      </textFields>
    </textPr>
  </connection>
  <connection id="246" xr16:uid="{6AFDD647-C26E-481E-A97E-F5BD7C58497D}" name="temp_google_sheet2146" type="6" refreshedVersion="8" background="1" saveData="1">
    <textPr prompt="0" sourceFile="C:\ashish\Backup\Desktop\Other\ITTF\TournamentSoftware\DrawSoftware\DilliLabsTournamentSoftware\temp_google_sheet.csv" comma="1">
      <textFields>
        <textField/>
      </textFields>
    </textPr>
  </connection>
  <connection id="247" xr16:uid="{DC7BCC51-A221-4ED3-92DB-1C2855920A56}" name="temp_google_sheet21461" type="6" refreshedVersion="8" background="1" saveData="1">
    <textPr prompt="0" sourceFile="C:\ashish\Backup\Desktop\Other\ITTF\TournamentSoftware\DrawSoftware\DilliLabsTournamentSoftware\temp_google_sheet.csv" comma="1">
      <textFields>
        <textField/>
      </textFields>
    </textPr>
  </connection>
  <connection id="248" xr16:uid="{B92F35DA-8CFF-426A-A017-9522AE00C64F}" name="temp_google_sheet215" type="6" refreshedVersion="8" background="1" saveData="1">
    <textPr prompt="0" sourceFile="C:\ashish\Backup\Desktop\Other\ITTF\TournamentSoftware\DrawSoftware\DilliLabsTournamentSoftware\temp_google_sheet.csv" comma="1">
      <textFields>
        <textField/>
      </textFields>
    </textPr>
  </connection>
  <connection id="249" xr16:uid="{2ED385BD-6369-4652-8A32-08E4435DCEF5}" name="temp_google_sheet216" type="6" refreshedVersion="8" background="1" saveData="1">
    <textPr prompt="0" sourceFile="C:\ashish\Backup\Desktop\Other\ITTF\TournamentSoftware\DrawSoftware\DilliLabsTournamentSoftware\temp_google_sheet.csv" comma="1">
      <textFields>
        <textField/>
      </textFields>
    </textPr>
  </connection>
  <connection id="250" xr16:uid="{E511F96D-52B9-454D-BE9B-3D67E76556DF}" name="temp_google_sheet217" type="6" refreshedVersion="8" background="1" saveData="1">
    <textPr prompt="0" sourceFile="C:\ashish\Backup\Desktop\Other\ITTF\TournamentSoftware\DrawSoftware\DilliLabsTournamentSoftware\temp_google_sheet.csv" comma="1">
      <textFields>
        <textField/>
      </textFields>
    </textPr>
  </connection>
  <connection id="251" xr16:uid="{01B0AB70-A911-44EF-825D-3961EA300A67}" name="temp_google_sheet21822" type="6" refreshedVersion="8" background="1" saveData="1">
    <textPr prompt="0" sourceFile="C:\ashish\Backup\Desktop\Other\ITTF\TournamentSoftware\DrawSoftware\DilliLabsTournamentSoftware\temp_google_sheet.csv" comma="1">
      <textFields>
        <textField/>
      </textFields>
    </textPr>
  </connection>
  <connection id="252" xr16:uid="{8404DB87-941B-41BF-9ACF-70E44438820D}" name="temp_google_sheet218221" type="6" refreshedVersion="8" background="1" saveData="1">
    <textPr prompt="0" sourceFile="C:\ashish\Backup\Desktop\Other\ITTF\TournamentSoftware\DrawSoftware\DilliLabsTournamentSoftware\temp_google_sheet.csv" comma="1">
      <textFields>
        <textField/>
      </textFields>
    </textPr>
  </connection>
  <connection id="253" xr16:uid="{AD76B51B-F020-4715-9134-DB4A2841B732}" name="temp_google_sheet2184" type="6" refreshedVersion="8" background="1" saveData="1">
    <textPr prompt="0" sourceFile="C:\ashish\Backup\Desktop\Other\ITTF\TournamentSoftware\DrawSoftware\DilliLabsTournamentSoftware\temp_google_sheet.csv" comma="1">
      <textFields>
        <textField/>
      </textFields>
    </textPr>
  </connection>
  <connection id="254" xr16:uid="{42F4B07A-E6BD-45DB-8EC0-68D8DC19949F}" name="temp_google_sheet21841" type="6" refreshedVersion="8" background="1" saveData="1">
    <textPr prompt="0" sourceFile="C:\ashish\Backup\Desktop\Other\ITTF\TournamentSoftware\DrawSoftware\DilliLabsTournamentSoftware\temp_google_sheet.csv" comma="1">
      <textFields>
        <textField/>
      </textFields>
    </textPr>
  </connection>
  <connection id="255" xr16:uid="{79EC2C46-D44C-462F-B9B1-6B61E97610C3}" name="temp_google_sheet2185" type="6" refreshedVersion="8" background="1" saveData="1">
    <textPr prompt="0" sourceFile="C:\ashish\Backup\Desktop\Other\ITTF\TournamentSoftware\DrawSoftware\DilliLabsTournamentSoftware\temp_google_sheet.csv" comma="1">
      <textFields>
        <textField/>
      </textFields>
    </textPr>
  </connection>
  <connection id="256" xr16:uid="{821765F8-8A08-4B30-98E6-786714E7E940}" name="temp_google_sheet21851" type="6" refreshedVersion="8" background="1" saveData="1">
    <textPr prompt="0" sourceFile="C:\ashish\Backup\Desktop\Other\ITTF\TournamentSoftware\DrawSoftware\DilliLabsTournamentSoftware\temp_google_sheet.csv" comma="1">
      <textFields>
        <textField/>
      </textFields>
    </textPr>
  </connection>
  <connection id="257" xr16:uid="{195D789E-754F-415B-A748-8AF4D68B9D00}" name="temp_google_sheet219" type="6" refreshedVersion="8" background="1" saveData="1">
    <textPr prompt="0" sourceFile="C:\ashish\Backup\Desktop\Other\ITTF\TournamentSoftware\DrawSoftware\DilliLabsTournamentSoftware\temp_google_sheet.csv" comma="1">
      <textFields>
        <textField/>
      </textFields>
    </textPr>
  </connection>
  <connection id="258" xr16:uid="{825E9DEE-1913-410B-8C2F-76A1279FAB29}" name="temp_google_sheet22" type="6" refreshedVersion="8" background="1" saveData="1">
    <textPr prompt="0" sourceFile="C:\ashish\Backup\Desktop\Other\ITTF\TournamentSoftware\DrawSoftware\DilliLabsTournamentSoftware\temp_google_sheet.csv" comma="1">
      <textFields>
        <textField/>
      </textFields>
    </textPr>
  </connection>
  <connection id="259" xr16:uid="{AC449C19-9255-4277-867F-2E80673847D9}" name="temp_google_sheet220" type="6" refreshedVersion="8" background="1" saveData="1">
    <textPr prompt="0" sourceFile="C:\ashish\Backup\Desktop\Other\ITTF\TournamentSoftware\DrawSoftware\DilliLabsTournamentSoftware\temp_google_sheet.csv" comma="1">
      <textFields>
        <textField/>
      </textFields>
    </textPr>
  </connection>
  <connection id="260" xr16:uid="{CD8FFBC9-E87B-4374-A6CE-1E60E65CE23C}" name="temp_google_sheet221" type="6" refreshedVersion="8" background="1" saveData="1">
    <textPr prompt="0" sourceFile="C:\ashish\Backup\Desktop\Other\ITTF\TournamentSoftware\DrawSoftware\DilliLabsTournamentSoftware\temp_google_sheet.csv" comma="1">
      <textFields>
        <textField/>
      </textFields>
    </textPr>
  </connection>
  <connection id="261" xr16:uid="{DBA3A504-B2CE-451A-8DC7-BDEB7676A405}" name="temp_google_sheet2210" type="6" refreshedVersion="8" background="1" saveData="1">
    <textPr prompt="0" sourceFile="C:\ashish\Backup\Desktop\Other\ITTF\TournamentSoftware\DrawSoftware\DilliLabsTournamentSoftware\temp_google_sheet.csv" comma="1">
      <textFields>
        <textField/>
      </textFields>
    </textPr>
  </connection>
  <connection id="262" xr16:uid="{3A019995-A995-4EB3-B9FF-AFBA5B165EAC}" name="temp_google_sheet22101" type="6" refreshedVersion="8" background="1" saveData="1">
    <textPr prompt="0" sourceFile="C:\ashish\Backup\Desktop\Other\ITTF\TournamentSoftware\DrawSoftware\DilliLabsTournamentSoftware\temp_google_sheet.csv" comma="1">
      <textFields>
        <textField/>
      </textFields>
    </textPr>
  </connection>
  <connection id="263" xr16:uid="{2812D587-068D-40F4-824F-01B37D2CA1D0}" name="temp_google_sheet2211" type="6" refreshedVersion="8" background="1" saveData="1">
    <textPr prompt="0" sourceFile="C:\ashish\Backup\Desktop\Other\ITTF\TournamentSoftware\DrawSoftware\DilliLabsTournamentSoftware\temp_google_sheet.csv" comma="1">
      <textFields>
        <textField/>
      </textFields>
    </textPr>
  </connection>
  <connection id="264" xr16:uid="{B48F23A2-49B8-4098-8972-8A11B61A4CAB}" name="temp_google_sheet22111" type="6" refreshedVersion="8" background="1" saveData="1">
    <textPr prompt="0" sourceFile="C:\ashish\Backup\Desktop\Other\ITTF\TournamentSoftware\DrawSoftware\DilliLabsTournamentSoftware\temp_google_sheet.csv" comma="1">
      <textFields>
        <textField/>
      </textFields>
    </textPr>
  </connection>
  <connection id="265" xr16:uid="{3F1B74D4-B23F-443E-BCD6-39E140FA781B}" name="temp_google_sheet2212" type="6" refreshedVersion="8" background="1" saveData="1">
    <textPr prompt="0" sourceFile="C:\ashish\Backup\Desktop\Other\ITTF\TournamentSoftware\DrawSoftware\DilliLabsTournamentSoftware\temp_google_sheet.csv" comma="1">
      <textFields>
        <textField/>
      </textFields>
    </textPr>
  </connection>
  <connection id="266" xr16:uid="{9E998CB8-CD31-4161-9DF8-E29B47A6BB2F}" name="temp_google_sheet22121" type="6" refreshedVersion="8" background="1" saveData="1">
    <textPr prompt="0" sourceFile="C:\ashish\Backup\Desktop\Other\ITTF\TournamentSoftware\DrawSoftware\DilliLabsTournamentSoftware\temp_google_sheet.csv" comma="1">
      <textFields>
        <textField/>
      </textFields>
    </textPr>
  </connection>
  <connection id="267" xr16:uid="{DBEF6037-92CA-4403-B7D9-B56FD8E4E2F3}" name="temp_google_sheet2213" type="6" refreshedVersion="8" background="1" saveData="1">
    <textPr prompt="0" sourceFile="C:\ashish\Backup\Desktop\Other\ITTF\TournamentSoftware\DrawSoftware\DilliLabsTournamentSoftware\temp_google_sheet.csv" comma="1">
      <textFields>
        <textField/>
      </textFields>
    </textPr>
  </connection>
  <connection id="268" xr16:uid="{F1BC281E-C1F0-4A9B-9854-1F60BDB97CB0}" name="temp_google_sheet22131" type="6" refreshedVersion="8" background="1" saveData="1">
    <textPr prompt="0" sourceFile="C:\ashish\Backup\Desktop\Other\ITTF\TournamentSoftware\DrawSoftware\DilliLabsTournamentSoftware\temp_google_sheet.csv" comma="1">
      <textFields>
        <textField/>
      </textFields>
    </textPr>
  </connection>
  <connection id="269" xr16:uid="{6A4962E4-AA4C-4713-819F-207F256925E7}" name="temp_google_sheet2214" type="6" refreshedVersion="8" background="1" saveData="1">
    <textPr prompt="0" sourceFile="C:\ashish\Backup\Desktop\Other\ITTF\TournamentSoftware\DrawSoftware\DilliLabsTournamentSoftware\temp_google_sheet.csv" comma="1">
      <textFields>
        <textField/>
      </textFields>
    </textPr>
  </connection>
  <connection id="270" xr16:uid="{ADB452C1-7919-429D-923B-D62E9DC9B5CF}" name="temp_google_sheet22141" type="6" refreshedVersion="8" background="1" saveData="1">
    <textPr prompt="0" sourceFile="C:\ashish\Backup\Desktop\Other\ITTF\TournamentSoftware\DrawSoftware\DilliLabsTournamentSoftware\temp_google_sheet.csv" comma="1">
      <textFields>
        <textField/>
      </textFields>
    </textPr>
  </connection>
  <connection id="271" xr16:uid="{66A5BC16-43A7-44E4-82AB-20CB4980E6BA}" name="temp_google_sheet2215" type="6" refreshedVersion="8" background="1" saveData="1">
    <textPr prompt="0" sourceFile="C:\ashish\Backup\Desktop\Other\ITTF\TournamentSoftware\DrawSoftware\DilliLabsTournamentSoftware\temp_google_sheet.csv" comma="1">
      <textFields>
        <textField/>
      </textFields>
    </textPr>
  </connection>
  <connection id="272" xr16:uid="{57A5D927-9145-4E15-87FA-51FC1163BA74}" name="temp_google_sheet22151" type="6" refreshedVersion="8" background="1" saveData="1">
    <textPr prompt="0" sourceFile="C:\ashish\Backup\Desktop\Other\ITTF\TournamentSoftware\DrawSoftware\DilliLabsTournamentSoftware\temp_google_sheet.csv" comma="1">
      <textFields>
        <textField/>
      </textFields>
    </textPr>
  </connection>
  <connection id="273" xr16:uid="{FF260734-9AC2-407B-BA50-44371EF5377A}" name="temp_google_sheet2216" type="6" refreshedVersion="8" background="1" saveData="1">
    <textPr prompt="0" sourceFile="C:\ashish\Backup\Desktop\Other\ITTF\TournamentSoftware\DrawSoftware\DilliLabsTournamentSoftware\temp_google_sheet.csv" comma="1">
      <textFields>
        <textField/>
      </textFields>
    </textPr>
  </connection>
  <connection id="274" xr16:uid="{3C2998D5-DF8D-4AB1-B678-A5E078FC4883}" name="temp_google_sheet22161" type="6" refreshedVersion="8" background="1" saveData="1">
    <textPr prompt="0" sourceFile="C:\ashish\Backup\Desktop\Other\ITTF\TournamentSoftware\DrawSoftware\DilliLabsTournamentSoftware\temp_google_sheet.csv" comma="1">
      <textFields>
        <textField/>
      </textFields>
    </textPr>
  </connection>
  <connection id="275" xr16:uid="{4D74B110-50F1-4671-8C8C-F68F9F1C4D6D}" name="temp_google_sheet2217" type="6" refreshedVersion="8" background="1" saveData="1">
    <textPr prompt="0" sourceFile="C:\ashish\Backup\Desktop\Other\ITTF\TournamentSoftware\DrawSoftware\DilliLabsTournamentSoftware\temp_google_sheet.csv" comma="1">
      <textFields>
        <textField/>
      </textFields>
    </textPr>
  </connection>
  <connection id="276" xr16:uid="{C273F331-324F-4753-9DE7-67C3F587BFE9}" name="temp_google_sheet2218" type="6" refreshedVersion="8" background="1" saveData="1">
    <textPr prompt="0" sourceFile="C:\ashish\Backup\Desktop\Other\ITTF\TournamentSoftware\DrawSoftware\DilliLabsTournamentSoftware\temp_google_sheet.csv" comma="1">
      <textFields>
        <textField/>
      </textFields>
    </textPr>
  </connection>
  <connection id="277" xr16:uid="{16011320-3C46-49F8-8F91-A27C969700D1}" name="temp_google_sheet222" type="6" refreshedVersion="8" background="1" saveData="1">
    <textPr prompt="0" sourceFile="C:\ashish\Backup\Desktop\Other\ITTF\TournamentSoftware\DrawSoftware\DilliLabsTournamentSoftware\temp_google_sheet.csv" comma="1">
      <textFields>
        <textField/>
      </textFields>
    </textPr>
  </connection>
  <connection id="278" xr16:uid="{296F2AA1-1656-4CE1-861C-42A95F3A1EBB}" name="temp_google_sheet2221" type="6" refreshedVersion="8" background="1" saveData="1">
    <textPr prompt="0" sourceFile="C:\ashish\Backup\Desktop\Other\ITTF\TournamentSoftware\DrawSoftware\DilliLabsTournamentSoftware\temp_google_sheet.csv" comma="1">
      <textFields>
        <textField/>
      </textFields>
    </textPr>
  </connection>
  <connection id="279" xr16:uid="{07D3B626-7FA5-4138-B17C-66B73E8A2FFF}" name="temp_google_sheet223" type="6" refreshedVersion="8" background="1" saveData="1">
    <textPr prompt="0" sourceFile="C:\ashish\Backup\Desktop\Other\ITTF\TournamentSoftware\DrawSoftware\DilliLabsTournamentSoftware\temp_google_sheet.csv" comma="1">
      <textFields>
        <textField/>
      </textFields>
    </textPr>
  </connection>
  <connection id="280" xr16:uid="{CCC82360-4FB3-41F6-88AD-33DD3DD0DF8B}" name="temp_google_sheet2231" type="6" refreshedVersion="8" background="1" saveData="1">
    <textPr prompt="0" sourceFile="C:\ashish\Backup\Desktop\Other\ITTF\TournamentSoftware\DrawSoftware\DilliLabsTournamentSoftware\temp_google_sheet.csv" comma="1">
      <textFields>
        <textField/>
      </textFields>
    </textPr>
  </connection>
  <connection id="281" xr16:uid="{207B45BB-0B28-4490-A854-50F822BBA49A}" name="temp_google_sheet224" type="6" refreshedVersion="8" background="1" saveData="1">
    <textPr prompt="0" sourceFile="C:\ashish\Backup\Desktop\Other\ITTF\TournamentSoftware\DrawSoftware\DilliLabsTournamentSoftware\temp_google_sheet.csv" comma="1">
      <textFields>
        <textField/>
      </textFields>
    </textPr>
  </connection>
  <connection id="282" xr16:uid="{D4219540-6C12-4935-A183-6FB83FF8021B}" name="temp_google_sheet2241" type="6" refreshedVersion="8" background="1" saveData="1">
    <textPr prompt="0" sourceFile="C:\ashish\Backup\Desktop\Other\ITTF\TournamentSoftware\DrawSoftware\DilliLabsTournamentSoftware\temp_google_sheet.csv" comma="1">
      <textFields>
        <textField/>
      </textFields>
    </textPr>
  </connection>
  <connection id="283" xr16:uid="{138E3390-C139-446F-877F-5F2640F18A7E}" name="temp_google_sheet225" type="6" refreshedVersion="8" background="1" saveData="1">
    <textPr prompt="0" sourceFile="C:\ashish\Backup\Desktop\Other\ITTF\TournamentSoftware\DrawSoftware\DilliLabsTournamentSoftware\temp_google_sheet.csv" comma="1">
      <textFields>
        <textField/>
      </textFields>
    </textPr>
  </connection>
  <connection id="284" xr16:uid="{78C0C7F4-6DE3-42C7-AC57-6D506E12889B}" name="temp_google_sheet2251" type="6" refreshedVersion="8" background="1" saveData="1">
    <textPr prompt="0" sourceFile="C:\ashish\Backup\Desktop\Other\ITTF\TournamentSoftware\DrawSoftware\DilliLabsTournamentSoftware\temp_google_sheet.csv" comma="1">
      <textFields>
        <textField/>
      </textFields>
    </textPr>
  </connection>
  <connection id="285" xr16:uid="{94BA73B4-547E-4FB3-817A-D2ED4DA80DD9}" name="temp_google_sheet226" type="6" refreshedVersion="8" background="1" saveData="1">
    <textPr prompt="0" sourceFile="C:\ashish\Backup\Desktop\Other\ITTF\TournamentSoftware\DrawSoftware\DilliLabsTournamentSoftware\temp_google_sheet.csv" comma="1">
      <textFields>
        <textField/>
      </textFields>
    </textPr>
  </connection>
  <connection id="286" xr16:uid="{2DC1B8C5-F458-4914-8451-0C656FBCC34E}" name="temp_google_sheet2261" type="6" refreshedVersion="8" background="1" saveData="1">
    <textPr prompt="0" sourceFile="C:\ashish\Backup\Desktop\Other\ITTF\TournamentSoftware\DrawSoftware\DilliLabsTournamentSoftware\temp_google_sheet.csv" comma="1">
      <textFields>
        <textField/>
      </textFields>
    </textPr>
  </connection>
  <connection id="287" xr16:uid="{770C4D60-DBA8-4567-AEDA-F2616F9BE956}" name="temp_google_sheet227" type="6" refreshedVersion="8" background="1" saveData="1">
    <textPr prompt="0" sourceFile="C:\ashish\Backup\Desktop\Other\ITTF\TournamentSoftware\DrawSoftware\DilliLabsTournamentSoftware\temp_google_sheet.csv" comma="1">
      <textFields>
        <textField/>
      </textFields>
    </textPr>
  </connection>
  <connection id="288" xr16:uid="{40697F4D-EC0C-4270-B619-D65D1A4D9841}" name="temp_google_sheet2271" type="6" refreshedVersion="8" background="1" saveData="1">
    <textPr prompt="0" sourceFile="C:\ashish\Backup\Desktop\Other\ITTF\TournamentSoftware\DrawSoftware\DilliLabsTournamentSoftware\temp_google_sheet.csv" comma="1">
      <textFields>
        <textField/>
      </textFields>
    </textPr>
  </connection>
  <connection id="289" xr16:uid="{23DD63D4-136A-4DDF-B0F6-919B05A0E804}" name="temp_google_sheet228" type="6" refreshedVersion="8" background="1" saveData="1">
    <textPr prompt="0" sourceFile="C:\ashish\Backup\Desktop\Other\ITTF\TournamentSoftware\DrawSoftware\DilliLabsTournamentSoftware\temp_google_sheet.csv" comma="1">
      <textFields>
        <textField/>
      </textFields>
    </textPr>
  </connection>
  <connection id="290" xr16:uid="{B7F6DE34-7938-4974-AE0C-B9FFF73E4807}" name="temp_google_sheet2281" type="6" refreshedVersion="8" background="1" saveData="1">
    <textPr prompt="0" sourceFile="C:\ashish\Backup\Desktop\Other\ITTF\TournamentSoftware\DrawSoftware\DilliLabsTournamentSoftware\temp_google_sheet.csv" comma="1">
      <textFields>
        <textField/>
      </textFields>
    </textPr>
  </connection>
  <connection id="291" xr16:uid="{5C0B480D-7C57-44C4-B2D1-85A380279C46}" name="temp_google_sheet229" type="6" refreshedVersion="8" background="1" saveData="1">
    <textPr prompt="0" sourceFile="C:\ashish\Backup\Desktop\Other\ITTF\TournamentSoftware\DrawSoftware\DilliLabsTournamentSoftware\temp_google_sheet.csv" comma="1">
      <textFields>
        <textField/>
      </textFields>
    </textPr>
  </connection>
  <connection id="292" xr16:uid="{168EBE73-3629-4D18-AF33-7851FE240D94}" name="temp_google_sheet2291" type="6" refreshedVersion="8" background="1" saveData="1">
    <textPr prompt="0" sourceFile="C:\ashish\Backup\Desktop\Other\ITTF\TournamentSoftware\DrawSoftware\DilliLabsTournamentSoftware\temp_google_sheet.csv" comma="1">
      <textFields>
        <textField/>
      </textFields>
    </textPr>
  </connection>
  <connection id="293" xr16:uid="{11CF4CC9-34EF-43E3-9ADC-5692EFA27FDD}" name="temp_google_sheet23" type="6" refreshedVersion="8" background="1" saveData="1">
    <textPr prompt="0" sourceFile="C:\ashish\Backup\Desktop\Other\ITTF\TournamentSoftware\DrawSoftware\DilliLabsTournamentSoftware\temp_google_sheet.csv" comma="1">
      <textFields>
        <textField/>
      </textFields>
    </textPr>
  </connection>
  <connection id="294" xr16:uid="{525760A8-7EE8-463F-BF9D-FA54020EAA29}" name="temp_google_sheet230" type="6" refreshedVersion="8" background="1" saveData="1">
    <textPr prompt="0" sourceFile="C:\ashish\Backup\Desktop\Other\ITTF\TournamentSoftware\DrawSoftware\DilliLabsTournamentSoftware\temp_google_sheet.csv" comma="1">
      <textFields>
        <textField/>
      </textFields>
    </textPr>
  </connection>
  <connection id="295" xr16:uid="{BA75F0BC-2BD1-4FF4-BAE3-3BB468D6A976}" name="temp_google_sheet231" type="6" refreshedVersion="8" background="1" saveData="1">
    <textPr prompt="0" sourceFile="C:\ashish\Backup\Desktop\Other\ITTF\TournamentSoftware\DrawSoftware\DilliLabsTournamentSoftware\temp_google_sheet.csv" comma="1">
      <textFields>
        <textField/>
      </textFields>
    </textPr>
  </connection>
  <connection id="296" xr16:uid="{0DF18205-A1DD-4C21-83BF-1F6C1AF17D25}" name="temp_google_sheet23221" type="6" refreshedVersion="8" background="1" saveData="1">
    <textPr prompt="0" sourceFile="C:\ashish\Backup\Desktop\Other\ITTF\TournamentSoftware\DrawSoftware\DilliLabsTournamentSoftware\temp_google_sheet.csv" comma="1">
      <textFields>
        <textField/>
      </textFields>
    </textPr>
  </connection>
  <connection id="297" xr16:uid="{425F8792-FFD8-4F1C-82BD-822C6A73999C}" name="temp_google_sheet232211" type="6" refreshedVersion="8" background="1" saveData="1">
    <textPr prompt="0" sourceFile="C:\ashish\Backup\Desktop\Other\ITTF\TournamentSoftware\DrawSoftware\DilliLabsTournamentSoftware\temp_google_sheet.csv" comma="1">
      <textFields>
        <textField/>
      </textFields>
    </textPr>
  </connection>
  <connection id="298" xr16:uid="{8398F92C-EEF2-491C-9803-005CB9140541}" name="temp_google_sheet23222" type="6" refreshedVersion="8" background="1" saveData="1">
    <textPr prompt="0" sourceFile="C:\ashish\Backup\Desktop\Other\ITTF\TournamentSoftware\DrawSoftware\DilliLabsTournamentSoftware\temp_google_sheet.csv" comma="1">
      <textFields>
        <textField/>
      </textFields>
    </textPr>
  </connection>
  <connection id="299" xr16:uid="{3DD0C50B-A49B-4ABA-8686-E77052310017}" name="temp_google_sheet232221" type="6" refreshedVersion="8" background="1" saveData="1">
    <textPr prompt="0" sourceFile="C:\ashish\Backup\Desktop\Other\ITTF\TournamentSoftware\DrawSoftware\DilliLabsTournamentSoftware\temp_google_sheet.csv" comma="1">
      <textFields>
        <textField/>
      </textFields>
    </textPr>
  </connection>
  <connection id="300" xr16:uid="{58610BEC-3083-4A83-B6EB-D3A531CE7CD4}" name="temp_google_sheet2324" type="6" refreshedVersion="8" background="1" saveData="1">
    <textPr prompt="0" sourceFile="C:\ashish\Backup\Desktop\Other\ITTF\TournamentSoftware\DrawSoftware\DilliLabsTournamentSoftware\temp_google_sheet.csv" comma="1">
      <textFields>
        <textField/>
      </textFields>
    </textPr>
  </connection>
  <connection id="301" xr16:uid="{0DC127B3-BC0A-41F2-8F81-3C412A4DEAEC}" name="temp_google_sheet23241" type="6" refreshedVersion="8" background="1" saveData="1">
    <textPr prompt="0" sourceFile="C:\ashish\Backup\Desktop\Other\ITTF\TournamentSoftware\DrawSoftware\DilliLabsTournamentSoftware\temp_google_sheet.csv" comma="1">
      <textFields>
        <textField/>
      </textFields>
    </textPr>
  </connection>
  <connection id="302" xr16:uid="{DA0A2CEE-8CD2-4CB6-B1FE-C57BC1EB9BE6}" name="temp_google_sheet233" type="6" refreshedVersion="8" background="1" saveData="1">
    <textPr prompt="0" sourceFile="C:\ashish\Backup\Desktop\Other\ITTF\TournamentSoftware\DrawSoftware\DilliLabsTournamentSoftware\temp_google_sheet.csv" comma="1">
      <textFields>
        <textField/>
      </textFields>
    </textPr>
  </connection>
  <connection id="303" xr16:uid="{794FFC88-17AF-4BDC-B158-B9FC8CAE1909}" name="temp_google_sheet234" type="6" refreshedVersion="8" background="1" saveData="1">
    <textPr prompt="0" sourceFile="C:\ashish\Backup\Desktop\Other\ITTF\TournamentSoftware\DrawSoftware\DilliLabsTournamentSoftware\temp_google_sheet.csv" comma="1">
      <textFields>
        <textField/>
      </textFields>
    </textPr>
  </connection>
  <connection id="304" xr16:uid="{FEAA2388-BDB0-407F-A15B-8FFDBAA225FD}" name="temp_google_sheet23520" type="6" refreshedVersion="8" background="1" saveData="1">
    <textPr prompt="0" sourceFile="C:\ashish\Backup\Desktop\Other\ITTF\TournamentSoftware\DrawSoftware\DilliLabsTournamentSoftware\temp_google_sheet.csv" comma="1">
      <textFields>
        <textField/>
      </textFields>
    </textPr>
  </connection>
  <connection id="305" xr16:uid="{C09AAE9C-11C0-4B30-8090-BF531EF54ED5}" name="temp_google_sheet235201" type="6" refreshedVersion="8" background="1" saveData="1">
    <textPr prompt="0" sourceFile="C:\ashish\Backup\Desktop\Other\ITTF\TournamentSoftware\DrawSoftware\DilliLabsTournamentSoftware\temp_google_sheet.csv" comma="1">
      <textFields>
        <textField/>
      </textFields>
    </textPr>
  </connection>
  <connection id="306" xr16:uid="{0A4F040D-F9D5-4AEB-8627-1718FD6DF259}" name="temp_google_sheet23521" type="6" refreshedVersion="8" background="1" saveData="1">
    <textPr prompt="0" sourceFile="C:\ashish\Backup\Desktop\Other\ITTF\TournamentSoftware\DrawSoftware\DilliLabsTournamentSoftware\temp_google_sheet.csv" comma="1">
      <textFields>
        <textField/>
      </textFields>
    </textPr>
  </connection>
  <connection id="307" xr16:uid="{AA9D08AC-26E1-435E-87BD-F89D8E3392E3}" name="temp_google_sheet235211" type="6" refreshedVersion="8" background="1" saveData="1">
    <textPr prompt="0" sourceFile="C:\ashish\Backup\Desktop\Other\ITTF\TournamentSoftware\DrawSoftware\DilliLabsTournamentSoftware\temp_google_sheet.csv" comma="1">
      <textFields>
        <textField/>
      </textFields>
    </textPr>
  </connection>
  <connection id="308" xr16:uid="{D22E57F8-90B5-4B8E-804B-250616B5FE8A}" name="temp_google_sheet23522" type="6" refreshedVersion="8" background="1" saveData="1">
    <textPr prompt="0" sourceFile="C:\ashish\Backup\Desktop\Other\ITTF\TournamentSoftware\DrawSoftware\DilliLabsTournamentSoftware\temp_google_sheet.csv" comma="1">
      <textFields>
        <textField/>
      </textFields>
    </textPr>
  </connection>
  <connection id="309" xr16:uid="{64D467DB-7126-4718-A8D8-D3A530E064EB}" name="temp_google_sheet235221" type="6" refreshedVersion="8" background="1" saveData="1">
    <textPr prompt="0" sourceFile="C:\ashish\Backup\Desktop\Other\ITTF\TournamentSoftware\DrawSoftware\DilliLabsTournamentSoftware\temp_google_sheet.csv" comma="1">
      <textFields>
        <textField/>
      </textFields>
    </textPr>
  </connection>
  <connection id="310" xr16:uid="{8679203C-4CED-4B49-BDD6-335CB3F8924E}" name="temp_google_sheet236" type="6" refreshedVersion="8" background="1" saveData="1">
    <textPr prompt="0" sourceFile="C:\ashish\Backup\Desktop\Other\ITTF\TournamentSoftware\DrawSoftware\DilliLabsTournamentSoftware\temp_google_sheet.csv" comma="1">
      <textFields>
        <textField/>
      </textFields>
    </textPr>
  </connection>
  <connection id="311" xr16:uid="{4A46B9D3-7B08-47CE-95FC-05DE8CD2351F}" name="temp_google_sheet237" type="6" refreshedVersion="8" background="1" saveData="1">
    <textPr prompt="0" sourceFile="C:\ashish\Backup\Desktop\Other\ITTF\TournamentSoftware\DrawSoftware\DilliLabsTournamentSoftware\temp_google_sheet.csv" comma="1">
      <textFields>
        <textField/>
      </textFields>
    </textPr>
  </connection>
  <connection id="312" xr16:uid="{FE361961-D179-4A78-8A05-C205D8047E90}" name="temp_google_sheet238" type="6" refreshedVersion="8" background="1" saveData="1">
    <textPr prompt="0" sourceFile="C:\ashish\Backup\Desktop\Other\ITTF\TournamentSoftware\DrawSoftware\DilliLabsTournamentSoftware\temp_google_sheet.csv" comma="1">
      <textFields>
        <textField/>
      </textFields>
    </textPr>
  </connection>
  <connection id="313" xr16:uid="{71CCE37D-E755-4687-BB71-F5576245674F}" name="temp_google_sheet23920" type="6" refreshedVersion="8" background="1" saveData="1">
    <textPr prompt="0" sourceFile="C:\ashish\Backup\Desktop\Other\ITTF\TournamentSoftware\DrawSoftware\DilliLabsTournamentSoftware\temp_google_sheet.csv" comma="1">
      <textFields>
        <textField/>
      </textFields>
    </textPr>
  </connection>
  <connection id="314" xr16:uid="{2DE7B3B8-ADA1-43B9-9F6D-FFF73FA29A47}" name="temp_google_sheet239201" type="6" refreshedVersion="8" background="1" saveData="1">
    <textPr prompt="0" sourceFile="C:\ashish\Backup\Desktop\Other\ITTF\TournamentSoftware\DrawSoftware\DilliLabsTournamentSoftware\temp_google_sheet.csv" comma="1">
      <textFields>
        <textField/>
      </textFields>
    </textPr>
  </connection>
  <connection id="315" xr16:uid="{94B24B91-EBC5-4AFF-8FD2-8DDAF4A3B07A}" name="temp_google_sheet23921" type="6" refreshedVersion="8" background="1" saveData="1">
    <textPr prompt="0" sourceFile="C:\ashish\Backup\Desktop\Other\ITTF\TournamentSoftware\DrawSoftware\DilliLabsTournamentSoftware\temp_google_sheet.csv" comma="1">
      <textFields>
        <textField/>
      </textFields>
    </textPr>
  </connection>
  <connection id="316" xr16:uid="{3C521B6F-8EFE-4E2C-932C-E2E3AA7F0023}" name="temp_google_sheet239211" type="6" refreshedVersion="8" background="1" saveData="1">
    <textPr prompt="0" sourceFile="C:\ashish\Backup\Desktop\Other\ITTF\TournamentSoftware\DrawSoftware\DilliLabsTournamentSoftware\temp_google_sheet.csv" comma="1">
      <textFields>
        <textField/>
      </textFields>
    </textPr>
  </connection>
  <connection id="317" xr16:uid="{E228F85C-EEC6-4ACE-9656-57BDF92FDCD2}" name="temp_google_sheet23922" type="6" refreshedVersion="8" background="1" saveData="1">
    <textPr prompt="0" sourceFile="C:\ashish\Backup\Desktop\Other\ITTF\TournamentSoftware\DrawSoftware\DilliLabsTournamentSoftware\temp_google_sheet.csv" comma="1">
      <textFields>
        <textField/>
      </textFields>
    </textPr>
  </connection>
  <connection id="318" xr16:uid="{17BE71FD-AFAF-41E5-ADD3-C3E7770013BE}" name="temp_google_sheet239221" type="6" refreshedVersion="8" background="1" saveData="1">
    <textPr prompt="0" sourceFile="C:\ashish\Backup\Desktop\Other\ITTF\TournamentSoftware\DrawSoftware\DilliLabsTournamentSoftware\temp_google_sheet.csv" comma="1">
      <textFields>
        <textField/>
      </textFields>
    </textPr>
  </connection>
  <connection id="319" xr16:uid="{EC8596BB-AC3B-49EA-B4C2-C785848F3572}" name="temp_google_sheet24" type="6" refreshedVersion="8" background="1" saveData="1">
    <textPr prompt="0" sourceFile="C:\ashish\Backup\Desktop\Other\ITTF\TournamentSoftware\DrawSoftware\DilliLabsTournamentSoftware\temp_google_sheet.csv" comma="1">
      <textFields>
        <textField/>
      </textFields>
    </textPr>
  </connection>
  <connection id="320" xr16:uid="{48E369A8-9F87-40F4-8320-6EF93EC367CF}" name="temp_google_sheet240" type="6" refreshedVersion="8" background="1" saveData="1">
    <textPr prompt="0" sourceFile="C:\ashish\Backup\Desktop\Other\ITTF\TournamentSoftware\DrawSoftware\DilliLabsTournamentSoftware\temp_google_sheet.csv" comma="1">
      <textFields>
        <textField/>
      </textFields>
    </textPr>
  </connection>
  <connection id="321" xr16:uid="{B0309F4C-75BD-40D3-8E0F-F1E97EF108F7}" name="temp_google_sheet244" type="6" refreshedVersion="8" background="1" saveData="1">
    <textPr prompt="0" sourceFile="C:\ashish\Backup\Desktop\Other\ITTF\TournamentSoftware\DrawSoftware\DilliLabsTournamentSoftware\temp_google_sheet.csv" comma="1">
      <textFields>
        <textField/>
      </textFields>
    </textPr>
  </connection>
  <connection id="322" xr16:uid="{44734D3A-04BE-4742-9F9F-16669DDF832F}" name="temp_google_sheet2441" type="6" refreshedVersion="8" background="1" saveData="1">
    <textPr prompt="0" sourceFile="C:\ashish\Backup\Desktop\Other\ITTF\TournamentSoftware\DrawSoftware\DilliLabsTournamentSoftware\temp_google_sheet.csv" comma="1">
      <textFields>
        <textField/>
      </textFields>
    </textPr>
  </connection>
  <connection id="323" xr16:uid="{EE7B97AA-88E8-4770-B424-95DB27717FE7}" name="temp_google_sheet245" type="6" refreshedVersion="8" background="1" saveData="1">
    <textPr prompt="0" sourceFile="C:\ashish\Backup\Desktop\Other\ITTF\TournamentSoftware\DrawSoftware\DilliLabsTournamentSoftware\temp_google_sheet.csv" comma="1">
      <textFields>
        <textField/>
      </textFields>
    </textPr>
  </connection>
  <connection id="324" xr16:uid="{2E28F9BD-BF68-427C-9BF9-8862F91066A2}" name="temp_google_sheet2451" type="6" refreshedVersion="8" background="1" saveData="1">
    <textPr prompt="0" sourceFile="C:\ashish\Backup\Desktop\Other\ITTF\TournamentSoftware\DrawSoftware\DilliLabsTournamentSoftware\temp_google_sheet.csv" comma="1">
      <textFields>
        <textField/>
      </textFields>
    </textPr>
  </connection>
  <connection id="325" xr16:uid="{E67ABE7B-142F-44E3-8FED-322C4A5146A4}" name="temp_google_sheet246" type="6" refreshedVersion="8" background="1" saveData="1">
    <textPr prompt="0" sourceFile="C:\ashish\Backup\Desktop\Other\ITTF\TournamentSoftware\DrawSoftware\DilliLabsTournamentSoftware\temp_google_sheet.csv" comma="1">
      <textFields>
        <textField/>
      </textFields>
    </textPr>
  </connection>
  <connection id="326" xr16:uid="{D5E277EE-DE13-434D-9EC6-43BD59DA07BC}" name="temp_google_sheet2461" type="6" refreshedVersion="8" background="1" saveData="1">
    <textPr prompt="0" sourceFile="C:\ashish\Backup\Desktop\Other\ITTF\TournamentSoftware\DrawSoftware\DilliLabsTournamentSoftware\temp_google_sheet.csv" comma="1">
      <textFields>
        <textField/>
      </textFields>
    </textPr>
  </connection>
  <connection id="327" xr16:uid="{21E9D9EC-2B1B-4C9C-9EA0-EE74E6D58188}" name="temp_google_sheet25" type="6" refreshedVersion="8" background="1" saveData="1">
    <textPr prompt="0" sourceFile="C:\ashish\Backup\Desktop\Other\ITTF\TournamentSoftware\DrawSoftware\DilliLabsTournamentSoftware\temp_google_sheet.csv" comma="1">
      <textFields>
        <textField/>
      </textFields>
    </textPr>
  </connection>
  <connection id="328" xr16:uid="{5D93173D-09F9-475C-ACF3-D2E7A9907CC6}" name="temp_google_sheet250" type="6" refreshedVersion="8" background="1" saveData="1">
    <textPr prompt="0" sourceFile="C:\ashish\Backup\Desktop\Other\ITTF\TournamentSoftware\DrawSoftware\DilliLabsTournamentSoftware\temp_google_sheet.csv" comma="1">
      <textFields>
        <textField/>
      </textFields>
    </textPr>
  </connection>
  <connection id="329" xr16:uid="{A798F96C-81BE-4FD9-ADC8-B43BF75693E5}" name="temp_google_sheet25120" type="6" refreshedVersion="8" background="1" saveData="1">
    <textPr prompt="0" sourceFile="C:\ashish\Backup\Desktop\Other\ITTF\TournamentSoftware\DrawSoftware\DilliLabsTournamentSoftware\temp_google_sheet.csv" comma="1">
      <textFields>
        <textField/>
      </textFields>
    </textPr>
  </connection>
  <connection id="330" xr16:uid="{E8169DA7-2234-4325-837C-77758DC5ABED}" name="temp_google_sheet251201" type="6" refreshedVersion="8" background="1" saveData="1">
    <textPr prompt="0" sourceFile="C:\ashish\Backup\Desktop\Other\ITTF\TournamentSoftware\DrawSoftware\DilliLabsTournamentSoftware\temp_google_sheet.csv" comma="1">
      <textFields>
        <textField/>
      </textFields>
    </textPr>
  </connection>
  <connection id="331" xr16:uid="{CAA4D320-BB09-4614-98C3-61C905BC5FAF}" name="temp_google_sheet25121" type="6" refreshedVersion="8" background="1" saveData="1">
    <textPr prompt="0" sourceFile="C:\ashish\Backup\Desktop\Other\ITTF\TournamentSoftware\DrawSoftware\DilliLabsTournamentSoftware\temp_google_sheet.csv" comma="1">
      <textFields>
        <textField/>
      </textFields>
    </textPr>
  </connection>
  <connection id="332" xr16:uid="{861470A9-C6AA-4768-9336-C8F87A04694A}" name="temp_google_sheet251211" type="6" refreshedVersion="8" background="1" saveData="1">
    <textPr prompt="0" sourceFile="C:\ashish\Backup\Desktop\Other\ITTF\TournamentSoftware\DrawSoftware\DilliLabsTournamentSoftware\temp_google_sheet.csv" comma="1">
      <textFields>
        <textField/>
      </textFields>
    </textPr>
  </connection>
  <connection id="333" xr16:uid="{97CA7EE4-FF4A-40FB-8D8B-5CD96E6AEEEA}" name="temp_google_sheet25122" type="6" refreshedVersion="8" background="1" saveData="1">
    <textPr prompt="0" sourceFile="C:\ashish\Backup\Desktop\Other\ITTF\TournamentSoftware\DrawSoftware\DilliLabsTournamentSoftware\temp_google_sheet.csv" comma="1">
      <textFields>
        <textField/>
      </textFields>
    </textPr>
  </connection>
  <connection id="334" xr16:uid="{042C182C-7330-434B-982C-C55F2592FBAA}" name="temp_google_sheet251221" type="6" refreshedVersion="8" background="1" saveData="1">
    <textPr prompt="0" sourceFile="C:\ashish\Backup\Desktop\Other\ITTF\TournamentSoftware\DrawSoftware\DilliLabsTournamentSoftware\temp_google_sheet.csv" comma="1">
      <textFields>
        <textField/>
      </textFields>
    </textPr>
  </connection>
  <connection id="335" xr16:uid="{04B5CBE7-C72D-45B7-B7B9-EAC01CDE42C4}" name="temp_google_sheet252" type="6" refreshedVersion="8" background="1" saveData="1">
    <textPr prompt="0" sourceFile="C:\ashish\Backup\Desktop\Other\ITTF\TournamentSoftware\DrawSoftware\DilliLabsTournamentSoftware\temp_google_sheet.csv" comma="1">
      <textFields>
        <textField/>
      </textFields>
    </textPr>
  </connection>
  <connection id="336" xr16:uid="{38095604-6AE9-4F8C-B709-D7DFAD6E526E}" name="temp_google_sheet253" type="6" refreshedVersion="8" background="1" saveData="1">
    <textPr prompt="0" sourceFile="C:\ashish\Backup\Desktop\Other\ITTF\TournamentSoftware\DrawSoftware\DilliLabsTournamentSoftware\temp_google_sheet.csv" comma="1">
      <textFields>
        <textField/>
      </textFields>
    </textPr>
  </connection>
  <connection id="337" xr16:uid="{A201EAFC-1602-45A6-BC47-F92BADFC201E}" name="temp_google_sheet25419" type="6" refreshedVersion="8" background="1" saveData="1">
    <textPr prompt="0" sourceFile="C:\ashish\Backup\Desktop\Other\ITTF\TournamentSoftware\DrawSoftware\DilliLabsTournamentSoftware\temp_google_sheet.csv" comma="1">
      <textFields>
        <textField/>
      </textFields>
    </textPr>
  </connection>
  <connection id="338" xr16:uid="{DD1C6DC4-D42E-4C7B-A13F-5223C5174F11}" name="temp_google_sheet254191" type="6" refreshedVersion="8" background="1" saveData="1">
    <textPr prompt="0" sourceFile="C:\ashish\Backup\Desktop\Other\ITTF\TournamentSoftware\DrawSoftware\DilliLabsTournamentSoftware\temp_google_sheet.csv" comma="1">
      <textFields>
        <textField/>
      </textFields>
    </textPr>
  </connection>
  <connection id="339" xr16:uid="{7DB96A98-C46C-4D20-AD06-BFE47C9F642B}" name="temp_google_sheet25420" type="6" refreshedVersion="8" background="1" saveData="1">
    <textPr prompt="0" sourceFile="C:\ashish\Backup\Desktop\Other\ITTF\TournamentSoftware\DrawSoftware\DilliLabsTournamentSoftware\temp_google_sheet.csv" comma="1">
      <textFields>
        <textField/>
      </textFields>
    </textPr>
  </connection>
  <connection id="340" xr16:uid="{EF3E4202-50BB-4604-8377-3CE3CFCD490E}" name="temp_google_sheet254201" type="6" refreshedVersion="8" background="1" saveData="1">
    <textPr prompt="0" sourceFile="C:\ashish\Backup\Desktop\Other\ITTF\TournamentSoftware\DrawSoftware\DilliLabsTournamentSoftware\temp_google_sheet.csv" comma="1">
      <textFields>
        <textField/>
      </textFields>
    </textPr>
  </connection>
  <connection id="341" xr16:uid="{496DD2A9-6337-4BFD-B4D1-99CB3A0816EA}" name="temp_google_sheet25421" type="6" refreshedVersion="8" background="1" saveData="1">
    <textPr prompt="0" sourceFile="C:\ashish\Backup\Desktop\Other\ITTF\TournamentSoftware\DrawSoftware\DilliLabsTournamentSoftware\temp_google_sheet.csv" comma="1">
      <textFields>
        <textField/>
      </textFields>
    </textPr>
  </connection>
  <connection id="342" xr16:uid="{8B5112F7-58AE-489B-BB04-0809BD93FE56}" name="temp_google_sheet254211" type="6" refreshedVersion="8" background="1" saveData="1">
    <textPr prompt="0" sourceFile="C:\ashish\Backup\Desktop\Other\ITTF\TournamentSoftware\DrawSoftware\DilliLabsTournamentSoftware\temp_google_sheet.csv" comma="1">
      <textFields>
        <textField/>
      </textFields>
    </textPr>
  </connection>
  <connection id="343" xr16:uid="{F23DC48D-3140-4107-AFFC-689C899C00FB}" name="temp_google_sheet255" type="6" refreshedVersion="8" background="1" saveData="1">
    <textPr prompt="0" sourceFile="C:\ashish\Backup\Desktop\Other\ITTF\TournamentSoftware\DrawSoftware\DilliLabsTournamentSoftware\temp_google_sheet.csv" comma="1">
      <textFields>
        <textField/>
      </textFields>
    </textPr>
  </connection>
  <connection id="344" xr16:uid="{CFBBEEEB-7C0A-4362-A1CA-40FA09875E46}" name="temp_google_sheet256" type="6" refreshedVersion="8" background="1" saveData="1">
    <textPr prompt="0" sourceFile="C:\ashish\Backup\Desktop\Other\ITTF\TournamentSoftware\DrawSoftware\DilliLabsTournamentSoftware\temp_google_sheet.csv" comma="1">
      <textFields>
        <textField/>
      </textFields>
    </textPr>
  </connection>
  <connection id="345" xr16:uid="{CF3ED1E2-043F-457E-B010-753EFDD0A71B}" name="temp_google_sheet257" type="6" refreshedVersion="8" background="1" saveData="1">
    <textPr prompt="0" sourceFile="C:\ashish\Backup\Desktop\Other\ITTF\TournamentSoftware\DrawSoftware\DilliLabsTournamentSoftware\temp_google_sheet.csv" comma="1">
      <textFields>
        <textField/>
      </textFields>
    </textPr>
  </connection>
  <connection id="346" xr16:uid="{81B25481-1117-40AF-8394-82C6C6643848}" name="temp_google_sheet25818" type="6" refreshedVersion="8" background="1" saveData="1">
    <textPr prompt="0" sourceFile="C:\ashish\Backup\Desktop\Other\ITTF\TournamentSoftware\DrawSoftware\DilliLabsTournamentSoftware\temp_google_sheet.csv" comma="1">
      <textFields>
        <textField/>
      </textFields>
    </textPr>
  </connection>
  <connection id="347" xr16:uid="{A92251CF-571E-48CF-8DD2-739EE52526CC}" name="temp_google_sheet258181" type="6" refreshedVersion="8" background="1" saveData="1">
    <textPr prompt="0" sourceFile="C:\ashish\Backup\Desktop\Other\ITTF\TournamentSoftware\DrawSoftware\DilliLabsTournamentSoftware\temp_google_sheet.csv" comma="1">
      <textFields>
        <textField/>
      </textFields>
    </textPr>
  </connection>
  <connection id="348" xr16:uid="{A7058D0C-ABAC-4854-8B50-498A4D8CB8F7}" name="temp_google_sheet25819" type="6" refreshedVersion="8" background="1" saveData="1">
    <textPr prompt="0" sourceFile="C:\ashish\Backup\Desktop\Other\ITTF\TournamentSoftware\DrawSoftware\DilliLabsTournamentSoftware\temp_google_sheet.csv" comma="1">
      <textFields>
        <textField/>
      </textFields>
    </textPr>
  </connection>
  <connection id="349" xr16:uid="{6B32861D-0E26-44DF-AEDE-65DF8E0DED3D}" name="temp_google_sheet258191" type="6" refreshedVersion="8" background="1" saveData="1">
    <textPr prompt="0" sourceFile="C:\ashish\Backup\Desktop\Other\ITTF\TournamentSoftware\DrawSoftware\DilliLabsTournamentSoftware\temp_google_sheet.csv" comma="1">
      <textFields>
        <textField/>
      </textFields>
    </textPr>
  </connection>
  <connection id="350" xr16:uid="{02F2EFD6-A395-4912-89F9-72D849DBD8E9}" name="temp_google_sheet25820" type="6" refreshedVersion="8" background="1" saveData="1">
    <textPr prompt="0" sourceFile="C:\ashish\Backup\Desktop\Other\ITTF\TournamentSoftware\DrawSoftware\DilliLabsTournamentSoftware\temp_google_sheet.csv" comma="1">
      <textFields>
        <textField/>
      </textFields>
    </textPr>
  </connection>
  <connection id="351" xr16:uid="{0F9B3AD8-5F14-4E6F-92A4-A588CBF04DD7}" name="temp_google_sheet258201" type="6" refreshedVersion="8" background="1" saveData="1">
    <textPr prompt="0" sourceFile="C:\ashish\Backup\Desktop\Other\ITTF\TournamentSoftware\DrawSoftware\DilliLabsTournamentSoftware\temp_google_sheet.csv" comma="1">
      <textFields>
        <textField/>
      </textFields>
    </textPr>
  </connection>
  <connection id="352" xr16:uid="{49A2A3E1-1541-4764-9E9F-8DE745C1AF91}" name="temp_google_sheet259" type="6" refreshedVersion="8" background="1" saveData="1">
    <textPr prompt="0" sourceFile="C:\ashish\Backup\Desktop\Other\ITTF\TournamentSoftware\DrawSoftware\DilliLabsTournamentSoftware\temp_google_sheet.csv" comma="1">
      <textFields>
        <textField/>
      </textFields>
    </textPr>
  </connection>
  <connection id="353" xr16:uid="{E777AD23-A6C2-4759-965C-7F9C12C35A86}" name="temp_google_sheet26" type="6" refreshedVersion="8" background="1" saveData="1">
    <textPr prompt="0" sourceFile="C:\ashish\Backup\Desktop\Other\ITTF\TournamentSoftware\DrawSoftware\DilliLabsTournamentSoftware\temp_google_sheet.csv" comma="1">
      <textFields>
        <textField/>
      </textFields>
    </textPr>
  </connection>
  <connection id="354" xr16:uid="{1D54D4D9-D9E8-4652-8667-6D7112A7D58A}" name="temp_google_sheet260" type="6" refreshedVersion="8" background="1" saveData="1">
    <textPr prompt="0" sourceFile="C:\ashish\Backup\Desktop\Other\ITTF\TournamentSoftware\DrawSoftware\DilliLabsTournamentSoftware\temp_google_sheet.csv" comma="1">
      <textFields>
        <textField/>
      </textFields>
    </textPr>
  </connection>
  <connection id="355" xr16:uid="{214F318C-72DC-44E7-A988-6E803F17E256}" name="temp_google_sheet264" type="6" refreshedVersion="8" background="1" saveData="1">
    <textPr prompt="0" sourceFile="C:\ashish\Backup\Desktop\Other\ITTF\TournamentSoftware\DrawSoftware\DilliLabsTournamentSoftware\temp_google_sheet.csv" comma="1">
      <textFields>
        <textField/>
      </textFields>
    </textPr>
  </connection>
  <connection id="356" xr16:uid="{5923DA75-241C-42FC-B151-1F52D5ABF2E6}" name="temp_google_sheet2641" type="6" refreshedVersion="8" background="1" saveData="1">
    <textPr prompt="0" sourceFile="C:\ashish\Backup\Desktop\Other\ITTF\TournamentSoftware\DrawSoftware\DilliLabsTournamentSoftware\temp_google_sheet.csv" comma="1">
      <textFields>
        <textField/>
      </textFields>
    </textPr>
  </connection>
  <connection id="357" xr16:uid="{D8DC3816-5344-4E69-880D-3D32AE58C620}" name="temp_google_sheet265" type="6" refreshedVersion="8" background="1" saveData="1">
    <textPr prompt="0" sourceFile="C:\ashish\Backup\Desktop\Other\ITTF\TournamentSoftware\DrawSoftware\DilliLabsTournamentSoftware\temp_google_sheet.csv" comma="1">
      <textFields>
        <textField/>
      </textFields>
    </textPr>
  </connection>
  <connection id="358" xr16:uid="{DB285294-16AB-4FE3-847A-B92D8C7154B5}" name="temp_google_sheet2651" type="6" refreshedVersion="8" background="1" saveData="1">
    <textPr prompt="0" sourceFile="C:\ashish\Backup\Desktop\Other\ITTF\TournamentSoftware\DrawSoftware\DilliLabsTournamentSoftware\temp_google_sheet.csv" comma="1">
      <textFields>
        <textField/>
      </textFields>
    </textPr>
  </connection>
  <connection id="359" xr16:uid="{547D7135-0D24-42F3-8C03-48522517A3CA}" name="temp_google_sheet266" type="6" refreshedVersion="8" background="1" saveData="1">
    <textPr prompt="0" sourceFile="C:\ashish\Backup\Desktop\Other\ITTF\TournamentSoftware\DrawSoftware\DilliLabsTournamentSoftware\temp_google_sheet.csv" comma="1">
      <textFields>
        <textField/>
      </textFields>
    </textPr>
  </connection>
  <connection id="360" xr16:uid="{44CE4559-F2D9-41E3-8EE2-AFDE4A95819D}" name="temp_google_sheet2661" type="6" refreshedVersion="8" background="1" saveData="1">
    <textPr prompt="0" sourceFile="C:\ashish\Backup\Desktop\Other\ITTF\TournamentSoftware\DrawSoftware\DilliLabsTournamentSoftware\temp_google_sheet.csv" comma="1">
      <textFields>
        <textField/>
      </textFields>
    </textPr>
  </connection>
  <connection id="361" xr16:uid="{9C520F33-6FDE-476F-B8BE-60D7C6C5727C}" name="temp_google_sheet27" type="6" refreshedVersion="8" background="1" saveData="1">
    <textPr prompt="0" sourceFile="C:\ashish\Backup\Desktop\Other\ITTF\TournamentSoftware\DrawSoftware\DilliLabsTournamentSoftware\temp_google_sheet.csv" comma="1">
      <textFields>
        <textField/>
      </textFields>
    </textPr>
  </connection>
  <connection id="362" xr16:uid="{3518923E-7A63-4079-A44A-284D4808183B}" name="temp_google_sheet27017" type="6" refreshedVersion="8" background="1" saveData="1">
    <textPr prompt="0" sourceFile="C:\ashish\Backup\Desktop\Other\ITTF\TournamentSoftware\DrawSoftware\DilliLabsTournamentSoftware\temp_google_sheet.csv" comma="1">
      <textFields>
        <textField/>
      </textFields>
    </textPr>
  </connection>
  <connection id="363" xr16:uid="{C835698E-8A0A-449D-99CF-67D8AC8B1E50}" name="temp_google_sheet270171" type="6" refreshedVersion="8" background="1" saveData="1">
    <textPr prompt="0" sourceFile="C:\ashish\Backup\Desktop\Other\ITTF\TournamentSoftware\DrawSoftware\DilliLabsTournamentSoftware\temp_google_sheet.csv" comma="1">
      <textFields>
        <textField/>
      </textFields>
    </textPr>
  </connection>
  <connection id="364" xr16:uid="{A4E8A5A5-CC76-47A8-AED2-794EFA3D2F90}" name="temp_google_sheet27018" type="6" refreshedVersion="8" background="1" saveData="1">
    <textPr prompt="0" sourceFile="C:\ashish\Backup\Desktop\Other\ITTF\TournamentSoftware\DrawSoftware\DilliLabsTournamentSoftware\temp_google_sheet.csv" comma="1">
      <textFields>
        <textField/>
      </textFields>
    </textPr>
  </connection>
  <connection id="365" xr16:uid="{5BB32F89-6A8D-4FA9-963D-D9987789330E}" name="temp_google_sheet270181" type="6" refreshedVersion="8" background="1" saveData="1">
    <textPr prompt="0" sourceFile="C:\ashish\Backup\Desktop\Other\ITTF\TournamentSoftware\DrawSoftware\DilliLabsTournamentSoftware\temp_google_sheet.csv" comma="1">
      <textFields>
        <textField/>
      </textFields>
    </textPr>
  </connection>
  <connection id="366" xr16:uid="{CCFD863B-88CB-471E-B293-E9241E5D5D3D}" name="temp_google_sheet27019" type="6" refreshedVersion="8" background="1" saveData="1">
    <textPr prompt="0" sourceFile="C:\ashish\Backup\Desktop\Other\ITTF\TournamentSoftware\DrawSoftware\DilliLabsTournamentSoftware\temp_google_sheet.csv" comma="1">
      <textFields>
        <textField/>
      </textFields>
    </textPr>
  </connection>
  <connection id="367" xr16:uid="{956978D5-E423-49D5-AAC6-C03ED0D7A6D0}" name="temp_google_sheet270191" type="6" refreshedVersion="8" background="1" saveData="1">
    <textPr prompt="0" sourceFile="C:\ashish\Backup\Desktop\Other\ITTF\TournamentSoftware\DrawSoftware\DilliLabsTournamentSoftware\temp_google_sheet.csv" comma="1">
      <textFields>
        <textField/>
      </textFields>
    </textPr>
  </connection>
  <connection id="368" xr16:uid="{C6E8B335-3F08-44DA-A0B5-80FAFFACB404}" name="temp_google_sheet271" type="6" refreshedVersion="8" background="1" saveData="1">
    <textPr prompt="0" sourceFile="C:\ashish\Backup\Desktop\Other\ITTF\TournamentSoftware\DrawSoftware\DilliLabsTournamentSoftware\temp_google_sheet.csv" comma="1">
      <textFields>
        <textField/>
      </textFields>
    </textPr>
  </connection>
  <connection id="369" xr16:uid="{9A0827B2-7007-4EA7-80D7-DE2F383EFB27}" name="temp_google_sheet272" type="6" refreshedVersion="8" background="1" saveData="1">
    <textPr prompt="0" sourceFile="C:\ashish\Backup\Desktop\Other\ITTF\TournamentSoftware\DrawSoftware\DilliLabsTournamentSoftware\temp_google_sheet.csv" comma="1">
      <textFields>
        <textField/>
      </textFields>
    </textPr>
  </connection>
  <connection id="370" xr16:uid="{0D0DAA97-B3B4-4CF3-B926-BB4775AD69EE}" name="temp_google_sheet27316" type="6" refreshedVersion="8" background="1" saveData="1">
    <textPr prompt="0" sourceFile="C:\ashish\Backup\Desktop\Other\ITTF\TournamentSoftware\DrawSoftware\DilliLabsTournamentSoftware\temp_google_sheet.csv" comma="1">
      <textFields>
        <textField/>
      </textFields>
    </textPr>
  </connection>
  <connection id="371" xr16:uid="{3859CC96-F146-483D-BDE9-F211357E530E}" name="temp_google_sheet273161" type="6" refreshedVersion="8" background="1" saveData="1">
    <textPr prompt="0" sourceFile="C:\ashish\Backup\Desktop\Other\ITTF\TournamentSoftware\DrawSoftware\DilliLabsTournamentSoftware\temp_google_sheet.csv" comma="1">
      <textFields>
        <textField/>
      </textFields>
    </textPr>
  </connection>
  <connection id="372" xr16:uid="{BC228FD5-521C-4765-9045-340A2E396684}" name="temp_google_sheet27317" type="6" refreshedVersion="8" background="1" saveData="1">
    <textPr prompt="0" sourceFile="C:\ashish\Backup\Desktop\Other\ITTF\TournamentSoftware\DrawSoftware\DilliLabsTournamentSoftware\temp_google_sheet.csv" comma="1">
      <textFields>
        <textField/>
      </textFields>
    </textPr>
  </connection>
  <connection id="373" xr16:uid="{ACC7CD47-21B0-4097-8790-95074F897EF6}" name="temp_google_sheet273171" type="6" refreshedVersion="8" background="1" saveData="1">
    <textPr prompt="0" sourceFile="C:\ashish\Backup\Desktop\Other\ITTF\TournamentSoftware\DrawSoftware\DilliLabsTournamentSoftware\temp_google_sheet.csv" comma="1">
      <textFields>
        <textField/>
      </textFields>
    </textPr>
  </connection>
  <connection id="374" xr16:uid="{7C07FA51-CED5-4FA4-8D04-EBACE024ACD1}" name="temp_google_sheet27318" type="6" refreshedVersion="8" background="1" saveData="1">
    <textPr prompt="0" sourceFile="C:\ashish\Backup\Desktop\Other\ITTF\TournamentSoftware\DrawSoftware\DilliLabsTournamentSoftware\temp_google_sheet.csv" comma="1">
      <textFields>
        <textField/>
      </textFields>
    </textPr>
  </connection>
  <connection id="375" xr16:uid="{AEFCCEE2-9133-4B17-A93A-C8FAC480EEA6}" name="temp_google_sheet273181" type="6" refreshedVersion="8" background="1" saveData="1">
    <textPr prompt="0" sourceFile="C:\ashish\Backup\Desktop\Other\ITTF\TournamentSoftware\DrawSoftware\DilliLabsTournamentSoftware\temp_google_sheet.csv" comma="1">
      <textFields>
        <textField/>
      </textFields>
    </textPr>
  </connection>
  <connection id="376" xr16:uid="{CDB0F72C-5688-4715-9CD8-FA0BD7E47851}" name="temp_google_sheet274" type="6" refreshedVersion="8" background="1" saveData="1">
    <textPr prompt="0" sourceFile="C:\ashish\Backup\Desktop\Other\ITTF\TournamentSoftware\DrawSoftware\DilliLabsTournamentSoftware\temp_google_sheet.csv" comma="1">
      <textFields>
        <textField/>
      </textFields>
    </textPr>
  </connection>
  <connection id="377" xr16:uid="{FDF33F44-103C-459C-89C1-66DFD14673A4}" name="temp_google_sheet275" type="6" refreshedVersion="8" background="1" saveData="1">
    <textPr prompt="0" sourceFile="C:\ashish\Backup\Desktop\Other\ITTF\TournamentSoftware\DrawSoftware\DilliLabsTournamentSoftware\temp_google_sheet.csv" comma="1">
      <textFields>
        <textField/>
      </textFields>
    </textPr>
  </connection>
  <connection id="378" xr16:uid="{9493C093-F0E3-4917-8E5B-D97DE9A5E79A}" name="temp_google_sheet27615" type="6" refreshedVersion="8" background="1" saveData="1">
    <textPr prompt="0" sourceFile="C:\ashish\Backup\Desktop\Other\ITTF\TournamentSoftware\DrawSoftware\DilliLabsTournamentSoftware\temp_google_sheet.csv" comma="1">
      <textFields>
        <textField/>
      </textFields>
    </textPr>
  </connection>
  <connection id="379" xr16:uid="{0B20CFFE-7475-4253-9B13-49C9758FED41}" name="temp_google_sheet276151" type="6" refreshedVersion="8" background="1" saveData="1">
    <textPr prompt="0" sourceFile="C:\ashish\Backup\Desktop\Other\ITTF\TournamentSoftware\DrawSoftware\DilliLabsTournamentSoftware\temp_google_sheet.csv" comma="1">
      <textFields>
        <textField/>
      </textFields>
    </textPr>
  </connection>
  <connection id="380" xr16:uid="{543840E2-6DF1-44F1-BEC7-8703147A0500}" name="temp_google_sheet27616" type="6" refreshedVersion="8" background="1" saveData="1">
    <textPr prompt="0" sourceFile="C:\ashish\Backup\Desktop\Other\ITTF\TournamentSoftware\DrawSoftware\DilliLabsTournamentSoftware\temp_google_sheet.csv" comma="1">
      <textFields>
        <textField/>
      </textFields>
    </textPr>
  </connection>
  <connection id="381" xr16:uid="{75234910-D1F7-435E-A114-633B7403A4F9}" name="temp_google_sheet276161" type="6" refreshedVersion="8" background="1" saveData="1">
    <textPr prompt="0" sourceFile="C:\ashish\Backup\Desktop\Other\ITTF\TournamentSoftware\DrawSoftware\DilliLabsTournamentSoftware\temp_google_sheet.csv" comma="1">
      <textFields>
        <textField/>
      </textFields>
    </textPr>
  </connection>
  <connection id="382" xr16:uid="{CFE91163-CBE4-4D67-9A09-B41C055BCC27}" name="temp_google_sheet27617" type="6" refreshedVersion="8" background="1" saveData="1">
    <textPr prompt="0" sourceFile="C:\ashish\Backup\Desktop\Other\ITTF\TournamentSoftware\DrawSoftware\DilliLabsTournamentSoftware\temp_google_sheet.csv" comma="1">
      <textFields>
        <textField/>
      </textFields>
    </textPr>
  </connection>
  <connection id="383" xr16:uid="{182A8702-08F6-4891-BD3B-59817A9388CB}" name="temp_google_sheet276171" type="6" refreshedVersion="8" background="1" saveData="1">
    <textPr prompt="0" sourceFile="C:\ashish\Backup\Desktop\Other\ITTF\TournamentSoftware\DrawSoftware\DilliLabsTournamentSoftware\temp_google_sheet.csv" comma="1">
      <textFields>
        <textField/>
      </textFields>
    </textPr>
  </connection>
  <connection id="384" xr16:uid="{3A695F9E-F786-4218-ACA9-E26D6F07F026}" name="temp_google_sheet277" type="6" refreshedVersion="8" background="1" saveData="1">
    <textPr prompt="0" sourceFile="C:\ashish\Backup\Desktop\Other\ITTF\TournamentSoftware\DrawSoftware\DilliLabsTournamentSoftware\temp_google_sheet.csv" comma="1">
      <textFields>
        <textField/>
      </textFields>
    </textPr>
  </connection>
  <connection id="385" xr16:uid="{465073E4-33E0-4771-A2A2-1F4DB20DEAA8}" name="temp_google_sheet278" type="6" refreshedVersion="8" background="1" saveData="1">
    <textPr prompt="0" sourceFile="C:\ashish\Backup\Desktop\Other\ITTF\TournamentSoftware\DrawSoftware\DilliLabsTournamentSoftware\temp_google_sheet.csv" comma="1">
      <textFields>
        <textField/>
      </textFields>
    </textPr>
  </connection>
  <connection id="386" xr16:uid="{67E535AF-9CF8-4707-9E51-6B84281D6EED}" name="temp_google_sheet27914" type="6" refreshedVersion="8" background="1" saveData="1">
    <textPr prompt="0" sourceFile="C:\ashish\Backup\Desktop\Other\ITTF\TournamentSoftware\DrawSoftware\DilliLabsTournamentSoftware\temp_google_sheet.csv" comma="1">
      <textFields>
        <textField/>
      </textFields>
    </textPr>
  </connection>
  <connection id="387" xr16:uid="{B8C42EBC-090D-4C6D-A747-C06852DCC2AC}" name="temp_google_sheet279141" type="6" refreshedVersion="8" background="1" saveData="1">
    <textPr prompt="0" sourceFile="C:\ashish\Backup\Desktop\Other\ITTF\TournamentSoftware\DrawSoftware\DilliLabsTournamentSoftware\temp_google_sheet.csv" comma="1">
      <textFields>
        <textField/>
      </textFields>
    </textPr>
  </connection>
  <connection id="388" xr16:uid="{44A6D273-93A2-41E4-B64A-C87201124D2E}" name="temp_google_sheet27915" type="6" refreshedVersion="8" background="1" saveData="1">
    <textPr prompt="0" sourceFile="C:\ashish\Backup\Desktop\Other\ITTF\TournamentSoftware\DrawSoftware\DilliLabsTournamentSoftware\temp_google_sheet.csv" comma="1">
      <textFields>
        <textField/>
      </textFields>
    </textPr>
  </connection>
  <connection id="389" xr16:uid="{507449B7-6C27-471C-901D-2F5CBE054AC9}" name="temp_google_sheet279151" type="6" refreshedVersion="8" background="1" saveData="1">
    <textPr prompt="0" sourceFile="C:\ashish\Backup\Desktop\Other\ITTF\TournamentSoftware\DrawSoftware\DilliLabsTournamentSoftware\temp_google_sheet.csv" comma="1">
      <textFields>
        <textField/>
      </textFields>
    </textPr>
  </connection>
  <connection id="390" xr16:uid="{32A0A774-E3C0-424A-A247-B967C357C9BD}" name="temp_google_sheet27916" type="6" refreshedVersion="8" background="1" saveData="1">
    <textPr prompt="0" sourceFile="C:\ashish\Backup\Desktop\Other\ITTF\TournamentSoftware\DrawSoftware\DilliLabsTournamentSoftware\temp_google_sheet.csv" comma="1">
      <textFields>
        <textField/>
      </textFields>
    </textPr>
  </connection>
  <connection id="391" xr16:uid="{8F12CA4E-869C-4873-AFA5-01BDA5294C43}" name="temp_google_sheet279161" type="6" refreshedVersion="8" background="1" saveData="1">
    <textPr prompt="0" sourceFile="C:\ashish\Backup\Desktop\Other\ITTF\TournamentSoftware\DrawSoftware\DilliLabsTournamentSoftware\temp_google_sheet.csv" comma="1">
      <textFields>
        <textField/>
      </textFields>
    </textPr>
  </connection>
  <connection id="392" xr16:uid="{A0219541-1EEE-4987-A904-105D93598723}" name="temp_google_sheet28" type="6" refreshedVersion="8" background="1" saveData="1">
    <textPr prompt="0" sourceFile="C:\ashish\Backup\Desktop\Other\ITTF\TournamentSoftware\DrawSoftware\DilliLabsTournamentSoftware\temp_google_sheet.csv" comma="1">
      <textFields>
        <textField/>
      </textFields>
    </textPr>
  </connection>
  <connection id="393" xr16:uid="{E2AF30B6-4B73-4DC7-A420-252B6589BBAC}" name="temp_google_sheet280" type="6" refreshedVersion="8" background="1" saveData="1">
    <textPr prompt="0" sourceFile="C:\ashish\Backup\Desktop\Other\ITTF\TournamentSoftware\DrawSoftware\DilliLabsTournamentSoftware\temp_google_sheet.csv" comma="1">
      <textFields>
        <textField/>
      </textFields>
    </textPr>
  </connection>
  <connection id="394" xr16:uid="{8AFAADCC-9846-4C7E-A0DA-F64B24AC8B14}" name="temp_google_sheet281" type="6" refreshedVersion="8" background="1" saveData="1">
    <textPr prompt="0" sourceFile="C:\ashish\Backup\Desktop\Other\ITTF\TournamentSoftware\DrawSoftware\DilliLabsTournamentSoftware\temp_google_sheet.csv" comma="1">
      <textFields>
        <textField/>
      </textFields>
    </textPr>
  </connection>
  <connection id="395" xr16:uid="{8236A78B-3D7C-43CD-93E5-E85A132B85D7}" name="temp_google_sheet2810" type="6" refreshedVersion="8" background="1" saveData="1">
    <textPr prompt="0" sourceFile="C:\ashish\Backup\Desktop\Other\ITTF\TournamentSoftware\DrawSoftware\DilliLabsTournamentSoftware\temp_google_sheet.csv" comma="1">
      <textFields>
        <textField/>
      </textFields>
    </textPr>
  </connection>
  <connection id="396" xr16:uid="{BF5419D0-A168-4346-ACD7-342A20156FFC}" name="temp_google_sheet28101" type="6" refreshedVersion="8" background="1" saveData="1">
    <textPr prompt="0" sourceFile="C:\ashish\Backup\Desktop\Other\ITTF\TournamentSoftware\DrawSoftware\DilliLabsTournamentSoftware\temp_google_sheet.csv" comma="1">
      <textFields>
        <textField/>
      </textFields>
    </textPr>
  </connection>
  <connection id="397" xr16:uid="{55BA883E-76DB-4AA9-A13F-62552E3E3166}" name="temp_google_sheet2811" type="6" refreshedVersion="8" background="1" saveData="1">
    <textPr prompt="0" sourceFile="C:\ashish\Backup\Desktop\Other\ITTF\TournamentSoftware\DrawSoftware\DilliLabsTournamentSoftware\temp_google_sheet.csv" comma="1">
      <textFields>
        <textField/>
      </textFields>
    </textPr>
  </connection>
  <connection id="398" xr16:uid="{212CDB36-45AF-4360-9AE6-7C2302F74B84}" name="temp_google_sheet28111" type="6" refreshedVersion="8" background="1" saveData="1">
    <textPr prompt="0" sourceFile="C:\ashish\Backup\Desktop\Other\ITTF\TournamentSoftware\DrawSoftware\DilliLabsTournamentSoftware\temp_google_sheet.csv" comma="1">
      <textFields>
        <textField/>
      </textFields>
    </textPr>
  </connection>
  <connection id="399" xr16:uid="{08E4E081-66E0-4FC0-8A98-BD2FA9D2D1EA}" name="temp_google_sheet2812" type="6" refreshedVersion="8" background="1" saveData="1">
    <textPr prompt="0" sourceFile="C:\ashish\Backup\Desktop\Other\ITTF\TournamentSoftware\DrawSoftware\DilliLabsTournamentSoftware\temp_google_sheet.csv" comma="1">
      <textFields>
        <textField/>
      </textFields>
    </textPr>
  </connection>
  <connection id="400" xr16:uid="{65E478E3-5B21-4336-8405-B8A35493DEBB}" name="temp_google_sheet28121" type="6" refreshedVersion="8" background="1" saveData="1">
    <textPr prompt="0" sourceFile="C:\ashish\Backup\Desktop\Other\ITTF\TournamentSoftware\DrawSoftware\DilliLabsTournamentSoftware\temp_google_sheet.csv" comma="1">
      <textFields>
        <textField/>
      </textFields>
    </textPr>
  </connection>
  <connection id="401" xr16:uid="{10719DB9-0FC1-48DB-96B7-D769F6EDD0FB}" name="temp_google_sheet2813" type="6" refreshedVersion="8" background="1" saveData="1">
    <textPr prompt="0" sourceFile="C:\ashish\Backup\Desktop\Other\ITTF\TournamentSoftware\DrawSoftware\DilliLabsTournamentSoftware\temp_google_sheet.csv" comma="1">
      <textFields>
        <textField/>
      </textFields>
    </textPr>
  </connection>
  <connection id="402" xr16:uid="{94D5F120-9D60-4155-9F92-E968E149016A}" name="temp_google_sheet28131" type="6" refreshedVersion="8" background="1" saveData="1">
    <textPr prompt="0" sourceFile="C:\ashish\Backup\Desktop\Other\ITTF\TournamentSoftware\DrawSoftware\DilliLabsTournamentSoftware\temp_google_sheet.csv" comma="1">
      <textFields>
        <textField/>
      </textFields>
    </textPr>
  </connection>
  <connection id="403" xr16:uid="{4FE8B887-66D9-483F-9835-78D3C919D6D4}" name="temp_google_sheet2814" type="6" refreshedVersion="8" background="1" saveData="1">
    <textPr prompt="0" sourceFile="C:\ashish\Backup\Desktop\Other\ITTF\TournamentSoftware\DrawSoftware\DilliLabsTournamentSoftware\temp_google_sheet.csv" comma="1">
      <textFields>
        <textField/>
      </textFields>
    </textPr>
  </connection>
  <connection id="404" xr16:uid="{6CA05AF6-E7EE-4016-9F78-4B703E894654}" name="temp_google_sheet28141" type="6" refreshedVersion="8" background="1" saveData="1">
    <textPr prompt="0" sourceFile="C:\ashish\Backup\Desktop\Other\ITTF\TournamentSoftware\DrawSoftware\DilliLabsTournamentSoftware\temp_google_sheet.csv" comma="1">
      <textFields>
        <textField/>
      </textFields>
    </textPr>
  </connection>
  <connection id="405" xr16:uid="{213703B7-9DFF-4298-85AF-B31B7023BD2F}" name="temp_google_sheet2815" type="6" refreshedVersion="8" background="1" saveData="1">
    <textPr prompt="0" sourceFile="C:\ashish\Backup\Desktop\Other\ITTF\TournamentSoftware\DrawSoftware\DilliLabsTournamentSoftware\temp_google_sheet.csv" comma="1">
      <textFields>
        <textField/>
      </textFields>
    </textPr>
  </connection>
  <connection id="406" xr16:uid="{A0692975-221B-4481-ACBF-5FE61353B765}" name="temp_google_sheet28151" type="6" refreshedVersion="8" background="1" saveData="1">
    <textPr prompt="0" sourceFile="C:\ashish\Backup\Desktop\Other\ITTF\TournamentSoftware\DrawSoftware\DilliLabsTournamentSoftware\temp_google_sheet.csv" comma="1">
      <textFields>
        <textField/>
      </textFields>
    </textPr>
  </connection>
  <connection id="407" xr16:uid="{B5BADA15-D1AB-44BD-AA27-75F73C146FC0}" name="temp_google_sheet2816" type="6" refreshedVersion="8" background="1" saveData="1">
    <textPr prompt="0" sourceFile="C:\ashish\Backup\Desktop\Other\ITTF\TournamentSoftware\DrawSoftware\DilliLabsTournamentSoftware\temp_google_sheet.csv" comma="1">
      <textFields>
        <textField/>
      </textFields>
    </textPr>
  </connection>
  <connection id="408" xr16:uid="{C206C379-75B8-4396-8927-35AC3C83EB87}" name="temp_google_sheet2817" type="6" refreshedVersion="8" background="1" saveData="1">
    <textPr prompt="0" sourceFile="C:\ashish\Backup\Desktop\Other\ITTF\TournamentSoftware\DrawSoftware\DilliLabsTournamentSoftware\temp_google_sheet.csv" comma="1">
      <textFields>
        <textField/>
      </textFields>
    </textPr>
  </connection>
  <connection id="409" xr16:uid="{649A2075-93E1-49D5-A3D4-B739FAE271FD}" name="temp_google_sheet282" type="6" refreshedVersion="8" background="1" saveData="1">
    <textPr prompt="0" sourceFile="C:\ashish\Backup\Desktop\Other\ITTF\TournamentSoftware\DrawSoftware\DilliLabsTournamentSoftware\temp_google_sheet.csv" comma="1">
      <textFields>
        <textField/>
      </textFields>
    </textPr>
  </connection>
  <connection id="410" xr16:uid="{7D2404A8-7A59-4B11-ADEE-289158F1A4D1}" name="temp_google_sheet2821" type="6" refreshedVersion="8" background="1" saveData="1">
    <textPr prompt="0" sourceFile="C:\ashish\Backup\Desktop\Other\ITTF\TournamentSoftware\DrawSoftware\DilliLabsTournamentSoftware\temp_google_sheet.csv" comma="1">
      <textFields>
        <textField/>
      </textFields>
    </textPr>
  </connection>
  <connection id="411" xr16:uid="{1CD72A9D-FCB0-4CBC-B348-86B9AE212855}" name="temp_google_sheet283" type="6" refreshedVersion="8" background="1" saveData="1">
    <textPr prompt="0" sourceFile="C:\ashish\Backup\Desktop\Other\ITTF\TournamentSoftware\DrawSoftware\DilliLabsTournamentSoftware\temp_google_sheet.csv" comma="1">
      <textFields>
        <textField/>
      </textFields>
    </textPr>
  </connection>
  <connection id="412" xr16:uid="{84A03CE4-77E7-4B55-B04C-2DB8951CE1C5}" name="temp_google_sheet2831" type="6" refreshedVersion="8" background="1" saveData="1">
    <textPr prompt="0" sourceFile="C:\ashish\Backup\Desktop\Other\ITTF\TournamentSoftware\DrawSoftware\DilliLabsTournamentSoftware\temp_google_sheet.csv" comma="1">
      <textFields>
        <textField/>
      </textFields>
    </textPr>
  </connection>
  <connection id="413" xr16:uid="{9A685F6B-C63D-4C71-8DAA-A331E1681B3B}" name="temp_google_sheet284" type="6" refreshedVersion="8" background="1" saveData="1">
    <textPr prompt="0" sourceFile="C:\ashish\Backup\Desktop\Other\ITTF\TournamentSoftware\DrawSoftware\DilliLabsTournamentSoftware\temp_google_sheet.csv" comma="1">
      <textFields>
        <textField/>
      </textFields>
    </textPr>
  </connection>
  <connection id="414" xr16:uid="{CF473BCA-C55D-44F1-9CAA-658DD908FC79}" name="temp_google_sheet2841" type="6" refreshedVersion="8" background="1" saveData="1">
    <textPr prompt="0" sourceFile="C:\ashish\Backup\Desktop\Other\ITTF\TournamentSoftware\DrawSoftware\DilliLabsTournamentSoftware\temp_google_sheet.csv" comma="1">
      <textFields>
        <textField/>
      </textFields>
    </textPr>
  </connection>
  <connection id="415" xr16:uid="{C27A6976-4D3E-424E-BEDC-826917BAFA2B}" name="temp_google_sheet285" type="6" refreshedVersion="8" background="1" saveData="1">
    <textPr prompt="0" sourceFile="C:\ashish\Backup\Desktop\Other\ITTF\TournamentSoftware\DrawSoftware\DilliLabsTournamentSoftware\temp_google_sheet.csv" comma="1">
      <textFields>
        <textField/>
      </textFields>
    </textPr>
  </connection>
  <connection id="416" xr16:uid="{51DBD769-F5D0-45FC-8192-7AB3DCA62E81}" name="temp_google_sheet2851" type="6" refreshedVersion="8" background="1" saveData="1">
    <textPr prompt="0" sourceFile="C:\ashish\Backup\Desktop\Other\ITTF\TournamentSoftware\DrawSoftware\DilliLabsTournamentSoftware\temp_google_sheet.csv" comma="1">
      <textFields>
        <textField/>
      </textFields>
    </textPr>
  </connection>
  <connection id="417" xr16:uid="{E231D178-189E-47EB-BF39-33315A9CF36A}" name="temp_google_sheet286" type="6" refreshedVersion="8" background="1" saveData="1">
    <textPr prompt="0" sourceFile="C:\ashish\Backup\Desktop\Other\ITTF\TournamentSoftware\DrawSoftware\DilliLabsTournamentSoftware\temp_google_sheet.csv" comma="1">
      <textFields>
        <textField/>
      </textFields>
    </textPr>
  </connection>
  <connection id="418" xr16:uid="{742C5808-76F9-44B5-92CE-8E461D014924}" name="temp_google_sheet2861" type="6" refreshedVersion="8" background="1" saveData="1">
    <textPr prompt="0" sourceFile="C:\ashish\Backup\Desktop\Other\ITTF\TournamentSoftware\DrawSoftware\DilliLabsTournamentSoftware\temp_google_sheet.csv" comma="1">
      <textFields>
        <textField/>
      </textFields>
    </textPr>
  </connection>
  <connection id="419" xr16:uid="{4748CD2A-3653-4747-8355-705FBCDC9438}" name="temp_google_sheet287" type="6" refreshedVersion="8" background="1" saveData="1">
    <textPr prompt="0" sourceFile="C:\ashish\Backup\Desktop\Other\ITTF\TournamentSoftware\DrawSoftware\DilliLabsTournamentSoftware\temp_google_sheet.csv" comma="1">
      <textFields>
        <textField/>
      </textFields>
    </textPr>
  </connection>
  <connection id="420" xr16:uid="{9CC0D1C0-BFD8-4233-861E-8BEB4A838E22}" name="temp_google_sheet2871" type="6" refreshedVersion="8" background="1" saveData="1">
    <textPr prompt="0" sourceFile="C:\ashish\Backup\Desktop\Other\ITTF\TournamentSoftware\DrawSoftware\DilliLabsTournamentSoftware\temp_google_sheet.csv" comma="1">
      <textFields>
        <textField/>
      </textFields>
    </textPr>
  </connection>
  <connection id="421" xr16:uid="{DBAAEF87-9585-4F79-84FD-88C18DA70F7D}" name="temp_google_sheet288" type="6" refreshedVersion="8" background="1" saveData="1">
    <textPr prompt="0" sourceFile="C:\ashish\Backup\Desktop\Other\ITTF\TournamentSoftware\DrawSoftware\DilliLabsTournamentSoftware\temp_google_sheet.csv" comma="1">
      <textFields>
        <textField/>
      </textFields>
    </textPr>
  </connection>
  <connection id="422" xr16:uid="{5F47C255-36DC-42A4-8558-53B10D76F9D6}" name="temp_google_sheet2881" type="6" refreshedVersion="8" background="1" saveData="1">
    <textPr prompt="0" sourceFile="C:\ashish\Backup\Desktop\Other\ITTF\TournamentSoftware\DrawSoftware\DilliLabsTournamentSoftware\temp_google_sheet.csv" comma="1">
      <textFields>
        <textField/>
      </textFields>
    </textPr>
  </connection>
  <connection id="423" xr16:uid="{436D24DE-BD19-402E-A7D2-88A8FA9899FD}" name="temp_google_sheet289" type="6" refreshedVersion="8" background="1" saveData="1">
    <textPr prompt="0" sourceFile="C:\ashish\Backup\Desktop\Other\ITTF\TournamentSoftware\DrawSoftware\DilliLabsTournamentSoftware\temp_google_sheet.csv" comma="1">
      <textFields>
        <textField/>
      </textFields>
    </textPr>
  </connection>
  <connection id="424" xr16:uid="{AA34626B-502D-4BE1-8A6D-DFB2760A0D82}" name="temp_google_sheet2891" type="6" refreshedVersion="8" background="1" saveData="1">
    <textPr prompt="0" sourceFile="C:\ashish\Backup\Desktop\Other\ITTF\TournamentSoftware\DrawSoftware\DilliLabsTournamentSoftware\temp_google_sheet.csv" comma="1">
      <textFields>
        <textField/>
      </textFields>
    </textPr>
  </connection>
  <connection id="425" xr16:uid="{1982D92B-85F9-495F-81E2-040CE18B92BF}" name="temp_google_sheet29" type="6" refreshedVersion="8" background="1" saveData="1">
    <textPr prompt="0" sourceFile="C:\ashish\Backup\Desktop\Other\ITTF\TournamentSoftware\DrawSoftware\DilliLabsTournamentSoftware\temp_google_sheet.csv" comma="1">
      <textFields>
        <textField/>
      </textFields>
    </textPr>
  </connection>
  <connection id="426" xr16:uid="{09268990-2D6F-4067-A314-D0FA50FC5D55}" name="temp_google_sheet290" type="6" refreshedVersion="8" background="1" saveData="1">
    <textPr prompt="0" sourceFile="C:\ashish\Backup\Desktop\Other\ITTF\TournamentSoftware\DrawSoftware\DilliLabsTournamentSoftware\temp_google_sheet.csv" comma="1">
      <textFields>
        <textField/>
      </textFields>
    </textPr>
  </connection>
  <connection id="427" xr16:uid="{272D01A5-7316-4631-A1A1-2DBECDAA5BF1}" name="temp_google_sheet29113" type="6" refreshedVersion="8" background="1" saveData="1">
    <textPr prompt="0" sourceFile="C:\ashish\Backup\Desktop\Other\ITTF\TournamentSoftware\DrawSoftware\DilliLabsTournamentSoftware\temp_google_sheet.csv" comma="1">
      <textFields>
        <textField/>
      </textFields>
    </textPr>
  </connection>
  <connection id="428" xr16:uid="{6D7B2D82-A410-435A-B513-85C2DA5CCA22}" name="temp_google_sheet291131" type="6" refreshedVersion="8" background="1" saveData="1">
    <textPr prompt="0" sourceFile="C:\ashish\Backup\Desktop\Other\ITTF\TournamentSoftware\DrawSoftware\DilliLabsTournamentSoftware\temp_google_sheet.csv" comma="1">
      <textFields>
        <textField/>
      </textFields>
    </textPr>
  </connection>
  <connection id="429" xr16:uid="{55F6AFCD-80DF-4420-9AC3-124CD50306D1}" name="temp_google_sheet29114" type="6" refreshedVersion="8" background="1" saveData="1">
    <textPr prompt="0" sourceFile="C:\ashish\Backup\Desktop\Other\ITTF\TournamentSoftware\DrawSoftware\DilliLabsTournamentSoftware\temp_google_sheet.csv" comma="1">
      <textFields>
        <textField/>
      </textFields>
    </textPr>
  </connection>
  <connection id="430" xr16:uid="{AF029B8E-FDFA-4601-92E0-2E82865EA35B}" name="temp_google_sheet291141" type="6" refreshedVersion="8" background="1" saveData="1">
    <textPr prompt="0" sourceFile="C:\ashish\Backup\Desktop\Other\ITTF\TournamentSoftware\DrawSoftware\DilliLabsTournamentSoftware\temp_google_sheet.csv" comma="1">
      <textFields>
        <textField/>
      </textFields>
    </textPr>
  </connection>
  <connection id="431" xr16:uid="{5611E020-EA73-4EF1-9662-34C306063F35}" name="temp_google_sheet29115" type="6" refreshedVersion="8" background="1" saveData="1">
    <textPr prompt="0" sourceFile="C:\ashish\Backup\Desktop\Other\ITTF\TournamentSoftware\DrawSoftware\DilliLabsTournamentSoftware\temp_google_sheet.csv" comma="1">
      <textFields>
        <textField/>
      </textFields>
    </textPr>
  </connection>
  <connection id="432" xr16:uid="{8C6F5570-AEC1-4282-B1F8-5585C620BD8C}" name="temp_google_sheet291151" type="6" refreshedVersion="8" background="1" saveData="1">
    <textPr prompt="0" sourceFile="C:\ashish\Backup\Desktop\Other\ITTF\TournamentSoftware\DrawSoftware\DilliLabsTournamentSoftware\temp_google_sheet.csv" comma="1">
      <textFields>
        <textField/>
      </textFields>
    </textPr>
  </connection>
  <connection id="433" xr16:uid="{FECCAB2F-9D4B-462B-997E-8594FEBA412B}" name="temp_google_sheet292" type="6" refreshedVersion="8" background="1" saveData="1">
    <textPr prompt="0" sourceFile="C:\ashish\Backup\Desktop\Other\ITTF\TournamentSoftware\DrawSoftware\DilliLabsTournamentSoftware\temp_google_sheet.csv" comma="1">
      <textFields>
        <textField/>
      </textFields>
    </textPr>
  </connection>
  <connection id="434" xr16:uid="{111F3C8E-AEF7-4591-B4C1-DF3429AC4365}" name="temp_google_sheet293" type="6" refreshedVersion="8" background="1" saveData="1">
    <textPr prompt="0" sourceFile="C:\ashish\Backup\Desktop\Other\ITTF\TournamentSoftware\DrawSoftware\DilliLabsTournamentSoftware\temp_google_sheet.csv" comma="1">
      <textFields>
        <textField/>
      </textFields>
    </textPr>
  </connection>
  <connection id="435" xr16:uid="{97DB470E-F763-47D9-A8AF-8183E64B982E}" name="temp_google_sheet29412" type="6" refreshedVersion="8" background="1" saveData="1">
    <textPr prompt="0" sourceFile="C:\ashish\Backup\Desktop\Other\ITTF\TournamentSoftware\DrawSoftware\DilliLabsTournamentSoftware\temp_google_sheet.csv" comma="1">
      <textFields>
        <textField/>
      </textFields>
    </textPr>
  </connection>
  <connection id="436" xr16:uid="{204B3507-56DC-40BD-9CCB-E505F7C44420}" name="temp_google_sheet294121" type="6" refreshedVersion="8" background="1" saveData="1">
    <textPr prompt="0" sourceFile="C:\ashish\Backup\Desktop\Other\ITTF\TournamentSoftware\DrawSoftware\DilliLabsTournamentSoftware\temp_google_sheet.csv" comma="1">
      <textFields>
        <textField/>
      </textFields>
    </textPr>
  </connection>
  <connection id="437" xr16:uid="{B9B7D7B2-A290-4F91-977B-FC6678885553}" name="temp_google_sheet29413" type="6" refreshedVersion="8" background="1" saveData="1">
    <textPr prompt="0" sourceFile="C:\ashish\Backup\Desktop\Other\ITTF\TournamentSoftware\DrawSoftware\DilliLabsTournamentSoftware\temp_google_sheet.csv" comma="1">
      <textFields>
        <textField/>
      </textFields>
    </textPr>
  </connection>
  <connection id="438" xr16:uid="{011D31B9-9D1B-4A38-9CAC-AF7256B4E5A7}" name="temp_google_sheet294131" type="6" refreshedVersion="8" background="1" saveData="1">
    <textPr prompt="0" sourceFile="C:\ashish\Backup\Desktop\Other\ITTF\TournamentSoftware\DrawSoftware\DilliLabsTournamentSoftware\temp_google_sheet.csv" comma="1">
      <textFields>
        <textField/>
      </textFields>
    </textPr>
  </connection>
  <connection id="439" xr16:uid="{B7465BED-B549-4913-8ACF-5E8C3F2D727F}" name="temp_google_sheet29414" type="6" refreshedVersion="8" background="1" saveData="1">
    <textPr prompt="0" sourceFile="C:\ashish\Backup\Desktop\Other\ITTF\TournamentSoftware\DrawSoftware\DilliLabsTournamentSoftware\temp_google_sheet.csv" comma="1">
      <textFields>
        <textField/>
      </textFields>
    </textPr>
  </connection>
  <connection id="440" xr16:uid="{027DE31B-644F-40CA-97AB-2C4FD9E5A6B3}" name="temp_google_sheet294141" type="6" refreshedVersion="8" background="1" saveData="1">
    <textPr prompt="0" sourceFile="C:\ashish\Backup\Desktop\Other\ITTF\TournamentSoftware\DrawSoftware\DilliLabsTournamentSoftware\temp_google_sheet.csv" comma="1">
      <textFields>
        <textField/>
      </textFields>
    </textPr>
  </connection>
  <connection id="441" xr16:uid="{0020E5F3-52E2-4BEC-97D4-3FBE553BB747}" name="temp_google_sheet295" type="6" refreshedVersion="8" background="1" saveData="1">
    <textPr prompt="0" sourceFile="C:\ashish\Backup\Desktop\Other\ITTF\TournamentSoftware\DrawSoftware\DilliLabsTournamentSoftware\temp_google_sheet.csv" comma="1">
      <textFields>
        <textField/>
      </textFields>
    </textPr>
  </connection>
  <connection id="442" xr16:uid="{3B1517FC-513B-48D7-8087-73F21DA829E0}" name="temp_google_sheet296" type="6" refreshedVersion="8" background="1" saveData="1">
    <textPr prompt="0" sourceFile="C:\ashish\Backup\Desktop\Other\ITTF\TournamentSoftware\DrawSoftware\DilliLabsTournamentSoftware\temp_google_sheet.csv" comma="1">
      <textFields>
        <textField/>
      </textFields>
    </textPr>
  </connection>
  <connection id="443" xr16:uid="{47173723-AC8F-4D13-93F7-FA35EF31A5C4}" name="temp_google_sheet29711" type="6" refreshedVersion="8" background="1" saveData="1">
    <textPr prompt="0" sourceFile="C:\ashish\Backup\Desktop\Other\ITTF\TournamentSoftware\DrawSoftware\DilliLabsTournamentSoftware\temp_google_sheet.csv" comma="1">
      <textFields>
        <textField/>
      </textFields>
    </textPr>
  </connection>
  <connection id="444" xr16:uid="{44060B65-A61A-4EFE-805D-60FCEBCE8DEC}" name="temp_google_sheet297111" type="6" refreshedVersion="8" background="1" saveData="1">
    <textPr prompt="0" sourceFile="C:\ashish\Backup\Desktop\Other\ITTF\TournamentSoftware\DrawSoftware\DilliLabsTournamentSoftware\temp_google_sheet.csv" comma="1">
      <textFields>
        <textField/>
      </textFields>
    </textPr>
  </connection>
  <connection id="445" xr16:uid="{27EE3C93-7283-4783-88FB-3C47C30484F1}" name="temp_google_sheet29712" type="6" refreshedVersion="8" background="1" saveData="1">
    <textPr prompt="0" sourceFile="C:\ashish\Backup\Desktop\Other\ITTF\TournamentSoftware\DrawSoftware\DilliLabsTournamentSoftware\temp_google_sheet.csv" comma="1">
      <textFields>
        <textField/>
      </textFields>
    </textPr>
  </connection>
  <connection id="446" xr16:uid="{2BA2FA95-F583-43CB-A4CA-03FC8C8D93B5}" name="temp_google_sheet297121" type="6" refreshedVersion="8" background="1" saveData="1">
    <textPr prompt="0" sourceFile="C:\ashish\Backup\Desktop\Other\ITTF\TournamentSoftware\DrawSoftware\DilliLabsTournamentSoftware\temp_google_sheet.csv" comma="1">
      <textFields>
        <textField/>
      </textFields>
    </textPr>
  </connection>
  <connection id="447" xr16:uid="{8F255253-915C-4346-969A-75D346215391}" name="temp_google_sheet29713" type="6" refreshedVersion="8" background="1" saveData="1">
    <textPr prompt="0" sourceFile="C:\ashish\Backup\Desktop\Other\ITTF\TournamentSoftware\DrawSoftware\DilliLabsTournamentSoftware\temp_google_sheet.csv" comma="1">
      <textFields>
        <textField/>
      </textFields>
    </textPr>
  </connection>
  <connection id="448" xr16:uid="{75D27AD8-76FD-49A2-A7DD-33B68707E45C}" name="temp_google_sheet297131" type="6" refreshedVersion="8" background="1" saveData="1">
    <textPr prompt="0" sourceFile="C:\ashish\Backup\Desktop\Other\ITTF\TournamentSoftware\DrawSoftware\DilliLabsTournamentSoftware\temp_google_sheet.csv" comma="1">
      <textFields>
        <textField/>
      </textFields>
    </textPr>
  </connection>
  <connection id="449" xr16:uid="{31F2E3F1-B9F1-4C46-A175-B80866297865}" name="temp_google_sheet298" type="6" refreshedVersion="8" background="1" saveData="1">
    <textPr prompt="0" sourceFile="C:\ashish\Backup\Desktop\Other\ITTF\TournamentSoftware\DrawSoftware\DilliLabsTournamentSoftware\temp_google_sheet.csv" comma="1">
      <textFields>
        <textField/>
      </textFields>
    </textPr>
  </connection>
  <connection id="450" xr16:uid="{9FBE9F30-588D-4AE7-B3EA-55B2CEFDFFB1}" name="temp_google_sheet299" type="6" refreshedVersion="8" background="1" saveData="1">
    <textPr prompt="0" sourceFile="C:\ashish\Backup\Desktop\Other\ITTF\TournamentSoftware\DrawSoftware\DilliLabsTournamentSoftware\temp_google_sheet.csv" comma="1">
      <textFields>
        <textField/>
      </textFields>
    </textPr>
  </connection>
  <connection id="451" xr16:uid="{A9DDEC14-4DC1-4FA2-B0DB-CE60DE2830FF}" name="temp_google_sheet3" type="6" refreshedVersion="8" background="1" saveData="1">
    <textPr prompt="0" sourceFile="C:\ashish\Backup\Desktop\Other\ITTF\TournamentSoftware\DrawSoftware\DilliLabsTournamentSoftware\temp_google_sheet.csv" comma="1">
      <textFields>
        <textField/>
      </textFields>
    </textPr>
  </connection>
  <connection id="452" xr16:uid="{6A6E2D69-C43C-4653-894A-90D5B46F8271}" name="temp_google_sheet30" type="6" refreshedVersion="8" background="1" saveData="1">
    <textPr prompt="0" sourceFile="C:\ashish\Backup\Desktop\Other\ITTF\TournamentSoftware\DrawSoftware\DilliLabsTournamentSoftware\temp_google_sheet.csv" comma="1">
      <textFields>
        <textField/>
      </textFields>
    </textPr>
  </connection>
  <connection id="453" xr16:uid="{67F3CC0D-8505-460B-94A8-CC064591E9D5}" name="temp_google_sheet30010" type="6" refreshedVersion="8" background="1" saveData="1">
    <textPr prompt="0" sourceFile="C:\ashish\Backup\Desktop\Other\ITTF\TournamentSoftware\DrawSoftware\DilliLabsTournamentSoftware\temp_google_sheet.csv" comma="1">
      <textFields>
        <textField/>
      </textFields>
    </textPr>
  </connection>
  <connection id="454" xr16:uid="{8DD78A12-2CC4-4A70-B482-F96C17CD579B}" name="temp_google_sheet300101" type="6" refreshedVersion="8" background="1" saveData="1">
    <textPr prompt="0" sourceFile="C:\ashish\Backup\Desktop\Other\ITTF\TournamentSoftware\DrawSoftware\DilliLabsTournamentSoftware\temp_google_sheet.csv" comma="1">
      <textFields>
        <textField/>
      </textFields>
    </textPr>
  </connection>
  <connection id="455" xr16:uid="{CCA11614-B402-4467-BC53-E9EA577EEB34}" name="temp_google_sheet30011" type="6" refreshedVersion="8" background="1" saveData="1">
    <textPr prompt="0" sourceFile="C:\ashish\Backup\Desktop\Other\ITTF\TournamentSoftware\DrawSoftware\DilliLabsTournamentSoftware\temp_google_sheet.csv" comma="1">
      <textFields>
        <textField/>
      </textFields>
    </textPr>
  </connection>
  <connection id="456" xr16:uid="{561C56D9-3B60-45C3-AB0D-A80E856EF5EC}" name="temp_google_sheet300111" type="6" refreshedVersion="8" background="1" saveData="1">
    <textPr prompt="0" sourceFile="C:\ashish\Backup\Desktop\Other\ITTF\TournamentSoftware\DrawSoftware\DilliLabsTournamentSoftware\temp_google_sheet.csv" comma="1">
      <textFields>
        <textField/>
      </textFields>
    </textPr>
  </connection>
  <connection id="457" xr16:uid="{2F3001FA-9A32-4273-A62B-746AF18F1EC2}" name="temp_google_sheet30012" type="6" refreshedVersion="8" background="1" saveData="1">
    <textPr prompt="0" sourceFile="C:\ashish\Backup\Desktop\Other\ITTF\TournamentSoftware\DrawSoftware\DilliLabsTournamentSoftware\temp_google_sheet.csv" comma="1">
      <textFields>
        <textField/>
      </textFields>
    </textPr>
  </connection>
  <connection id="458" xr16:uid="{F055906D-8BD5-4B41-997E-1E3D1E5A52D9}" name="temp_google_sheet300121" type="6" refreshedVersion="8" background="1" saveData="1">
    <textPr prompt="0" sourceFile="C:\ashish\Backup\Desktop\Other\ITTF\TournamentSoftware\DrawSoftware\DilliLabsTournamentSoftware\temp_google_sheet.csv" comma="1">
      <textFields>
        <textField/>
      </textFields>
    </textPr>
  </connection>
  <connection id="459" xr16:uid="{AC2A6C86-5C1B-4149-AC44-FFC48F78F31B}" name="temp_google_sheet301" type="6" refreshedVersion="8" background="1" saveData="1">
    <textPr prompt="0" sourceFile="C:\ashish\Backup\Desktop\Other\ITTF\TournamentSoftware\DrawSoftware\DilliLabsTournamentSoftware\temp_google_sheet.csv" comma="1">
      <textFields>
        <textField/>
      </textFields>
    </textPr>
  </connection>
  <connection id="460" xr16:uid="{DFCDC1A0-AE3A-4F34-810E-88AC409E04F4}" name="temp_google_sheet302" type="6" refreshedVersion="8" background="1" saveData="1">
    <textPr prompt="0" sourceFile="C:\ashish\Backup\Desktop\Other\ITTF\TournamentSoftware\DrawSoftware\DilliLabsTournamentSoftware\temp_google_sheet.csv" comma="1">
      <textFields>
        <textField/>
      </textFields>
    </textPr>
  </connection>
  <connection id="461" xr16:uid="{3BFEADCD-8040-4D20-9BB4-950AF0DD55C9}" name="temp_google_sheet30310" type="6" refreshedVersion="8" background="1" saveData="1">
    <textPr prompt="0" sourceFile="C:\ashish\Backup\Desktop\Other\ITTF\TournamentSoftware\DrawSoftware\DilliLabsTournamentSoftware\temp_google_sheet.csv" comma="1">
      <textFields>
        <textField/>
      </textFields>
    </textPr>
  </connection>
  <connection id="462" xr16:uid="{1BAE5177-2AA2-445C-B706-FE01494D67B1}" name="temp_google_sheet303101" type="6" refreshedVersion="8" background="1" saveData="1">
    <textPr prompt="0" sourceFile="C:\ashish\Backup\Desktop\Other\ITTF\TournamentSoftware\DrawSoftware\DilliLabsTournamentSoftware\temp_google_sheet.csv" comma="1">
      <textFields>
        <textField/>
      </textFields>
    </textPr>
  </connection>
  <connection id="463" xr16:uid="{DC284B97-1814-4EE5-8808-4BA3093C5AA8}" name="temp_google_sheet30311" type="6" refreshedVersion="8" background="1" saveData="1">
    <textPr prompt="0" sourceFile="C:\ashish\Backup\Desktop\Other\ITTF\TournamentSoftware\DrawSoftware\DilliLabsTournamentSoftware\temp_google_sheet.csv" comma="1">
      <textFields>
        <textField/>
      </textFields>
    </textPr>
  </connection>
  <connection id="464" xr16:uid="{6D5FCC6A-655C-44AE-9816-86D02AE2E57F}" name="temp_google_sheet303111" type="6" refreshedVersion="8" background="1" saveData="1">
    <textPr prompt="0" sourceFile="C:\ashish\Backup\Desktop\Other\ITTF\TournamentSoftware\DrawSoftware\DilliLabsTournamentSoftware\temp_google_sheet.csv" comma="1">
      <textFields>
        <textField/>
      </textFields>
    </textPr>
  </connection>
  <connection id="465" xr16:uid="{D02832CC-F69C-498A-B447-DA1D9DBA2EA4}" name="temp_google_sheet3039" type="6" refreshedVersion="8" background="1" saveData="1">
    <textPr prompt="0" sourceFile="C:\ashish\Backup\Desktop\Other\ITTF\TournamentSoftware\DrawSoftware\DilliLabsTournamentSoftware\temp_google_sheet.csv" comma="1">
      <textFields>
        <textField/>
      </textFields>
    </textPr>
  </connection>
  <connection id="466" xr16:uid="{F28DA701-48C3-4225-8B98-5073D1590460}" name="temp_google_sheet30391" type="6" refreshedVersion="8" background="1" saveData="1">
    <textPr prompt="0" sourceFile="C:\ashish\Backup\Desktop\Other\ITTF\TournamentSoftware\DrawSoftware\DilliLabsTournamentSoftware\temp_google_sheet.csv" comma="1">
      <textFields>
        <textField/>
      </textFields>
    </textPr>
  </connection>
  <connection id="467" xr16:uid="{1CF27B11-4502-4B25-8DA1-7B9D8E6470B6}" name="temp_google_sheet304" type="6" refreshedVersion="8" background="1" saveData="1">
    <textPr prompt="0" sourceFile="C:\ashish\Backup\Desktop\Other\ITTF\TournamentSoftware\DrawSoftware\DilliLabsTournamentSoftware\temp_google_sheet.csv" comma="1">
      <textFields>
        <textField/>
      </textFields>
    </textPr>
  </connection>
  <connection id="468" xr16:uid="{CA3CA1F4-7AA0-464A-8445-487775BF44F0}" name="temp_google_sheet305" type="6" refreshedVersion="8" background="1" saveData="1">
    <textPr prompt="0" sourceFile="C:\ashish\Backup\Desktop\Other\ITTF\TournamentSoftware\DrawSoftware\DilliLabsTournamentSoftware\temp_google_sheet.csv" comma="1">
      <textFields>
        <textField/>
      </textFields>
    </textPr>
  </connection>
  <connection id="469" xr16:uid="{41BCF513-CBC2-4EE8-BDDA-05ADB65B1CB0}" name="temp_google_sheet30610" type="6" refreshedVersion="8" background="1" saveData="1">
    <textPr prompt="0" sourceFile="C:\ashish\Backup\Desktop\Other\ITTF\TournamentSoftware\DrawSoftware\DilliLabsTournamentSoftware\temp_google_sheet.csv" comma="1">
      <textFields>
        <textField/>
      </textFields>
    </textPr>
  </connection>
  <connection id="470" xr16:uid="{7A79DF84-98DC-4BA9-B397-089B6D56DC53}" name="temp_google_sheet306101" type="6" refreshedVersion="8" background="1" saveData="1">
    <textPr prompt="0" sourceFile="C:\ashish\Backup\Desktop\Other\ITTF\TournamentSoftware\DrawSoftware\DilliLabsTournamentSoftware\temp_google_sheet.csv" comma="1">
      <textFields>
        <textField/>
      </textFields>
    </textPr>
  </connection>
  <connection id="471" xr16:uid="{FFF87009-6CBD-4B3E-A52F-5ED901AD52C5}" name="temp_google_sheet3068" type="6" refreshedVersion="8" background="1" saveData="1">
    <textPr prompt="0" sourceFile="C:\ashish\Backup\Desktop\Other\ITTF\TournamentSoftware\DrawSoftware\DilliLabsTournamentSoftware\temp_google_sheet.csv" comma="1">
      <textFields>
        <textField/>
      </textFields>
    </textPr>
  </connection>
  <connection id="472" xr16:uid="{57A4B028-7085-4C77-A55D-3F1F067C813F}" name="temp_google_sheet30681" type="6" refreshedVersion="8" background="1" saveData="1">
    <textPr prompt="0" sourceFile="C:\ashish\Backup\Desktop\Other\ITTF\TournamentSoftware\DrawSoftware\DilliLabsTournamentSoftware\temp_google_sheet.csv" comma="1">
      <textFields>
        <textField/>
      </textFields>
    </textPr>
  </connection>
  <connection id="473" xr16:uid="{E8DA8EF2-635A-4D86-B3A3-38EB190C81B6}" name="temp_google_sheet3069" type="6" refreshedVersion="8" background="1" saveData="1">
    <textPr prompt="0" sourceFile="C:\ashish\Backup\Desktop\Other\ITTF\TournamentSoftware\DrawSoftware\DilliLabsTournamentSoftware\temp_google_sheet.csv" comma="1">
      <textFields>
        <textField/>
      </textFields>
    </textPr>
  </connection>
  <connection id="474" xr16:uid="{2644A075-EE9A-4514-B29C-ED1070B7357A}" name="temp_google_sheet30691" type="6" refreshedVersion="8" background="1" saveData="1">
    <textPr prompt="0" sourceFile="C:\ashish\Backup\Desktop\Other\ITTF\TournamentSoftware\DrawSoftware\DilliLabsTournamentSoftware\temp_google_sheet.csv" comma="1">
      <textFields>
        <textField/>
      </textFields>
    </textPr>
  </connection>
  <connection id="475" xr16:uid="{5DAF5B2D-B1E1-4E5E-80F5-E3B6151A5AF6}" name="temp_google_sheet307" type="6" refreshedVersion="8" background="1" saveData="1">
    <textPr prompt="0" sourceFile="C:\ashish\Backup\Desktop\Other\ITTF\TournamentSoftware\DrawSoftware\DilliLabsTournamentSoftware\temp_google_sheet.csv" comma="1">
      <textFields>
        <textField/>
      </textFields>
    </textPr>
  </connection>
  <connection id="476" xr16:uid="{E3DA5BB6-4B9C-4116-BC82-EDF04735D912}" name="temp_google_sheet308" type="6" refreshedVersion="8" background="1" saveData="1">
    <textPr prompt="0" sourceFile="C:\ashish\Backup\Desktop\Other\ITTF\TournamentSoftware\DrawSoftware\DilliLabsTournamentSoftware\temp_google_sheet.csv" comma="1">
      <textFields>
        <textField/>
      </textFields>
    </textPr>
  </connection>
  <connection id="477" xr16:uid="{F834F546-81FD-4EB9-B8C2-5AF6A5C8C035}" name="temp_google_sheet3097" type="6" refreshedVersion="8" background="1" saveData="1">
    <textPr prompt="0" sourceFile="C:\ashish\Backup\Desktop\Other\ITTF\TournamentSoftware\DrawSoftware\DilliLabsTournamentSoftware\temp_google_sheet.csv" comma="1">
      <textFields>
        <textField/>
      </textFields>
    </textPr>
  </connection>
  <connection id="478" xr16:uid="{F90BB7B9-1447-47A0-9625-72C3161CE331}" name="temp_google_sheet30971" type="6" refreshedVersion="8" background="1" saveData="1">
    <textPr prompt="0" sourceFile="C:\ashish\Backup\Desktop\Other\ITTF\TournamentSoftware\DrawSoftware\DilliLabsTournamentSoftware\temp_google_sheet.csv" comma="1">
      <textFields>
        <textField/>
      </textFields>
    </textPr>
  </connection>
  <connection id="479" xr16:uid="{862877FD-4D48-437E-A4B1-137216F50093}" name="temp_google_sheet3098" type="6" refreshedVersion="8" background="1" saveData="1">
    <textPr prompt="0" sourceFile="C:\ashish\Backup\Desktop\Other\ITTF\TournamentSoftware\DrawSoftware\DilliLabsTournamentSoftware\temp_google_sheet.csv" comma="1">
      <textFields>
        <textField/>
      </textFields>
    </textPr>
  </connection>
  <connection id="480" xr16:uid="{031E395A-BFD6-47F7-9DBB-4BA7BAE7DF81}" name="temp_google_sheet30981" type="6" refreshedVersion="8" background="1" saveData="1">
    <textPr prompt="0" sourceFile="C:\ashish\Backup\Desktop\Other\ITTF\TournamentSoftware\DrawSoftware\DilliLabsTournamentSoftware\temp_google_sheet.csv" comma="1">
      <textFields>
        <textField/>
      </textFields>
    </textPr>
  </connection>
  <connection id="481" xr16:uid="{E1492C10-FACB-4F65-B98F-54F683C2514B}" name="temp_google_sheet3099" type="6" refreshedVersion="8" background="1" saveData="1">
    <textPr prompt="0" sourceFile="C:\ashish\Backup\Desktop\Other\ITTF\TournamentSoftware\DrawSoftware\DilliLabsTournamentSoftware\temp_google_sheet.csv" comma="1">
      <textFields>
        <textField/>
      </textFields>
    </textPr>
  </connection>
  <connection id="482" xr16:uid="{50C809DC-69BA-437B-890F-742484E98C1D}" name="temp_google_sheet30991" type="6" refreshedVersion="8" background="1" saveData="1">
    <textPr prompt="0" sourceFile="C:\ashish\Backup\Desktop\Other\ITTF\TournamentSoftware\DrawSoftware\DilliLabsTournamentSoftware\temp_google_sheet.csv" comma="1">
      <textFields>
        <textField/>
      </textFields>
    </textPr>
  </connection>
  <connection id="483" xr16:uid="{6E04BC3F-528E-4963-9E8A-F547248FB36F}" name="temp_google_sheet31" type="6" refreshedVersion="8" background="1" saveData="1">
    <textPr prompt="0" sourceFile="C:\ashish\Backup\Desktop\Other\ITTF\TournamentSoftware\DrawSoftware\DilliLabsTournamentSoftware\temp_google_sheet.csv" comma="1">
      <textFields>
        <textField/>
      </textFields>
    </textPr>
  </connection>
  <connection id="484" xr16:uid="{3D879FA1-3DFA-4B57-8EF4-B6537A93FF30}" name="temp_google_sheet314" type="6" refreshedVersion="8" background="1" saveData="1">
    <textPr prompt="0" sourceFile="C:\ashish\Backup\Desktop\Other\ITTF\TournamentSoftware\DrawSoftware\DilliLabsTournamentSoftware\temp_google_sheet.csv" comma="1">
      <textFields>
        <textField/>
      </textFields>
    </textPr>
  </connection>
  <connection id="485" xr16:uid="{EC88A8A7-C85C-4327-BD86-4641A783AACE}" name="temp_google_sheet3141" type="6" refreshedVersion="8" background="1" saveData="1">
    <textPr prompt="0" sourceFile="C:\ashish\Backup\Desktop\Other\ITTF\TournamentSoftware\DrawSoftware\DilliLabsTournamentSoftware\temp_google_sheet.csv" comma="1">
      <textFields>
        <textField/>
      </textFields>
    </textPr>
  </connection>
  <connection id="486" xr16:uid="{225F44AB-6BFE-4FD7-82E6-3102D1211C85}" name="temp_google_sheet315" type="6" refreshedVersion="8" background="1" saveData="1">
    <textPr prompt="0" sourceFile="C:\ashish\Backup\Desktop\Other\ITTF\TournamentSoftware\DrawSoftware\DilliLabsTournamentSoftware\temp_google_sheet.csv" comma="1">
      <textFields>
        <textField/>
      </textFields>
    </textPr>
  </connection>
  <connection id="487" xr16:uid="{2EFFBB73-C0FC-442E-9F8A-17C36BBA6E30}" name="temp_google_sheet3151" type="6" refreshedVersion="8" background="1" saveData="1">
    <textPr prompt="0" sourceFile="C:\ashish\Backup\Desktop\Other\ITTF\TournamentSoftware\DrawSoftware\DilliLabsTournamentSoftware\temp_google_sheet.csv" comma="1">
      <textFields>
        <textField/>
      </textFields>
    </textPr>
  </connection>
  <connection id="488" xr16:uid="{A6480CEE-E465-4C7F-89DD-30805216FC81}" name="temp_google_sheet316" type="6" refreshedVersion="8" background="1" saveData="1">
    <textPr prompt="0" sourceFile="C:\ashish\Backup\Desktop\Other\ITTF\TournamentSoftware\DrawSoftware\DilliLabsTournamentSoftware\temp_google_sheet.csv" comma="1">
      <textFields>
        <textField/>
      </textFields>
    </textPr>
  </connection>
  <connection id="489" xr16:uid="{4FE45027-BD96-4720-A5E3-D11FA3E23600}" name="temp_google_sheet3161" type="6" refreshedVersion="8" background="1" saveData="1">
    <textPr prompt="0" sourceFile="C:\ashish\Backup\Desktop\Other\ITTF\TournamentSoftware\DrawSoftware\DilliLabsTournamentSoftware\temp_google_sheet.csv" comma="1">
      <textFields>
        <textField/>
      </textFields>
    </textPr>
  </connection>
  <connection id="490" xr16:uid="{65A0E68B-F47C-422C-ACBC-C60314A9CC80}" name="temp_google_sheet317" type="6" refreshedVersion="8" background="1" saveData="1">
    <textPr prompt="0" sourceFile="C:\ashish\Backup\Desktop\Other\ITTF\TournamentSoftware\DrawSoftware\DilliLabsTournamentSoftware\temp_google_sheet.csv" comma="1">
      <textFields>
        <textField/>
      </textFields>
    </textPr>
  </connection>
  <connection id="491" xr16:uid="{A977FFFF-4A17-4715-A634-6010D10AA4BB}" name="temp_google_sheet3171" type="6" refreshedVersion="8" background="1" saveData="1">
    <textPr prompt="0" sourceFile="C:\ashish\Backup\Desktop\Other\ITTF\TournamentSoftware\DrawSoftware\DilliLabsTournamentSoftware\temp_google_sheet.csv" comma="1">
      <textFields>
        <textField/>
      </textFields>
    </textPr>
  </connection>
  <connection id="492" xr16:uid="{DEA14842-423D-4837-A25D-CC8C186B4F3B}" name="temp_google_sheet318" type="6" refreshedVersion="8" background="1" saveData="1">
    <textPr prompt="0" sourceFile="C:\ashish\Backup\Desktop\Other\ITTF\TournamentSoftware\DrawSoftware\DilliLabsTournamentSoftware\temp_google_sheet.csv" comma="1">
      <textFields>
        <textField/>
      </textFields>
    </textPr>
  </connection>
  <connection id="493" xr16:uid="{53D5D80C-88CD-44E1-936A-98F778329C70}" name="temp_google_sheet3181" type="6" refreshedVersion="8" background="1" saveData="1">
    <textPr prompt="0" sourceFile="C:\ashish\Backup\Desktop\Other\ITTF\TournamentSoftware\DrawSoftware\DilliLabsTournamentSoftware\temp_google_sheet.csv" comma="1">
      <textFields>
        <textField/>
      </textFields>
    </textPr>
  </connection>
  <connection id="494" xr16:uid="{3A28FBCA-AEAB-4CEA-838A-7A433FB8F1AA}" name="temp_google_sheet319" type="6" refreshedVersion="8" background="1" saveData="1">
    <textPr prompt="0" sourceFile="C:\ashish\Backup\Desktop\Other\ITTF\TournamentSoftware\DrawSoftware\DilliLabsTournamentSoftware\temp_google_sheet.csv" comma="1">
      <textFields>
        <textField/>
      </textFields>
    </textPr>
  </connection>
  <connection id="495" xr16:uid="{3CCC2C9E-381A-4043-B26C-9CBE4C51A1C7}" name="temp_google_sheet3191" type="6" refreshedVersion="8" background="1" saveData="1">
    <textPr prompt="0" sourceFile="C:\ashish\Backup\Desktop\Other\ITTF\TournamentSoftware\DrawSoftware\DilliLabsTournamentSoftware\temp_google_sheet.csv" comma="1">
      <textFields>
        <textField/>
      </textFields>
    </textPr>
  </connection>
  <connection id="496" xr16:uid="{E07DF125-72C9-450D-9ECF-23AFF0B0E4B0}" name="temp_google_sheet32" type="6" refreshedVersion="8" background="1" saveData="1">
    <textPr prompt="0" sourceFile="C:\ashish\Backup\Desktop\Other\ITTF\TournamentSoftware\DrawSoftware\DilliLabsTournamentSoftware\temp_google_sheet.csv" comma="1">
      <textFields>
        <textField/>
      </textFields>
    </textPr>
  </connection>
  <connection id="497" xr16:uid="{05368236-92A2-4DD0-8FFB-348C6DE853D4}" name="temp_google_sheet33" type="6" refreshedVersion="8" background="1" saveData="1">
    <textPr prompt="0" sourceFile="C:\ashish\Backup\Desktop\Other\ITTF\TournamentSoftware\DrawSoftware\DilliLabsTournamentSoftware\temp_google_sheet.csv" comma="1">
      <textFields>
        <textField/>
      </textFields>
    </textPr>
  </connection>
  <connection id="498" xr16:uid="{28F41308-7B78-4CD6-A083-5CDB3678733C}" name="temp_google_sheet34" type="6" refreshedVersion="8" background="1" saveData="1">
    <textPr prompt="0" sourceFile="C:\ashish\Backup\Desktop\Other\ITTF\TournamentSoftware\DrawSoftware\DilliLabsTournamentSoftware\temp_google_sheet.csv" comma="1">
      <textFields>
        <textField/>
      </textFields>
    </textPr>
  </connection>
  <connection id="499" xr16:uid="{4E82A907-782A-4BD4-92D8-250BD4590520}" name="temp_google_sheet35" type="6" refreshedVersion="8" background="1" saveData="1">
    <textPr prompt="0" sourceFile="C:\ashish\Backup\Desktop\Other\ITTF\TournamentSoftware\DrawSoftware\DilliLabsTournamentSoftware\temp_google_sheet.csv" comma="1">
      <textFields>
        <textField/>
      </textFields>
    </textPr>
  </connection>
  <connection id="500" xr16:uid="{1AC51F36-3CB4-4CFE-8EEA-A2F28CF31A93}" name="temp_google_sheet3512" type="6" refreshedVersion="8" background="1" saveData="1">
    <textPr prompt="0" sourceFile="C:\ashish\Backup\Desktop\Other\ITTF\TournamentSoftware\DrawSoftware\DilliLabsTournamentSoftware\temp_google_sheet.csv" comma="1">
      <textFields>
        <textField/>
      </textFields>
    </textPr>
  </connection>
  <connection id="501" xr16:uid="{61AEA423-DB3D-4461-97DF-337F2DB20E3F}" name="temp_google_sheet35121" type="6" refreshedVersion="8" background="1" saveData="1">
    <textPr prompt="0" sourceFile="C:\ashish\Backup\Desktop\Other\ITTF\TournamentSoftware\DrawSoftware\DilliLabsTournamentSoftware\temp_google_sheet.csv" comma="1">
      <textFields>
        <textField/>
      </textFields>
    </textPr>
  </connection>
  <connection id="502" xr16:uid="{4463F344-08AC-4257-807B-2AEC0A4AB77E}" name="temp_google_sheet3513" type="6" refreshedVersion="8" background="1" saveData="1">
    <textPr prompt="0" sourceFile="C:\ashish\Backup\Desktop\Other\ITTF\TournamentSoftware\DrawSoftware\DilliLabsTournamentSoftware\temp_google_sheet.csv" comma="1">
      <textFields>
        <textField/>
      </textFields>
    </textPr>
  </connection>
  <connection id="503" xr16:uid="{6F5B0C98-F267-4854-B9D7-430257CD9D02}" name="temp_google_sheet35131" type="6" refreshedVersion="8" background="1" saveData="1">
    <textPr prompt="0" sourceFile="C:\ashish\Backup\Desktop\Other\ITTF\TournamentSoftware\DrawSoftware\DilliLabsTournamentSoftware\temp_google_sheet.csv" comma="1">
      <textFields>
        <textField/>
      </textFields>
    </textPr>
  </connection>
  <connection id="504" xr16:uid="{FF122E28-3E9D-4490-975E-BB518C701BC8}" name="temp_google_sheet3514" type="6" refreshedVersion="8" background="1" saveData="1">
    <textPr prompt="0" sourceFile="C:\ashish\Backup\Desktop\Other\ITTF\TournamentSoftware\DrawSoftware\DilliLabsTournamentSoftware\temp_google_sheet.csv" comma="1">
      <textFields>
        <textField/>
      </textFields>
    </textPr>
  </connection>
  <connection id="505" xr16:uid="{D18E234A-F9ED-4832-960D-88D56FCB9859}" name="temp_google_sheet35141" type="6" refreshedVersion="8" background="1" saveData="1">
    <textPr prompt="0" sourceFile="C:\ashish\Backup\Desktop\Other\ITTF\TournamentSoftware\DrawSoftware\DilliLabsTournamentSoftware\temp_google_sheet.csv" comma="1">
      <textFields>
        <textField/>
      </textFields>
    </textPr>
  </connection>
  <connection id="506" xr16:uid="{E655D8D7-FC8F-4698-A57F-C93DF2C22D4B}" name="temp_google_sheet36" type="6" refreshedVersion="8" background="1" saveData="1">
    <textPr prompt="0" sourceFile="C:\ashish\Backup\Desktop\Other\ITTF\TournamentSoftware\DrawSoftware\DilliLabsTournamentSoftware\temp_google_sheet.csv" comma="1">
      <textFields>
        <textField/>
      </textFields>
    </textPr>
  </connection>
  <connection id="507" xr16:uid="{55588F84-C901-4FCC-8344-F13827873FCA}" name="temp_google_sheet363" type="6" refreshedVersion="8" background="1" saveData="1">
    <textPr prompt="0" sourceFile="C:\ashish\Backup\Desktop\Other\ITTF\TournamentSoftware\DrawSoftware\DilliLabsTournamentSoftware\temp_google_sheet.csv" comma="1">
      <textFields>
        <textField/>
      </textFields>
    </textPr>
  </connection>
  <connection id="508" xr16:uid="{D062F4C5-7E4C-4E97-9A12-3B991717C234}" name="temp_google_sheet364" type="6" refreshedVersion="8" background="1" saveData="1">
    <textPr prompt="0" sourceFile="C:\ashish\Backup\Desktop\Other\ITTF\TournamentSoftware\DrawSoftware\DilliLabsTournamentSoftware\temp_google_sheet.csv" comma="1">
      <textFields>
        <textField/>
      </textFields>
    </textPr>
  </connection>
  <connection id="509" xr16:uid="{DE8D4EA3-98B2-475F-9660-62D8BF213933}" name="temp_google_sheet3656" type="6" refreshedVersion="8" background="1" saveData="1">
    <textPr prompt="0" sourceFile="C:\ashish\Backup\Desktop\Other\ITTF\TournamentSoftware\DrawSoftware\DilliLabsTournamentSoftware\temp_google_sheet.csv" comma="1">
      <textFields>
        <textField/>
      </textFields>
    </textPr>
  </connection>
  <connection id="510" xr16:uid="{6F14A413-CF41-4FD0-AE14-74F93BA6F5C9}" name="temp_google_sheet36561" type="6" refreshedVersion="8" background="1" saveData="1">
    <textPr prompt="0" sourceFile="C:\ashish\Backup\Desktop\Other\ITTF\TournamentSoftware\DrawSoftware\DilliLabsTournamentSoftware\temp_google_sheet.csv" comma="1">
      <textFields>
        <textField/>
      </textFields>
    </textPr>
  </connection>
  <connection id="511" xr16:uid="{BC590B8E-495B-43BB-9BAD-257D2F26424B}" name="temp_google_sheet3657" type="6" refreshedVersion="8" background="1" saveData="1">
    <textPr prompt="0" sourceFile="C:\ashish\Backup\Desktop\Other\ITTF\TournamentSoftware\DrawSoftware\DilliLabsTournamentSoftware\temp_google_sheet.csv" comma="1">
      <textFields>
        <textField/>
      </textFields>
    </textPr>
  </connection>
  <connection id="512" xr16:uid="{0DEBA1AE-3D1C-4C3C-B1A1-7E25947B231B}" name="temp_google_sheet36571" type="6" refreshedVersion="8" background="1" saveData="1">
    <textPr prompt="0" sourceFile="C:\ashish\Backup\Desktop\Other\ITTF\TournamentSoftware\DrawSoftware\DilliLabsTournamentSoftware\temp_google_sheet.csv" comma="1">
      <textFields>
        <textField/>
      </textFields>
    </textPr>
  </connection>
  <connection id="513" xr16:uid="{EFF22E73-5D7F-48F0-BF26-51DAC1691110}" name="temp_google_sheet3658" type="6" refreshedVersion="8" background="1" saveData="1">
    <textPr prompt="0" sourceFile="C:\ashish\Backup\Desktop\Other\ITTF\TournamentSoftware\DrawSoftware\DilliLabsTournamentSoftware\temp_google_sheet.csv" comma="1">
      <textFields>
        <textField/>
      </textFields>
    </textPr>
  </connection>
  <connection id="514" xr16:uid="{216751DB-1D1F-420B-B9B1-464A83983656}" name="temp_google_sheet36581" type="6" refreshedVersion="8" background="1" saveData="1">
    <textPr prompt="0" sourceFile="C:\ashish\Backup\Desktop\Other\ITTF\TournamentSoftware\DrawSoftware\DilliLabsTournamentSoftware\temp_google_sheet.csv" comma="1">
      <textFields>
        <textField/>
      </textFields>
    </textPr>
  </connection>
  <connection id="515" xr16:uid="{6567BB5F-02B0-464E-B34A-0D0362B241DF}" name="temp_google_sheet367" type="6" refreshedVersion="8" background="1" saveData="1">
    <textPr prompt="0" sourceFile="C:\ashish\Backup\Desktop\Other\ITTF\TournamentSoftware\DrawSoftware\DilliLabsTournamentSoftware\temp_google_sheet.csv" comma="1">
      <textFields>
        <textField/>
      </textFields>
    </textPr>
  </connection>
  <connection id="516" xr16:uid="{8466D104-0430-43D3-AA61-E90A2D32D5F6}" name="temp_google_sheet368" type="6" refreshedVersion="8" background="1" saveData="1">
    <textPr prompt="0" sourceFile="C:\ashish\Backup\Desktop\Other\ITTF\TournamentSoftware\DrawSoftware\DilliLabsTournamentSoftware\temp_google_sheet.csv" comma="1">
      <textFields>
        <textField/>
      </textFields>
    </textPr>
  </connection>
  <connection id="517" xr16:uid="{26664A40-0DE1-42C4-A936-91FD7BE4CDF8}" name="temp_google_sheet3695" type="6" refreshedVersion="8" background="1" saveData="1">
    <textPr prompt="0" sourceFile="C:\ashish\Backup\Desktop\Other\ITTF\TournamentSoftware\DrawSoftware\DilliLabsTournamentSoftware\temp_google_sheet.csv" comma="1">
      <textFields>
        <textField/>
      </textFields>
    </textPr>
  </connection>
  <connection id="518" xr16:uid="{A0E6CF00-388C-4C05-BA2E-0D3FFF292DB0}" name="temp_google_sheet36951" type="6" refreshedVersion="8" background="1" saveData="1">
    <textPr prompt="0" sourceFile="C:\ashish\Backup\Desktop\Other\ITTF\TournamentSoftware\DrawSoftware\DilliLabsTournamentSoftware\temp_google_sheet.csv" comma="1">
      <textFields>
        <textField/>
      </textFields>
    </textPr>
  </connection>
  <connection id="519" xr16:uid="{896CE52C-F879-42D2-BB08-6B1FF66FD506}" name="temp_google_sheet3696" type="6" refreshedVersion="8" background="1" saveData="1">
    <textPr prompt="0" sourceFile="C:\ashish\Backup\Desktop\Other\ITTF\TournamentSoftware\DrawSoftware\DilliLabsTournamentSoftware\temp_google_sheet.csv" comma="1">
      <textFields>
        <textField/>
      </textFields>
    </textPr>
  </connection>
  <connection id="520" xr16:uid="{54AC3A75-76D7-4DC2-8E77-396D8878A406}" name="temp_google_sheet36961" type="6" refreshedVersion="8" background="1" saveData="1">
    <textPr prompt="0" sourceFile="C:\ashish\Backup\Desktop\Other\ITTF\TournamentSoftware\DrawSoftware\DilliLabsTournamentSoftware\temp_google_sheet.csv" comma="1">
      <textFields>
        <textField/>
      </textFields>
    </textPr>
  </connection>
  <connection id="521" xr16:uid="{A9C1B61D-D61C-4F9D-B497-4762508B80FF}" name="temp_google_sheet3697" type="6" refreshedVersion="8" background="1" saveData="1">
    <textPr prompt="0" sourceFile="C:\ashish\Backup\Desktop\Other\ITTF\TournamentSoftware\DrawSoftware\DilliLabsTournamentSoftware\temp_google_sheet.csv" comma="1">
      <textFields>
        <textField/>
      </textFields>
    </textPr>
  </connection>
  <connection id="522" xr16:uid="{971F28DA-6F2E-4ED1-A4E3-16689A799EB7}" name="temp_google_sheet36971" type="6" refreshedVersion="8" background="1" saveData="1">
    <textPr prompt="0" sourceFile="C:\ashish\Backup\Desktop\Other\ITTF\TournamentSoftware\DrawSoftware\DilliLabsTournamentSoftware\temp_google_sheet.csv" comma="1">
      <textFields>
        <textField/>
      </textFields>
    </textPr>
  </connection>
  <connection id="523" xr16:uid="{FE6AFD02-BF2E-4BDB-B4DF-C8893D2197C1}" name="temp_google_sheet37" type="6" refreshedVersion="8" background="1" saveData="1">
    <textPr prompt="0" sourceFile="C:\ashish\Backup\Desktop\Other\ITTF\TournamentSoftware\DrawSoftware\DilliLabsTournamentSoftware\temp_google_sheet.csv" comma="1">
      <textFields>
        <textField/>
      </textFields>
    </textPr>
  </connection>
  <connection id="524" xr16:uid="{86EC0E5F-F162-444A-B7EA-EAD441FB80B7}" name="temp_google_sheet371" type="6" refreshedVersion="8" background="1" saveData="1">
    <textPr prompt="0" sourceFile="C:\ashish\Backup\Desktop\Other\ITTF\TournamentSoftware\DrawSoftware\DilliLabsTournamentSoftware\temp_google_sheet.csv" comma="1">
      <textFields>
        <textField/>
      </textFields>
    </textPr>
  </connection>
  <connection id="525" xr16:uid="{5D35435C-0DBC-4DBF-97F1-2D152DC464E0}" name="temp_google_sheet3710" type="6" refreshedVersion="8" background="1" saveData="1">
    <textPr prompt="0" sourceFile="C:\ashish\Backup\Desktop\Other\ITTF\TournamentSoftware\DrawSoftware\DilliLabsTournamentSoftware\temp_google_sheet.csv" comma="1">
      <textFields>
        <textField/>
      </textFields>
    </textPr>
  </connection>
  <connection id="526" xr16:uid="{34A16908-B648-4D01-BC9F-A3E82B99D2A3}" name="temp_google_sheet37101" type="6" refreshedVersion="8" background="1" saveData="1">
    <textPr prompt="0" sourceFile="C:\ashish\Backup\Desktop\Other\ITTF\TournamentSoftware\DrawSoftware\DilliLabsTournamentSoftware\temp_google_sheet.csv" comma="1">
      <textFields>
        <textField/>
      </textFields>
    </textPr>
  </connection>
  <connection id="527" xr16:uid="{9491A808-4BAC-4541-8ECC-266BBBD71E90}" name="temp_google_sheet3711" type="6" refreshedVersion="8" background="1" saveData="1">
    <textPr prompt="0" sourceFile="C:\ashish\Backup\Desktop\Other\ITTF\TournamentSoftware\DrawSoftware\DilliLabsTournamentSoftware\temp_google_sheet.csv" comma="1">
      <textFields>
        <textField/>
      </textFields>
    </textPr>
  </connection>
  <connection id="528" xr16:uid="{B0B7380B-8E93-4289-8B28-9D5C1FFA392F}" name="temp_google_sheet37111" type="6" refreshedVersion="8" background="1" saveData="1">
    <textPr prompt="0" sourceFile="C:\ashish\Backup\Desktop\Other\ITTF\TournamentSoftware\DrawSoftware\DilliLabsTournamentSoftware\temp_google_sheet.csv" comma="1">
      <textFields>
        <textField/>
      </textFields>
    </textPr>
  </connection>
  <connection id="529" xr16:uid="{4B7133B4-B461-4117-8A2F-E75084F60AAC}" name="temp_google_sheet3712" type="6" refreshedVersion="8" background="1" saveData="1">
    <textPr prompt="0" sourceFile="C:\ashish\Backup\Desktop\Other\ITTF\TournamentSoftware\DrawSoftware\DilliLabsTournamentSoftware\temp_google_sheet.csv" comma="1">
      <textFields>
        <textField/>
      </textFields>
    </textPr>
  </connection>
  <connection id="530" xr16:uid="{CFDF3830-01EC-4E8F-849B-EFE36EF09ABF}" name="temp_google_sheet37121" type="6" refreshedVersion="8" background="1" saveData="1">
    <textPr prompt="0" sourceFile="C:\ashish\Backup\Desktop\Other\ITTF\TournamentSoftware\DrawSoftware\DilliLabsTournamentSoftware\temp_google_sheet.csv" comma="1">
      <textFields>
        <textField/>
      </textFields>
    </textPr>
  </connection>
  <connection id="531" xr16:uid="{3140208D-E7A8-4A62-BF8E-D737247F5503}" name="temp_google_sheet3713" type="6" refreshedVersion="8" background="1" saveData="1">
    <textPr prompt="0" sourceFile="C:\ashish\Backup\Desktop\Other\ITTF\TournamentSoftware\DrawSoftware\DilliLabsTournamentSoftware\temp_google_sheet.csv" comma="1">
      <textFields>
        <textField/>
      </textFields>
    </textPr>
  </connection>
  <connection id="532" xr16:uid="{D698AB17-C690-4FD4-9E2B-FB156952BB71}" name="temp_google_sheet37131" type="6" refreshedVersion="8" background="1" saveData="1">
    <textPr prompt="0" sourceFile="C:\ashish\Backup\Desktop\Other\ITTF\TournamentSoftware\DrawSoftware\DilliLabsTournamentSoftware\temp_google_sheet.csv" comma="1">
      <textFields>
        <textField/>
      </textFields>
    </textPr>
  </connection>
  <connection id="533" xr16:uid="{FAE71289-574C-435B-9B39-76325D475716}" name="temp_google_sheet3714" type="6" refreshedVersion="8" background="1" saveData="1">
    <textPr prompt="0" sourceFile="C:\ashish\Backup\Desktop\Other\ITTF\TournamentSoftware\DrawSoftware\DilliLabsTournamentSoftware\temp_google_sheet.csv" comma="1">
      <textFields>
        <textField/>
      </textFields>
    </textPr>
  </connection>
  <connection id="534" xr16:uid="{5ACBC71D-6183-46F4-AA02-7CB23A29D79C}" name="temp_google_sheet37141" type="6" refreshedVersion="8" background="1" saveData="1">
    <textPr prompt="0" sourceFile="C:\ashish\Backup\Desktop\Other\ITTF\TournamentSoftware\DrawSoftware\DilliLabsTournamentSoftware\temp_google_sheet.csv" comma="1">
      <textFields>
        <textField/>
      </textFields>
    </textPr>
  </connection>
  <connection id="535" xr16:uid="{6B71AE35-A456-4CDD-8366-C72709DD6E83}" name="temp_google_sheet3715" type="6" refreshedVersion="8" background="1" saveData="1">
    <textPr prompt="0" sourceFile="C:\ashish\Backup\Desktop\Other\ITTF\TournamentSoftware\DrawSoftware\DilliLabsTournamentSoftware\temp_google_sheet.csv" comma="1">
      <textFields>
        <textField/>
      </textFields>
    </textPr>
  </connection>
  <connection id="536" xr16:uid="{E1E4E26A-3D08-4691-8E84-EAC8C1E44AA1}" name="temp_google_sheet3716" type="6" refreshedVersion="8" background="1" saveData="1">
    <textPr prompt="0" sourceFile="C:\ashish\Backup\Desktop\Other\ITTF\TournamentSoftware\DrawSoftware\DilliLabsTournamentSoftware\temp_google_sheet.csv" comma="1">
      <textFields>
        <textField/>
      </textFields>
    </textPr>
  </connection>
  <connection id="537" xr16:uid="{DEB05F19-37C9-4BEB-BDF9-3794DD4A9E00}" name="temp_google_sheet372" type="6" refreshedVersion="8" background="1" saveData="1">
    <textPr prompt="0" sourceFile="C:\ashish\Backup\Desktop\Other\ITTF\TournamentSoftware\DrawSoftware\DilliLabsTournamentSoftware\temp_google_sheet.csv" comma="1">
      <textFields>
        <textField/>
      </textFields>
    </textPr>
  </connection>
  <connection id="538" xr16:uid="{9E5049B3-5D7A-45CF-8EBC-5F6413096B41}" name="temp_google_sheet3721" type="6" refreshedVersion="8" background="1" saveData="1">
    <textPr prompt="0" sourceFile="C:\ashish\Backup\Desktop\Other\ITTF\TournamentSoftware\DrawSoftware\DilliLabsTournamentSoftware\temp_google_sheet.csv" comma="1">
      <textFields>
        <textField/>
      </textFields>
    </textPr>
  </connection>
  <connection id="539" xr16:uid="{9BD1C0A1-9276-4EA9-B1C1-4A73BBBFA0D1}" name="temp_google_sheet373" type="6" refreshedVersion="8" background="1" saveData="1">
    <textPr prompt="0" sourceFile="C:\ashish\Backup\Desktop\Other\ITTF\TournamentSoftware\DrawSoftware\DilliLabsTournamentSoftware\temp_google_sheet.csv" comma="1">
      <textFields>
        <textField/>
      </textFields>
    </textPr>
  </connection>
  <connection id="540" xr16:uid="{7DFE52A6-A9D1-487A-AD36-98D0D6F2768A}" name="temp_google_sheet3731" type="6" refreshedVersion="8" background="1" saveData="1">
    <textPr prompt="0" sourceFile="C:\ashish\Backup\Desktop\Other\ITTF\TournamentSoftware\DrawSoftware\DilliLabsTournamentSoftware\temp_google_sheet.csv" comma="1">
      <textFields>
        <textField/>
      </textFields>
    </textPr>
  </connection>
  <connection id="541" xr16:uid="{5BCBE06D-204A-4F87-9217-CE0E4DE6D83C}" name="temp_google_sheet374" type="6" refreshedVersion="8" background="1" saveData="1">
    <textPr prompt="0" sourceFile="C:\ashish\Backup\Desktop\Other\ITTF\TournamentSoftware\DrawSoftware\DilliLabsTournamentSoftware\temp_google_sheet.csv" comma="1">
      <textFields>
        <textField/>
      </textFields>
    </textPr>
  </connection>
  <connection id="542" xr16:uid="{321AEBC9-16EE-4086-A93A-6E9981E79EEA}" name="temp_google_sheet3741" type="6" refreshedVersion="8" background="1" saveData="1">
    <textPr prompt="0" sourceFile="C:\ashish\Backup\Desktop\Other\ITTF\TournamentSoftware\DrawSoftware\DilliLabsTournamentSoftware\temp_google_sheet.csv" comma="1">
      <textFields>
        <textField/>
      </textFields>
    </textPr>
  </connection>
  <connection id="543" xr16:uid="{34DE648F-8B59-49BE-BE58-D7BA74E7CAF8}" name="temp_google_sheet375" type="6" refreshedVersion="8" background="1" saveData="1">
    <textPr prompt="0" sourceFile="C:\ashish\Backup\Desktop\Other\ITTF\TournamentSoftware\DrawSoftware\DilliLabsTournamentSoftware\temp_google_sheet.csv" comma="1">
      <textFields>
        <textField/>
      </textFields>
    </textPr>
  </connection>
  <connection id="544" xr16:uid="{8F1D0EEA-255A-43C4-BE68-B6D99A62C507}" name="temp_google_sheet3751" type="6" refreshedVersion="8" background="1" saveData="1">
    <textPr prompt="0" sourceFile="C:\ashish\Backup\Desktop\Other\ITTF\TournamentSoftware\DrawSoftware\DilliLabsTournamentSoftware\temp_google_sheet.csv" comma="1">
      <textFields>
        <textField/>
      </textFields>
    </textPr>
  </connection>
  <connection id="545" xr16:uid="{32E07411-7BE9-4BCF-AE5C-4DF905EA7DDA}" name="temp_google_sheet376" type="6" refreshedVersion="8" background="1" saveData="1">
    <textPr prompt="0" sourceFile="C:\ashish\Backup\Desktop\Other\ITTF\TournamentSoftware\DrawSoftware\DilliLabsTournamentSoftware\temp_google_sheet.csv" comma="1">
      <textFields>
        <textField/>
      </textFields>
    </textPr>
  </connection>
  <connection id="546" xr16:uid="{35EEF26E-ED54-4881-A380-947F0ADBD5F3}" name="temp_google_sheet3761" type="6" refreshedVersion="8" background="1" saveData="1">
    <textPr prompt="0" sourceFile="C:\ashish\Backup\Desktop\Other\ITTF\TournamentSoftware\DrawSoftware\DilliLabsTournamentSoftware\temp_google_sheet.csv" comma="1">
      <textFields>
        <textField/>
      </textFields>
    </textPr>
  </connection>
  <connection id="547" xr16:uid="{C241021A-6791-46DC-AFA8-46B99A3636D1}" name="temp_google_sheet377" type="6" refreshedVersion="8" background="1" saveData="1">
    <textPr prompt="0" sourceFile="C:\ashish\Backup\Desktop\Other\ITTF\TournamentSoftware\DrawSoftware\DilliLabsTournamentSoftware\temp_google_sheet.csv" comma="1">
      <textFields>
        <textField/>
      </textFields>
    </textPr>
  </connection>
  <connection id="548" xr16:uid="{2A0B6F41-DDF3-47D5-AAF3-B997FA68B5ED}" name="temp_google_sheet3771" type="6" refreshedVersion="8" background="1" saveData="1">
    <textPr prompt="0" sourceFile="C:\ashish\Backup\Desktop\Other\ITTF\TournamentSoftware\DrawSoftware\DilliLabsTournamentSoftware\temp_google_sheet.csv" comma="1">
      <textFields>
        <textField/>
      </textFields>
    </textPr>
  </connection>
  <connection id="549" xr16:uid="{D9F972F6-58DC-4DA6-A255-B4FAE456D42A}" name="temp_google_sheet378" type="6" refreshedVersion="8" background="1" saveData="1">
    <textPr prompt="0" sourceFile="C:\ashish\Backup\Desktop\Other\ITTF\TournamentSoftware\DrawSoftware\DilliLabsTournamentSoftware\temp_google_sheet.csv" comma="1">
      <textFields>
        <textField/>
      </textFields>
    </textPr>
  </connection>
  <connection id="550" xr16:uid="{5BB6F39F-0C38-45B7-80A7-5E1A7CDD6CE7}" name="temp_google_sheet3781" type="6" refreshedVersion="8" background="1" saveData="1">
    <textPr prompt="0" sourceFile="C:\ashish\Backup\Desktop\Other\ITTF\TournamentSoftware\DrawSoftware\DilliLabsTournamentSoftware\temp_google_sheet.csv" comma="1">
      <textFields>
        <textField/>
      </textFields>
    </textPr>
  </connection>
  <connection id="551" xr16:uid="{5A4E71A6-9002-4FC3-B7C5-0C7BEB9C4A3A}" name="temp_google_sheet379" type="6" refreshedVersion="8" background="1" saveData="1">
    <textPr prompt="0" sourceFile="C:\ashish\Backup\Desktop\Other\ITTF\TournamentSoftware\DrawSoftware\DilliLabsTournamentSoftware\temp_google_sheet.csv" comma="1">
      <textFields>
        <textField/>
      </textFields>
    </textPr>
  </connection>
  <connection id="552" xr16:uid="{0C37D7F0-CEDF-4F8C-909E-53821B9A54CC}" name="temp_google_sheet3791" type="6" refreshedVersion="8" background="1" saveData="1">
    <textPr prompt="0" sourceFile="C:\ashish\Backup\Desktop\Other\ITTF\TournamentSoftware\DrawSoftware\DilliLabsTournamentSoftware\temp_google_sheet.csv" comma="1">
      <textFields>
        <textField/>
      </textFields>
    </textPr>
  </connection>
  <connection id="553" xr16:uid="{5937DC76-872B-4E6D-8603-0E57DB9191E7}" name="temp_google_sheet38" type="6" refreshedVersion="8" background="1" saveData="1">
    <textPr prompt="0" sourceFile="C:\ashish\Backup\Desktop\Other\ITTF\TournamentSoftware\DrawSoftware\DilliLabsTournamentSoftware\temp_google_sheet.csv" comma="1">
      <textFields>
        <textField/>
      </textFields>
    </textPr>
  </connection>
  <connection id="554" xr16:uid="{74E5648F-F156-4183-A620-104D71A2293C}" name="temp_google_sheet380" type="6" refreshedVersion="8" background="1" saveData="1">
    <textPr prompt="0" sourceFile="C:\ashish\Backup\Desktop\Other\ITTF\TournamentSoftware\DrawSoftware\DilliLabsTournamentSoftware\temp_google_sheet.csv" comma="1">
      <textFields>
        <textField/>
      </textFields>
    </textPr>
  </connection>
  <connection id="555" xr16:uid="{062416CF-C8DC-499B-84E7-09CC5D78BEF1}" name="temp_google_sheet381" type="6" refreshedVersion="8" background="1" saveData="1">
    <textPr prompt="0" sourceFile="C:\ashish\Backup\Desktop\Other\ITTF\TournamentSoftware\DrawSoftware\DilliLabsTournamentSoftware\temp_google_sheet.csv" comma="1">
      <textFields>
        <textField/>
      </textFields>
    </textPr>
  </connection>
  <connection id="556" xr16:uid="{1D06165A-5B1F-4B75-AB3A-6FFD82CE4211}" name="temp_google_sheet3824" type="6" refreshedVersion="8" background="1" saveData="1">
    <textPr prompt="0" sourceFile="C:\ashish\Backup\Desktop\Other\ITTF\TournamentSoftware\DrawSoftware\DilliLabsTournamentSoftware\temp_google_sheet.csv" comma="1">
      <textFields>
        <textField/>
      </textFields>
    </textPr>
  </connection>
  <connection id="557" xr16:uid="{488FD63F-38BC-4D2B-8C80-48AB26ABD19B}" name="temp_google_sheet38241" type="6" refreshedVersion="8" background="1" saveData="1">
    <textPr prompt="0" sourceFile="C:\ashish\Backup\Desktop\Other\ITTF\TournamentSoftware\DrawSoftware\DilliLabsTournamentSoftware\temp_google_sheet.csv" comma="1">
      <textFields>
        <textField/>
      </textFields>
    </textPr>
  </connection>
  <connection id="558" xr16:uid="{276710CB-85A1-47D0-B1F6-943977D85EF7}" name="temp_google_sheet3825" type="6" refreshedVersion="8" background="1" saveData="1">
    <textPr prompt="0" sourceFile="C:\ashish\Backup\Desktop\Other\ITTF\TournamentSoftware\DrawSoftware\DilliLabsTournamentSoftware\temp_google_sheet.csv" comma="1">
      <textFields>
        <textField/>
      </textFields>
    </textPr>
  </connection>
  <connection id="559" xr16:uid="{F1701CEB-76D7-4B09-BCF4-45388EF4EC93}" name="temp_google_sheet38251" type="6" refreshedVersion="8" background="1" saveData="1">
    <textPr prompt="0" sourceFile="C:\ashish\Backup\Desktop\Other\ITTF\TournamentSoftware\DrawSoftware\DilliLabsTournamentSoftware\temp_google_sheet.csv" comma="1">
      <textFields>
        <textField/>
      </textFields>
    </textPr>
  </connection>
  <connection id="560" xr16:uid="{205EE527-C792-49AE-B048-E5AC6C53F66D}" name="temp_google_sheet3826" type="6" refreshedVersion="8" background="1" saveData="1">
    <textPr prompt="0" sourceFile="C:\ashish\Backup\Desktop\Other\ITTF\TournamentSoftware\DrawSoftware\DilliLabsTournamentSoftware\temp_google_sheet.csv" comma="1">
      <textFields>
        <textField/>
      </textFields>
    </textPr>
  </connection>
  <connection id="561" xr16:uid="{DF77A2E0-1460-42EB-9B68-A5036C8476C5}" name="temp_google_sheet38261" type="6" refreshedVersion="8" background="1" saveData="1">
    <textPr prompt="0" sourceFile="C:\ashish\Backup\Desktop\Other\ITTF\TournamentSoftware\DrawSoftware\DilliLabsTournamentSoftware\temp_google_sheet.csv" comma="1">
      <textFields>
        <textField/>
      </textFields>
    </textPr>
  </connection>
  <connection id="562" xr16:uid="{B665EE56-2028-47A5-B8CD-8DAAE66513F7}" name="temp_google_sheet39" type="6" refreshedVersion="8" background="1" saveData="1">
    <textPr prompt="0" sourceFile="C:\ashish\Backup\Desktop\Other\ITTF\TournamentSoftware\DrawSoftware\DilliLabsTournamentSoftware\temp_google_sheet.csv" comma="1">
      <textFields>
        <textField/>
      </textFields>
    </textPr>
  </connection>
  <connection id="563" xr16:uid="{F72730C1-4A80-4F9E-8F72-FA3C6400B67D}" name="temp_google_sheet4" type="6" refreshedVersion="8" background="1" saveData="1">
    <textPr prompt="0" sourceFile="C:\ashish\Backup\Desktop\Other\ITTF\TournamentSoftware\DrawSoftware\DilliLabsTournamentSoftware\temp_google_sheet.csv" comma="1">
      <textFields>
        <textField/>
      </textFields>
    </textPr>
  </connection>
  <connection id="564" xr16:uid="{860E44C6-E8BB-4CB1-911B-ECDB9C976924}" name="temp_google_sheet40" type="6" refreshedVersion="8" background="1" saveData="1">
    <textPr prompt="0" sourceFile="C:\ashish\Backup\Desktop\Other\ITTF\TournamentSoftware\DrawSoftware\DilliLabsTournamentSoftware\temp_google_sheet.csv" comma="1">
      <textFields>
        <textField/>
      </textFields>
    </textPr>
  </connection>
  <connection id="565" xr16:uid="{C0CE5792-F6DE-40A9-8D4E-51AF4210369D}" name="temp_google_sheet404" type="6" refreshedVersion="8" background="1" saveData="1">
    <textPr prompt="0" sourceFile="C:\ashish\Backup\Desktop\Other\ITTF\TournamentSoftware\DrawSoftware\DilliLabsTournamentSoftware\temp_google_sheet.csv" comma="1">
      <textFields>
        <textField/>
      </textFields>
    </textPr>
  </connection>
  <connection id="566" xr16:uid="{5B412007-1468-4AAB-92B8-910FC9865238}" name="temp_google_sheet4041" type="6" refreshedVersion="8" background="1" saveData="1">
    <textPr prompt="0" sourceFile="C:\ashish\Backup\Desktop\Other\ITTF\TournamentSoftware\DrawSoftware\DilliLabsTournamentSoftware\temp_google_sheet.csv" comma="1">
      <textFields>
        <textField/>
      </textFields>
    </textPr>
  </connection>
  <connection id="567" xr16:uid="{F3567BAC-6C6F-4C31-84FD-24EF78B8F39E}" name="temp_google_sheet405" type="6" refreshedVersion="8" background="1" saveData="1">
    <textPr prompt="0" sourceFile="C:\ashish\Backup\Desktop\Other\ITTF\TournamentSoftware\DrawSoftware\DilliLabsTournamentSoftware\temp_google_sheet.csv" comma="1">
      <textFields>
        <textField/>
      </textFields>
    </textPr>
  </connection>
  <connection id="568" xr16:uid="{CA168FC0-89CA-4C56-BEA4-D017FE70474F}" name="temp_google_sheet4051" type="6" refreshedVersion="8" background="1" saveData="1">
    <textPr prompt="0" sourceFile="C:\ashish\Backup\Desktop\Other\ITTF\TournamentSoftware\DrawSoftware\DilliLabsTournamentSoftware\temp_google_sheet.csv" comma="1">
      <textFields>
        <textField/>
      </textFields>
    </textPr>
  </connection>
  <connection id="569" xr16:uid="{5F1CD6F8-3447-4E4D-887D-CB9D73996C0A}" name="temp_google_sheet406" type="6" refreshedVersion="8" background="1" saveData="1">
    <textPr prompt="0" sourceFile="C:\ashish\Backup\Desktop\Other\ITTF\TournamentSoftware\DrawSoftware\DilliLabsTournamentSoftware\temp_google_sheet.csv" comma="1">
      <textFields>
        <textField/>
      </textFields>
    </textPr>
  </connection>
  <connection id="570" xr16:uid="{076044B4-90DA-4917-9CB8-F3A08478F1A0}" name="temp_google_sheet4061" type="6" refreshedVersion="8" background="1" saveData="1">
    <textPr prompt="0" sourceFile="C:\ashish\Backup\Desktop\Other\ITTF\TournamentSoftware\DrawSoftware\DilliLabsTournamentSoftware\temp_google_sheet.csv" comma="1">
      <textFields>
        <textField/>
      </textFields>
    </textPr>
  </connection>
  <connection id="571" xr16:uid="{7C85B29A-0359-478E-8792-DB40543FC985}" name="temp_google_sheet41" type="6" refreshedVersion="8" background="1" saveData="1">
    <textPr prompt="0" sourceFile="C:\ashish\Backup\Desktop\Other\ITTF\TournamentSoftware\DrawSoftware\DilliLabsTournamentSoftware\temp_google_sheet.csv" comma="1">
      <textFields>
        <textField/>
      </textFields>
    </textPr>
  </connection>
  <connection id="572" xr16:uid="{5C8BCE32-DF44-4562-9989-5504A75446AC}" name="temp_google_sheet410" type="6" refreshedVersion="8" background="1" saveData="1">
    <textPr prompt="0" sourceFile="C:\ashish\Backup\Desktop\Other\ITTF\TournamentSoftware\DrawSoftware\DilliLabsTournamentSoftware\temp_google_sheet.csv" comma="1">
      <textFields>
        <textField/>
      </textFields>
    </textPr>
  </connection>
  <connection id="573" xr16:uid="{4355E1A4-0770-4C5A-9BEC-06E7468FDAEF}" name="temp_google_sheet4101" type="6" refreshedVersion="8" background="1" saveData="1">
    <textPr prompt="0" sourceFile="C:\ashish\Backup\Desktop\Other\ITTF\TournamentSoftware\DrawSoftware\DilliLabsTournamentSoftware\temp_google_sheet.csv" comma="1">
      <textFields>
        <textField/>
      </textFields>
    </textPr>
  </connection>
  <connection id="574" xr16:uid="{19E0EF00-D1AE-46E4-9D74-86F36B419D95}" name="temp_google_sheet411" type="6" refreshedVersion="8" background="1" saveData="1">
    <textPr prompt="0" sourceFile="C:\ashish\Backup\Desktop\Other\ITTF\TournamentSoftware\DrawSoftware\DilliLabsTournamentSoftware\temp_google_sheet.csv" comma="1">
      <textFields>
        <textField/>
      </textFields>
    </textPr>
  </connection>
  <connection id="575" xr16:uid="{56351A09-33EB-413A-ABDE-FF6202877F6B}" name="temp_google_sheet4110" type="6" refreshedVersion="8" background="1" saveData="1">
    <textPr prompt="0" sourceFile="C:\ashish\Backup\Desktop\Other\ITTF\TournamentSoftware\DrawSoftware\DilliLabsTournamentSoftware\temp_google_sheet.csv" comma="1">
      <textFields>
        <textField/>
      </textFields>
    </textPr>
  </connection>
  <connection id="576" xr16:uid="{C1249837-5DBE-4615-A52D-A4BECACBED96}" name="temp_google_sheet4111" type="6" refreshedVersion="8" background="1" saveData="1">
    <textPr prompt="0" sourceFile="C:\ashish\Backup\Desktop\Other\ITTF\TournamentSoftware\DrawSoftware\DilliLabsTournamentSoftware\temp_google_sheet.csv" comma="1">
      <textFields>
        <textField/>
      </textFields>
    </textPr>
  </connection>
  <connection id="577" xr16:uid="{0B1223AE-E097-4531-9E83-1584BBA4FDF3}" name="temp_google_sheet412" type="6" refreshedVersion="8" background="1" saveData="1">
    <textPr prompt="0" sourceFile="C:\ashish\Backup\Desktop\Other\ITTF\TournamentSoftware\DrawSoftware\DilliLabsTournamentSoftware\temp_google_sheet.csv" comma="1">
      <textFields>
        <textField/>
      </textFields>
    </textPr>
  </connection>
  <connection id="578" xr16:uid="{A8BDC786-A0A6-44B3-B569-23049F7855ED}" name="temp_google_sheet4121" type="6" refreshedVersion="8" background="1" saveData="1">
    <textPr prompt="0" sourceFile="C:\ashish\Backup\Desktop\Other\ITTF\TournamentSoftware\DrawSoftware\DilliLabsTournamentSoftware\temp_google_sheet.csv" comma="1">
      <textFields>
        <textField/>
      </textFields>
    </textPr>
  </connection>
  <connection id="579" xr16:uid="{52D0F443-2C1F-48F9-8367-2F29C601850A}" name="temp_google_sheet413" type="6" refreshedVersion="8" background="1" saveData="1">
    <textPr prompt="0" sourceFile="C:\ashish\Backup\Desktop\Other\ITTF\TournamentSoftware\DrawSoftware\DilliLabsTournamentSoftware\temp_google_sheet.csv" comma="1">
      <textFields>
        <textField/>
      </textFields>
    </textPr>
  </connection>
  <connection id="580" xr16:uid="{E1B59980-61CA-49C1-A8A8-BC883EEBEAB3}" name="temp_google_sheet4131" type="6" refreshedVersion="8" background="1" saveData="1">
    <textPr prompt="0" sourceFile="C:\ashish\Backup\Desktop\Other\ITTF\TournamentSoftware\DrawSoftware\DilliLabsTournamentSoftware\temp_google_sheet.csv" comma="1">
      <textFields>
        <textField/>
      </textFields>
    </textPr>
  </connection>
  <connection id="581" xr16:uid="{E3E96E4C-1DAA-4FCD-B962-87DE9D3BA1D7}" name="temp_google_sheet414" type="6" refreshedVersion="8" background="1" saveData="1">
    <textPr prompt="0" sourceFile="C:\ashish\Backup\Desktop\Other\ITTF\TournamentSoftware\DrawSoftware\DilliLabsTournamentSoftware\temp_google_sheet.csv" comma="1">
      <textFields>
        <textField/>
      </textFields>
    </textPr>
  </connection>
  <connection id="582" xr16:uid="{5766347C-4584-4517-A117-385A80E33CDB}" name="temp_google_sheet4141" type="6" refreshedVersion="8" background="1" saveData="1">
    <textPr prompt="0" sourceFile="C:\ashish\Backup\Desktop\Other\ITTF\TournamentSoftware\DrawSoftware\DilliLabsTournamentSoftware\temp_google_sheet.csv" comma="1">
      <textFields>
        <textField/>
      </textFields>
    </textPr>
  </connection>
  <connection id="583" xr16:uid="{17696337-936E-44E5-A39D-7A6C2785D643}" name="temp_google_sheet415" type="6" refreshedVersion="8" background="1" saveData="1">
    <textPr prompt="0" sourceFile="C:\ashish\Backup\Desktop\Other\ITTF\TournamentSoftware\DrawSoftware\DilliLabsTournamentSoftware\temp_google_sheet.csv" comma="1">
      <textFields>
        <textField/>
      </textFields>
    </textPr>
  </connection>
  <connection id="584" xr16:uid="{2CF5BF24-6C10-409A-9355-836FABA36B87}" name="temp_google_sheet4151" type="6" refreshedVersion="8" background="1" saveData="1">
    <textPr prompt="0" sourceFile="C:\ashish\Backup\Desktop\Other\ITTF\TournamentSoftware\DrawSoftware\DilliLabsTournamentSoftware\temp_google_sheet.csv" comma="1">
      <textFields>
        <textField/>
      </textFields>
    </textPr>
  </connection>
  <connection id="585" xr16:uid="{937470A3-6E9A-42D0-9978-27F0643AF8A7}" name="temp_google_sheet416" type="6" refreshedVersion="8" background="1" saveData="1">
    <textPr prompt="0" sourceFile="C:\ashish\Backup\Desktop\Other\ITTF\TournamentSoftware\DrawSoftware\DilliLabsTournamentSoftware\temp_google_sheet.csv" comma="1">
      <textFields>
        <textField/>
      </textFields>
    </textPr>
  </connection>
  <connection id="586" xr16:uid="{2D5BA6B8-954A-4600-8614-C80E69FA0D9F}" name="temp_google_sheet4161" type="6" refreshedVersion="8" background="1" saveData="1">
    <textPr prompt="0" sourceFile="C:\ashish\Backup\Desktop\Other\ITTF\TournamentSoftware\DrawSoftware\DilliLabsTournamentSoftware\temp_google_sheet.csv" comma="1">
      <textFields>
        <textField/>
      </textFields>
    </textPr>
  </connection>
  <connection id="587" xr16:uid="{809B8B0E-992B-4FA1-8506-FEB8B65FAD2B}" name="temp_google_sheet417" type="6" refreshedVersion="8" background="1" saveData="1">
    <textPr prompt="0" sourceFile="C:\ashish\Backup\Desktop\Other\ITTF\TournamentSoftware\DrawSoftware\DilliLabsTournamentSoftware\temp_google_sheet.csv" comma="1">
      <textFields>
        <textField/>
      </textFields>
    </textPr>
  </connection>
  <connection id="588" xr16:uid="{198A857B-BCC8-400D-9AF9-83753659CBE3}" name="temp_google_sheet4171" type="6" refreshedVersion="8" background="1" saveData="1">
    <textPr prompt="0" sourceFile="C:\ashish\Backup\Desktop\Other\ITTF\TournamentSoftware\DrawSoftware\DilliLabsTournamentSoftware\temp_google_sheet.csv" comma="1">
      <textFields>
        <textField/>
      </textFields>
    </textPr>
  </connection>
  <connection id="589" xr16:uid="{7BB3A2E8-B768-4D48-A356-9E8613818C17}" name="temp_google_sheet418" type="6" refreshedVersion="8" background="1" saveData="1">
    <textPr prompt="0" sourceFile="C:\ashish\Backup\Desktop\Other\ITTF\TournamentSoftware\DrawSoftware\DilliLabsTournamentSoftware\temp_google_sheet.csv" comma="1">
      <textFields>
        <textField/>
      </textFields>
    </textPr>
  </connection>
  <connection id="590" xr16:uid="{080FBA5E-D0CD-4E0C-A73E-A5642D301730}" name="temp_google_sheet4181" type="6" refreshedVersion="8" background="1" saveData="1">
    <textPr prompt="0" sourceFile="C:\ashish\Backup\Desktop\Other\ITTF\TournamentSoftware\DrawSoftware\DilliLabsTournamentSoftware\temp_google_sheet.csv" comma="1">
      <textFields>
        <textField/>
      </textFields>
    </textPr>
  </connection>
  <connection id="591" xr16:uid="{47627070-9A5E-4CD1-8C03-5CEC2CFB66BC}" name="temp_google_sheet419" type="6" refreshedVersion="8" background="1" saveData="1">
    <textPr prompt="0" sourceFile="C:\ashish\Backup\Desktop\Other\ITTF\TournamentSoftware\DrawSoftware\DilliLabsTournamentSoftware\temp_google_sheet.csv" comma="1">
      <textFields>
        <textField/>
      </textFields>
    </textPr>
  </connection>
  <connection id="592" xr16:uid="{B81B1FD9-058B-4392-8C64-C1CC45369593}" name="temp_google_sheet4191" type="6" refreshedVersion="8" background="1" saveData="1">
    <textPr prompt="0" sourceFile="C:\ashish\Backup\Desktop\Other\ITTF\TournamentSoftware\DrawSoftware\DilliLabsTournamentSoftware\temp_google_sheet.csv" comma="1">
      <textFields>
        <textField/>
      </textFields>
    </textPr>
  </connection>
  <connection id="593" xr16:uid="{60E43D45-9F30-41E5-A12E-17B6409E879A}" name="temp_google_sheet42" type="6" refreshedVersion="8" background="1" saveData="1">
    <textPr prompt="0" sourceFile="C:\ashish\Backup\Desktop\Other\ITTF\TournamentSoftware\DrawSoftware\DilliLabsTournamentSoftware\temp_google_sheet.csv" comma="1">
      <textFields>
        <textField/>
      </textFields>
    </textPr>
  </connection>
  <connection id="594" xr16:uid="{14441E52-4CDE-4972-9B61-D7D53E73FEEE}" name="temp_google_sheet420" type="6" refreshedVersion="8" background="1" saveData="1">
    <textPr prompt="0" sourceFile="C:\ashish\Backup\Desktop\Other\ITTF\TournamentSoftware\DrawSoftware\DilliLabsTournamentSoftware\temp_google_sheet.csv" comma="1">
      <textFields>
        <textField/>
      </textFields>
    </textPr>
  </connection>
  <connection id="595" xr16:uid="{7605C7A4-17CA-4BA4-B820-FCD7FA3DEB10}" name="temp_google_sheet4201" type="6" refreshedVersion="8" background="1" saveData="1">
    <textPr prompt="0" sourceFile="C:\ashish\Backup\Desktop\Other\ITTF\TournamentSoftware\DrawSoftware\DilliLabsTournamentSoftware\temp_google_sheet.csv" comma="1">
      <textFields>
        <textField/>
      </textFields>
    </textPr>
  </connection>
  <connection id="596" xr16:uid="{E12413B4-BEB5-469B-9F84-014699508148}" name="temp_google_sheet421" type="6" refreshedVersion="8" background="1" saveData="1">
    <textPr prompt="0" sourceFile="C:\ashish\Backup\Desktop\Other\ITTF\TournamentSoftware\DrawSoftware\DilliLabsTournamentSoftware\temp_google_sheet.csv" comma="1">
      <textFields>
        <textField/>
      </textFields>
    </textPr>
  </connection>
  <connection id="597" xr16:uid="{327941D5-18CA-4A7A-AC9E-CC81643FE6F7}" name="temp_google_sheet4211" type="6" refreshedVersion="8" background="1" saveData="1">
    <textPr prompt="0" sourceFile="C:\ashish\Backup\Desktop\Other\ITTF\TournamentSoftware\DrawSoftware\DilliLabsTournamentSoftware\temp_google_sheet.csv" comma="1">
      <textFields>
        <textField/>
      </textFields>
    </textPr>
  </connection>
  <connection id="598" xr16:uid="{00E508D9-D646-4B36-A37F-9A3CA08338E8}" name="temp_google_sheet422" type="6" refreshedVersion="8" background="1" saveData="1">
    <textPr prompt="0" sourceFile="C:\ashish\Backup\Desktop\Other\ITTF\TournamentSoftware\DrawSoftware\DilliLabsTournamentSoftware\temp_google_sheet.csv" comma="1">
      <textFields>
        <textField/>
      </textFields>
    </textPr>
  </connection>
  <connection id="599" xr16:uid="{DA057834-FC60-46E2-B59C-CB84C1A6FD2E}" name="temp_google_sheet4221" type="6" refreshedVersion="8" background="1" saveData="1">
    <textPr prompt="0" sourceFile="C:\ashish\Backup\Desktop\Other\ITTF\TournamentSoftware\DrawSoftware\DilliLabsTournamentSoftware\temp_google_sheet.csv" comma="1">
      <textFields>
        <textField/>
      </textFields>
    </textPr>
  </connection>
  <connection id="600" xr16:uid="{FEE04626-C607-4431-A57B-851005DD6CEF}" name="temp_google_sheet423" type="6" refreshedVersion="8" background="1" saveData="1">
    <textPr prompt="0" sourceFile="C:\ashish\Backup\Desktop\Other\ITTF\TournamentSoftware\DrawSoftware\DilliLabsTournamentSoftware\temp_google_sheet.csv" comma="1">
      <textFields>
        <textField/>
      </textFields>
    </textPr>
  </connection>
  <connection id="601" xr16:uid="{3D3B3003-4342-47AC-B219-6720BF01274E}" name="temp_google_sheet4231" type="6" refreshedVersion="8" background="1" saveData="1">
    <textPr prompt="0" sourceFile="C:\ashish\Backup\Desktop\Other\ITTF\TournamentSoftware\DrawSoftware\DilliLabsTournamentSoftware\temp_google_sheet.csv" comma="1">
      <textFields>
        <textField/>
      </textFields>
    </textPr>
  </connection>
  <connection id="602" xr16:uid="{2EBEE432-A878-45D9-8CF3-39A00D74F514}" name="temp_google_sheet424" type="6" refreshedVersion="8" background="1" saveData="1">
    <textPr prompt="0" sourceFile="C:\ashish\Backup\Desktop\Other\ITTF\TournamentSoftware\DrawSoftware\DilliLabsTournamentSoftware\temp_google_sheet.csv" comma="1">
      <textFields>
        <textField/>
      </textFields>
    </textPr>
  </connection>
  <connection id="603" xr16:uid="{521EF7FA-73D4-461C-949E-D07BB38A0359}" name="temp_google_sheet425" type="6" refreshedVersion="8" background="1" saveData="1">
    <textPr prompt="0" sourceFile="C:\ashish\Backup\Desktop\Other\ITTF\TournamentSoftware\DrawSoftware\DilliLabsTournamentSoftware\temp_google_sheet.csv" comma="1">
      <textFields>
        <textField/>
      </textFields>
    </textPr>
  </connection>
  <connection id="604" xr16:uid="{D470D6EB-F426-47CA-B330-1454B7875F67}" name="temp_google_sheet43" type="6" refreshedVersion="8" background="1" saveData="1">
    <textPr prompt="0" sourceFile="C:\ashish\Backup\Desktop\Other\ITTF\TournamentSoftware\DrawSoftware\DilliLabsTournamentSoftware\temp_google_sheet.csv" comma="1">
      <textFields>
        <textField/>
      </textFields>
    </textPr>
  </connection>
  <connection id="605" xr16:uid="{8DC56730-5115-43E7-955B-FC9D6CAE1817}" name="temp_google_sheet44" type="6" refreshedVersion="8" background="1" saveData="1">
    <textPr prompt="0" sourceFile="C:\ashish\Backup\Desktop\Other\ITTF\TournamentSoftware\DrawSoftware\DilliLabsTournamentSoftware\temp_google_sheet.csv" comma="1">
      <textFields>
        <textField/>
      </textFields>
    </textPr>
  </connection>
  <connection id="606" xr16:uid="{EF5968EF-02F6-4477-A6E1-51CE7F508FA0}" name="temp_google_sheet45" type="6" refreshedVersion="8" background="1" saveData="1">
    <textPr prompt="0" sourceFile="C:\ashish\Backup\Desktop\Other\ITTF\TournamentSoftware\DrawSoftware\DilliLabsTournamentSoftware\temp_google_sheet.csv" comma="1">
      <textFields>
        <textField/>
      </textFields>
    </textPr>
  </connection>
  <connection id="607" xr16:uid="{10FFDFAE-D26F-48EB-AF2E-3EC90011C2FC}" name="temp_google_sheet46" type="6" refreshedVersion="8" background="1" saveData="1">
    <textPr prompt="0" sourceFile="C:\ashish\Backup\Desktop\Other\ITTF\TournamentSoftware\DrawSoftware\DilliLabsTournamentSoftware\temp_google_sheet.csv" comma="1">
      <textFields>
        <textField/>
      </textFields>
    </textPr>
  </connection>
  <connection id="608" xr16:uid="{1D27A042-A000-4FC9-B266-C790E8A8D292}" name="temp_google_sheet461" type="6" refreshedVersion="8" background="1" saveData="1">
    <textPr prompt="0" sourceFile="C:\ashish\Backup\Desktop\Other\ITTF\TournamentSoftware\DrawSoftware\DilliLabsTournamentSoftware\temp_google_sheet.csv" comma="1">
      <textFields>
        <textField/>
      </textFields>
    </textPr>
  </connection>
  <connection id="609" xr16:uid="{1A5BCA04-D11B-46A6-89DA-595E9CC2B629}" name="temp_google_sheet466" type="6" refreshedVersion="8" background="1" saveData="1">
    <textPr prompt="0" sourceFile="C:\ashish\Backup\Desktop\Other\ITTF\TournamentSoftware\DrawSoftware\DilliLabsTournamentSoftware\temp_google_sheet.csv" comma="1">
      <textFields>
        <textField/>
      </textFields>
    </textPr>
  </connection>
  <connection id="610" xr16:uid="{C89E5404-17CC-4804-B1CE-17F195A12EDE}" name="temp_google_sheet4661" type="6" refreshedVersion="8" background="1" saveData="1">
    <textPr prompt="0" sourceFile="C:\ashish\Backup\Desktop\Other\ITTF\TournamentSoftware\DrawSoftware\DilliLabsTournamentSoftware\temp_google_sheet.csv" comma="1">
      <textFields>
        <textField/>
      </textFields>
    </textPr>
  </connection>
  <connection id="611" xr16:uid="{8B845B53-14BA-4248-A391-A8FDF96D7C63}" name="temp_google_sheet467" type="6" refreshedVersion="8" background="1" saveData="1">
    <textPr prompt="0" sourceFile="C:\ashish\Backup\Desktop\Other\ITTF\TournamentSoftware\DrawSoftware\DilliLabsTournamentSoftware\temp_google_sheet.csv" comma="1">
      <textFields>
        <textField/>
      </textFields>
    </textPr>
  </connection>
  <connection id="612" xr16:uid="{7FD8C613-B1BF-4BA4-B200-142E953054BA}" name="temp_google_sheet4671" type="6" refreshedVersion="8" background="1" saveData="1">
    <textPr prompt="0" sourceFile="C:\ashish\Backup\Desktop\Other\ITTF\TournamentSoftware\DrawSoftware\DilliLabsTournamentSoftware\temp_google_sheet.csv" comma="1">
      <textFields>
        <textField/>
      </textFields>
    </textPr>
  </connection>
  <connection id="613" xr16:uid="{D287CE43-F4C1-4141-A78C-92CFE9EB93A3}" name="temp_google_sheet468" type="6" refreshedVersion="8" background="1" saveData="1">
    <textPr prompt="0" sourceFile="C:\ashish\Backup\Desktop\Other\ITTF\TournamentSoftware\DrawSoftware\DilliLabsTournamentSoftware\temp_google_sheet.csv" comma="1">
      <textFields>
        <textField/>
      </textFields>
    </textPr>
  </connection>
  <connection id="614" xr16:uid="{54FF79BB-97CC-429E-A1EA-59A22FB1BA9E}" name="temp_google_sheet4681" type="6" refreshedVersion="8" background="1" saveData="1">
    <textPr prompt="0" sourceFile="C:\ashish\Backup\Desktop\Other\ITTF\TournamentSoftware\DrawSoftware\DilliLabsTournamentSoftware\temp_google_sheet.csv" comma="1">
      <textFields>
        <textField/>
      </textFields>
    </textPr>
  </connection>
  <connection id="615" xr16:uid="{3F623F1B-F0D0-4413-9534-53AE789890FD}" name="temp_google_sheet47" type="6" refreshedVersion="8" background="1" saveData="1">
    <textPr prompt="0" sourceFile="C:\ashish\Backup\Desktop\Other\ITTF\TournamentSoftware\DrawSoftware\DilliLabsTournamentSoftware\temp_google_sheet.csv" comma="1">
      <textFields>
        <textField/>
      </textFields>
    </textPr>
  </connection>
  <connection id="616" xr16:uid="{2E78FD1F-F9B6-41BC-9AB7-B21F1F2C73FC}" name="temp_google_sheet471" type="6" refreshedVersion="8" background="1" saveData="1">
    <textPr prompt="0" sourceFile="C:\ashish\Backup\Desktop\Other\ITTF\TournamentSoftware\DrawSoftware\DilliLabsTournamentSoftware\temp_google_sheet.csv" comma="1">
      <textFields>
        <textField/>
      </textFields>
    </textPr>
  </connection>
  <connection id="617" xr16:uid="{D13A2569-4391-446B-A56B-E47173310DE8}" name="temp_google_sheet48" type="6" refreshedVersion="8" background="1" saveData="1">
    <textPr prompt="0" sourceFile="C:\ashish\Backup\Desktop\Other\ITTF\TournamentSoftware\DrawSoftware\DilliLabsTournamentSoftware\temp_google_sheet.csv" comma="1">
      <textFields>
        <textField/>
      </textFields>
    </textPr>
  </connection>
  <connection id="618" xr16:uid="{DF7F25F8-06B9-4F11-8386-4D4A27983314}" name="temp_google_sheet481" type="6" refreshedVersion="8" background="1" saveData="1">
    <textPr prompt="0" sourceFile="C:\ashish\Backup\Desktop\Other\ITTF\TournamentSoftware\DrawSoftware\DilliLabsTournamentSoftware\temp_google_sheet.csv" comma="1">
      <textFields>
        <textField/>
      </textFields>
    </textPr>
  </connection>
  <connection id="619" xr16:uid="{FD6AEAAC-825A-4627-A723-8F90A50DE155}" name="temp_google_sheet484" type="6" refreshedVersion="8" background="1" saveData="1">
    <textPr prompt="0" sourceFile="C:\ashish\Backup\Desktop\Other\ITTF\TournamentSoftware\DrawSoftware\DilliLabsTournamentSoftware\temp_google_sheet.csv" comma="1">
      <textFields>
        <textField/>
      </textFields>
    </textPr>
  </connection>
  <connection id="620" xr16:uid="{0A259397-CE26-4955-9BCF-F3D03397A550}" name="temp_google_sheet4841" type="6" refreshedVersion="8" background="1" saveData="1">
    <textPr prompt="0" sourceFile="C:\ashish\Backup\Desktop\Other\ITTF\TournamentSoftware\DrawSoftware\DilliLabsTournamentSoftware\temp_google_sheet.csv" comma="1">
      <textFields>
        <textField/>
      </textFields>
    </textPr>
  </connection>
  <connection id="621" xr16:uid="{14084A73-C8B5-4A48-A60C-38E8D6D3A8C8}" name="temp_google_sheet485" type="6" refreshedVersion="8" background="1" saveData="1">
    <textPr prompt="0" sourceFile="C:\ashish\Backup\Desktop\Other\ITTF\TournamentSoftware\DrawSoftware\DilliLabsTournamentSoftware\temp_google_sheet.csv" comma="1">
      <textFields>
        <textField/>
      </textFields>
    </textPr>
  </connection>
  <connection id="622" xr16:uid="{8D8CD430-66C7-463F-BE1B-ECE7944A0D0D}" name="temp_google_sheet4851" type="6" refreshedVersion="8" background="1" saveData="1">
    <textPr prompt="0" sourceFile="C:\ashish\Backup\Desktop\Other\ITTF\TournamentSoftware\DrawSoftware\DilliLabsTournamentSoftware\temp_google_sheet.csv" comma="1">
      <textFields>
        <textField/>
      </textFields>
    </textPr>
  </connection>
  <connection id="623" xr16:uid="{2DB613F4-A8EC-45AC-9E2C-C0F737341578}" name="temp_google_sheet486" type="6" refreshedVersion="8" background="1" saveData="1">
    <textPr prompt="0" sourceFile="C:\ashish\Backup\Desktop\Other\ITTF\TournamentSoftware\DrawSoftware\DilliLabsTournamentSoftware\temp_google_sheet.csv" comma="1">
      <textFields>
        <textField/>
      </textFields>
    </textPr>
  </connection>
  <connection id="624" xr16:uid="{D539AB33-7F2E-4FB3-88F5-CA76BD478431}" name="temp_google_sheet4861" type="6" refreshedVersion="8" background="1" saveData="1">
    <textPr prompt="0" sourceFile="C:\ashish\Backup\Desktop\Other\ITTF\TournamentSoftware\DrawSoftware\DilliLabsTournamentSoftware\temp_google_sheet.csv" comma="1">
      <textFields>
        <textField/>
      </textFields>
    </textPr>
  </connection>
  <connection id="625" xr16:uid="{00FB8A02-4176-4DAB-8B6B-A88CEA73CD4A}" name="temp_google_sheet49" type="6" refreshedVersion="8" background="1" saveData="1">
    <textPr prompt="0" sourceFile="C:\ashish\Backup\Desktop\Other\ITTF\TournamentSoftware\DrawSoftware\DilliLabsTournamentSoftware\temp_google_sheet.csv" comma="1">
      <textFields>
        <textField/>
      </textFields>
    </textPr>
  </connection>
  <connection id="626" xr16:uid="{6EE8C974-28B3-490C-A1AA-40177C9DC810}" name="temp_google_sheet5" type="6" refreshedVersion="8" background="1" saveData="1">
    <textPr prompt="0" sourceFile="C:\ashish\Backup\Desktop\Other\ITTF\TournamentSoftware\DrawSoftware\DilliLabsTournamentSoftware\temp_google_sheet.csv" comma="1">
      <textFields>
        <textField/>
      </textFields>
    </textPr>
  </connection>
  <connection id="627" xr16:uid="{A281E226-1812-40E5-93AF-83A0B6666844}" name="temp_google_sheet50" type="6" refreshedVersion="8" background="1" saveData="1">
    <textPr prompt="0" sourceFile="C:\ashish\Backup\Desktop\Other\ITTF\TournamentSoftware\DrawSoftware\DilliLabsTournamentSoftware\temp_google_sheet.csv" comma="1">
      <textFields>
        <textField/>
      </textFields>
    </textPr>
  </connection>
  <connection id="628" xr16:uid="{A71A7BB3-B7CC-4E03-AE44-FD3990328712}" name="temp_google_sheet504" type="6" refreshedVersion="8" background="1" saveData="1">
    <textPr prompt="0" sourceFile="C:\ashish\Backup\Desktop\Other\ITTF\TournamentSoftware\DrawSoftware\DilliLabsTournamentSoftware\temp_google_sheet.csv" comma="1">
      <textFields>
        <textField/>
      </textFields>
    </textPr>
  </connection>
  <connection id="629" xr16:uid="{BF1FA58F-F133-4973-A05D-C29F4054D974}" name="temp_google_sheet5041" type="6" refreshedVersion="8" background="1" saveData="1">
    <textPr prompt="0" sourceFile="C:\ashish\Backup\Desktop\Other\ITTF\TournamentSoftware\DrawSoftware\DilliLabsTournamentSoftware\temp_google_sheet.csv" comma="1">
      <textFields>
        <textField/>
      </textFields>
    </textPr>
  </connection>
  <connection id="630" xr16:uid="{09D62A03-A6B9-4510-BE45-03A3A04F411E}" name="temp_google_sheet505" type="6" refreshedVersion="8" background="1" saveData="1">
    <textPr prompt="0" sourceFile="C:\ashish\Backup\Desktop\Other\ITTF\TournamentSoftware\DrawSoftware\DilliLabsTournamentSoftware\temp_google_sheet.csv" comma="1">
      <textFields>
        <textField/>
      </textFields>
    </textPr>
  </connection>
  <connection id="631" xr16:uid="{1A010963-6D91-4A63-9D9A-6D3163BE13C4}" name="temp_google_sheet5051" type="6" refreshedVersion="8" background="1" saveData="1">
    <textPr prompt="0" sourceFile="C:\ashish\Backup\Desktop\Other\ITTF\TournamentSoftware\DrawSoftware\DilliLabsTournamentSoftware\temp_google_sheet.csv" comma="1">
      <textFields>
        <textField/>
      </textFields>
    </textPr>
  </connection>
  <connection id="632" xr16:uid="{07816919-47C8-49E9-9013-380400ADBA88}" name="temp_google_sheet506" type="6" refreshedVersion="8" background="1" saveData="1">
    <textPr prompt="0" sourceFile="C:\ashish\Backup\Desktop\Other\ITTF\TournamentSoftware\DrawSoftware\DilliLabsTournamentSoftware\temp_google_sheet.csv" comma="1">
      <textFields>
        <textField/>
      </textFields>
    </textPr>
  </connection>
  <connection id="633" xr16:uid="{40642D71-C0E3-4C2E-922E-39E3B4D3438A}" name="temp_google_sheet5061" type="6" refreshedVersion="8" background="1" saveData="1">
    <textPr prompt="0" sourceFile="C:\ashish\Backup\Desktop\Other\ITTF\TournamentSoftware\DrawSoftware\DilliLabsTournamentSoftware\temp_google_sheet.csv" comma="1">
      <textFields>
        <textField/>
      </textFields>
    </textPr>
  </connection>
  <connection id="634" xr16:uid="{8EEDC8C4-D1D4-4B7A-9A5D-69DB38CA7FC9}" name="temp_google_sheet51" type="6" refreshedVersion="8" background="1" saveData="1">
    <textPr prompt="0" sourceFile="C:\ashish\Backup\Desktop\Other\ITTF\TournamentSoftware\DrawSoftware\DilliLabsTournamentSoftware\temp_google_sheet.csv" comma="1">
      <textFields>
        <textField/>
      </textFields>
    </textPr>
  </connection>
  <connection id="635" xr16:uid="{43CDA202-99E9-4CF2-BB0D-D11E4B9C43E4}" name="temp_google_sheet510" type="6" refreshedVersion="8" background="1" saveData="1">
    <textPr prompt="0" sourceFile="C:\ashish\Backup\Desktop\Other\ITTF\TournamentSoftware\DrawSoftware\DilliLabsTournamentSoftware\temp_google_sheet.csv" comma="1">
      <textFields>
        <textField/>
      </textFields>
    </textPr>
  </connection>
  <connection id="636" xr16:uid="{24AC2FD8-1D55-45A6-99D6-97C8F0800F93}" name="temp_google_sheet5101" type="6" refreshedVersion="8" background="1" saveData="1">
    <textPr prompt="0" sourceFile="C:\ashish\Backup\Desktop\Other\ITTF\TournamentSoftware\DrawSoftware\DilliLabsTournamentSoftware\temp_google_sheet.csv" comma="1">
      <textFields>
        <textField/>
      </textFields>
    </textPr>
  </connection>
  <connection id="637" xr16:uid="{9354CCBE-81AC-4D21-941B-8700CC491062}" name="temp_google_sheet511" type="6" refreshedVersion="8" background="1" saveData="1">
    <textPr prompt="0" sourceFile="C:\ashish\Backup\Desktop\Other\ITTF\TournamentSoftware\DrawSoftware\DilliLabsTournamentSoftware\temp_google_sheet.csv" comma="1">
      <textFields>
        <textField/>
      </textFields>
    </textPr>
  </connection>
  <connection id="638" xr16:uid="{25439B04-DB95-4B5E-8A04-365F3514FFE2}" name="temp_google_sheet5110" type="6" refreshedVersion="8" background="1" saveData="1">
    <textPr prompt="0" sourceFile="C:\ashish\Backup\Desktop\Other\ITTF\TournamentSoftware\DrawSoftware\DilliLabsTournamentSoftware\temp_google_sheet.csv" comma="1">
      <textFields>
        <textField/>
      </textFields>
    </textPr>
  </connection>
  <connection id="639" xr16:uid="{D06FA4DB-B385-4FE4-9111-2106AB366C63}" name="temp_google_sheet51101" type="6" refreshedVersion="8" background="1" saveData="1">
    <textPr prompt="0" sourceFile="C:\ashish\Backup\Desktop\Other\ITTF\TournamentSoftware\DrawSoftware\DilliLabsTournamentSoftware\temp_google_sheet.csv" comma="1">
      <textFields>
        <textField/>
      </textFields>
    </textPr>
  </connection>
  <connection id="640" xr16:uid="{57A97E91-2529-42F7-8E25-10E2E2BA4703}" name="temp_google_sheet5111" type="6" refreshedVersion="8" background="1" saveData="1">
    <textPr prompt="0" sourceFile="C:\ashish\Backup\Desktop\Other\ITTF\TournamentSoftware\DrawSoftware\DilliLabsTournamentSoftware\temp_google_sheet.csv" comma="1">
      <textFields>
        <textField/>
      </textFields>
    </textPr>
  </connection>
  <connection id="641" xr16:uid="{91805847-5228-48E8-88BE-1B060AB3F2F1}" name="temp_google_sheet51111" type="6" refreshedVersion="8" background="1" saveData="1">
    <textPr prompt="0" sourceFile="C:\ashish\Backup\Desktop\Other\ITTF\TournamentSoftware\DrawSoftware\DilliLabsTournamentSoftware\temp_google_sheet.csv" comma="1">
      <textFields>
        <textField/>
      </textFields>
    </textPr>
  </connection>
  <connection id="642" xr16:uid="{2ED1F488-D6C3-4ACA-9414-A15DD2350685}" name="temp_google_sheet5112" type="6" refreshedVersion="8" background="1" saveData="1">
    <textPr prompt="0" sourceFile="C:\ashish\Backup\Desktop\Other\ITTF\TournamentSoftware\DrawSoftware\DilliLabsTournamentSoftware\temp_google_sheet.csv" comma="1">
      <textFields>
        <textField/>
      </textFields>
    </textPr>
  </connection>
  <connection id="643" xr16:uid="{4D050663-72D9-44C3-92DE-7003E3DD9CD2}" name="temp_google_sheet5113" type="6" refreshedVersion="8" background="1" saveData="1">
    <textPr prompt="0" sourceFile="C:\ashish\Backup\Desktop\Other\ITTF\TournamentSoftware\DrawSoftware\DilliLabsTournamentSoftware\temp_google_sheet.csv" comma="1">
      <textFields>
        <textField/>
      </textFields>
    </textPr>
  </connection>
  <connection id="644" xr16:uid="{93F3A17E-530F-45A3-88F9-E29AE6F97D12}" name="temp_google_sheet512" type="6" refreshedVersion="8" background="1" saveData="1">
    <textPr prompt="0" sourceFile="C:\ashish\Backup\Desktop\Other\ITTF\TournamentSoftware\DrawSoftware\DilliLabsTournamentSoftware\temp_google_sheet.csv" comma="1">
      <textFields>
        <textField/>
      </textFields>
    </textPr>
  </connection>
  <connection id="645" xr16:uid="{5BBE7F60-CDC2-4359-BD0F-7A6765E7D0B9}" name="temp_google_sheet5121" type="6" refreshedVersion="8" background="1" saveData="1">
    <textPr prompt="0" sourceFile="C:\ashish\Backup\Desktop\Other\ITTF\TournamentSoftware\DrawSoftware\DilliLabsTournamentSoftware\temp_google_sheet.csv" comma="1">
      <textFields>
        <textField/>
      </textFields>
    </textPr>
  </connection>
  <connection id="646" xr16:uid="{BC5C54A5-0A1E-43FE-89B9-B8E537A1DA2B}" name="temp_google_sheet513" type="6" refreshedVersion="8" background="1" saveData="1">
    <textPr prompt="0" sourceFile="C:\ashish\Backup\Desktop\Other\ITTF\TournamentSoftware\DrawSoftware\DilliLabsTournamentSoftware\temp_google_sheet.csv" comma="1">
      <textFields>
        <textField/>
      </textFields>
    </textPr>
  </connection>
  <connection id="647" xr16:uid="{A2BB7FA7-A11D-4F10-BE90-8F26F7B362B8}" name="temp_google_sheet5131" type="6" refreshedVersion="8" background="1" saveData="1">
    <textPr prompt="0" sourceFile="C:\ashish\Backup\Desktop\Other\ITTF\TournamentSoftware\DrawSoftware\DilliLabsTournamentSoftware\temp_google_sheet.csv" comma="1">
      <textFields>
        <textField/>
      </textFields>
    </textPr>
  </connection>
  <connection id="648" xr16:uid="{2D48B781-5BE2-4A7B-B12D-10DDB7D567FB}" name="temp_google_sheet514" type="6" refreshedVersion="8" background="1" saveData="1">
    <textPr prompt="0" sourceFile="C:\ashish\Backup\Desktop\Other\ITTF\TournamentSoftware\DrawSoftware\DilliLabsTournamentSoftware\temp_google_sheet.csv" comma="1">
      <textFields>
        <textField/>
      </textFields>
    </textPr>
  </connection>
  <connection id="649" xr16:uid="{024570EC-C6A2-4509-86A0-DDD7AB850518}" name="temp_google_sheet5141" type="6" refreshedVersion="8" background="1" saveData="1">
    <textPr prompt="0" sourceFile="C:\ashish\Backup\Desktop\Other\ITTF\TournamentSoftware\DrawSoftware\DilliLabsTournamentSoftware\temp_google_sheet.csv" comma="1">
      <textFields>
        <textField/>
      </textFields>
    </textPr>
  </connection>
  <connection id="650" xr16:uid="{5872B05C-9E82-44C3-99A6-6E2D91CEDB1F}" name="temp_google_sheet515" type="6" refreshedVersion="8" background="1" saveData="1">
    <textPr prompt="0" sourceFile="C:\ashish\Backup\Desktop\Other\ITTF\TournamentSoftware\DrawSoftware\DilliLabsTournamentSoftware\temp_google_sheet.csv" comma="1">
      <textFields>
        <textField/>
      </textFields>
    </textPr>
  </connection>
  <connection id="651" xr16:uid="{EAB411E8-D70C-4626-9803-F14AA8E7E0BE}" name="temp_google_sheet5151" type="6" refreshedVersion="8" background="1" saveData="1">
    <textPr prompt="0" sourceFile="C:\ashish\Backup\Desktop\Other\ITTF\TournamentSoftware\DrawSoftware\DilliLabsTournamentSoftware\temp_google_sheet.csv" comma="1">
      <textFields>
        <textField/>
      </textFields>
    </textPr>
  </connection>
  <connection id="652" xr16:uid="{A45CF45E-2101-43CD-A5C5-D2B6ED257143}" name="temp_google_sheet516" type="6" refreshedVersion="8" background="1" saveData="1">
    <textPr prompt="0" sourceFile="C:\ashish\Backup\Desktop\Other\ITTF\TournamentSoftware\DrawSoftware\DilliLabsTournamentSoftware\temp_google_sheet.csv" comma="1">
      <textFields>
        <textField/>
      </textFields>
    </textPr>
  </connection>
  <connection id="653" xr16:uid="{82C99E7E-D034-4474-A6BE-BDF3B1568940}" name="temp_google_sheet5161" type="6" refreshedVersion="8" background="1" saveData="1">
    <textPr prompt="0" sourceFile="C:\ashish\Backup\Desktop\Other\ITTF\TournamentSoftware\DrawSoftware\DilliLabsTournamentSoftware\temp_google_sheet.csv" comma="1">
      <textFields>
        <textField/>
      </textFields>
    </textPr>
  </connection>
  <connection id="654" xr16:uid="{7A31B494-5D69-4545-B4D1-EB13BBB93F91}" name="temp_google_sheet517" type="6" refreshedVersion="8" background="1" saveData="1">
    <textPr prompt="0" sourceFile="C:\ashish\Backup\Desktop\Other\ITTF\TournamentSoftware\DrawSoftware\DilliLabsTournamentSoftware\temp_google_sheet.csv" comma="1">
      <textFields>
        <textField/>
      </textFields>
    </textPr>
  </connection>
  <connection id="655" xr16:uid="{73D7B935-EEA1-48F0-91DD-5047ADBA828A}" name="temp_google_sheet5171" type="6" refreshedVersion="8" background="1" saveData="1">
    <textPr prompt="0" sourceFile="C:\ashish\Backup\Desktop\Other\ITTF\TournamentSoftware\DrawSoftware\DilliLabsTournamentSoftware\temp_google_sheet.csv" comma="1">
      <textFields>
        <textField/>
      </textFields>
    </textPr>
  </connection>
  <connection id="656" xr16:uid="{F16129EC-4373-48FA-8D97-B3DBC71C429E}" name="temp_google_sheet518" type="6" refreshedVersion="8" background="1" saveData="1">
    <textPr prompt="0" sourceFile="C:\ashish\Backup\Desktop\Other\ITTF\TournamentSoftware\DrawSoftware\DilliLabsTournamentSoftware\temp_google_sheet.csv" comma="1">
      <textFields>
        <textField/>
      </textFields>
    </textPr>
  </connection>
  <connection id="657" xr16:uid="{437C1038-94F8-4045-BE0B-AD9549DDAF43}" name="temp_google_sheet5181" type="6" refreshedVersion="8" background="1" saveData="1">
    <textPr prompt="0" sourceFile="C:\ashish\Backup\Desktop\Other\ITTF\TournamentSoftware\DrawSoftware\DilliLabsTournamentSoftware\temp_google_sheet.csv" comma="1">
      <textFields>
        <textField/>
      </textFields>
    </textPr>
  </connection>
  <connection id="658" xr16:uid="{81A7B696-0D11-477E-9F4A-F632C3A31891}" name="temp_google_sheet519" type="6" refreshedVersion="8" background="1" saveData="1">
    <textPr prompt="0" sourceFile="C:\ashish\Backup\Desktop\Other\ITTF\TournamentSoftware\DrawSoftware\DilliLabsTournamentSoftware\temp_google_sheet.csv" comma="1">
      <textFields>
        <textField/>
      </textFields>
    </textPr>
  </connection>
  <connection id="659" xr16:uid="{22BF37DA-9C45-41E4-9436-C0CCE6AD4446}" name="temp_google_sheet5191" type="6" refreshedVersion="8" background="1" saveData="1">
    <textPr prompt="0" sourceFile="C:\ashish\Backup\Desktop\Other\ITTF\TournamentSoftware\DrawSoftware\DilliLabsTournamentSoftware\temp_google_sheet.csv" comma="1">
      <textFields>
        <textField/>
      </textFields>
    </textPr>
  </connection>
  <connection id="660" xr16:uid="{D6F39FB1-43F0-4139-84DE-756CA573A96C}" name="temp_google_sheet52" type="6" refreshedVersion="8" background="1" saveData="1">
    <textPr prompt="0" sourceFile="C:\ashish\Backup\Desktop\Delhi State Championship\temp_google_sheet.csv" comma="1">
      <textFields>
        <textField/>
      </textFields>
    </textPr>
  </connection>
  <connection id="661" xr16:uid="{CBB8883B-AFE9-4BFC-A958-55623ADA0AF5}" name="temp_google_sheet53" type="6" refreshedVersion="8" background="1" saveData="1">
    <textPr prompt="0" sourceFile="C:\ashish\Backup\Desktop\Delhi State Championship\temp_google_sheet.csv" comma="1">
      <textFields>
        <textField/>
      </textFields>
    </textPr>
  </connection>
  <connection id="662" xr16:uid="{0DF62C14-C791-4D7D-A790-DFCD2FAD2494}" name="temp_google_sheet54" type="6" refreshedVersion="8" background="1" saveData="1">
    <textPr prompt="0" sourceFile="C:\ashish\Backup\Desktop\Other\ITTF\TournamentSoftware\DrawSoftware\DilliLabsTournamentSoftware\temp_google_sheet.csv" comma="1">
      <textFields>
        <textField/>
      </textFields>
    </textPr>
  </connection>
  <connection id="663" xr16:uid="{E11F9112-A75F-42BD-9C4F-1BE500207465}" name="temp_google_sheet55" type="6" refreshedVersion="8" background="1" saveData="1">
    <textPr prompt="0" sourceFile="C:\ashish\Backup\Desktop\Delhi State Championship\temp_google_sheet.csv" comma="1">
      <textFields>
        <textField/>
      </textFields>
    </textPr>
  </connection>
  <connection id="664" xr16:uid="{2ACF9CF5-B801-4E07-B5B4-9AF589E42049}" name="temp_google_sheet551" type="6" refreshedVersion="8" background="1" saveData="1">
    <textPr prompt="0" sourceFile="C:\ashish\Backup\Desktop\Delhi State Championship\temp_google_sheet.csv" comma="1">
      <textFields>
        <textField/>
      </textFields>
    </textPr>
  </connection>
  <connection id="665" xr16:uid="{F06B3060-F633-43D3-B912-D4687BD36C7A}" name="temp_google_sheet5510" type="6" refreshedVersion="8" background="1" saveData="1">
    <textPr prompt="0" sourceFile="C:\ashish\Backup\Desktop\Other\ITTF\TournamentSoftware\DrawSoftware\DilliLabsTournamentSoftware\temp_google_sheet.csv" comma="1">
      <textFields>
        <textField/>
      </textFields>
    </textPr>
  </connection>
  <connection id="666" xr16:uid="{C2A8FF58-42AE-4E39-B3C6-C41DA32ADC86}" name="temp_google_sheet55101" type="6" refreshedVersion="8" background="1" saveData="1">
    <textPr prompt="0" sourceFile="C:\ashish\Backup\Desktop\Other\ITTF\TournamentSoftware\DrawSoftware\DilliLabsTournamentSoftware\temp_google_sheet.csv" comma="1">
      <textFields>
        <textField/>
      </textFields>
    </textPr>
  </connection>
  <connection id="667" xr16:uid="{03793E3B-05E5-4AAF-9090-55226F5A6062}" name="temp_google_sheet5511" type="6" refreshedVersion="8" background="1" saveData="1">
    <textPr prompt="0" sourceFile="C:\ashish\Backup\Desktop\Other\ITTF\TournamentSoftware\DrawSoftware\DilliLabsTournamentSoftware\temp_google_sheet.csv" comma="1">
      <textFields>
        <textField/>
      </textFields>
    </textPr>
  </connection>
  <connection id="668" xr16:uid="{F193F9D9-4320-461D-9040-39C3D183A1B1}" name="temp_google_sheet55111" type="6" refreshedVersion="8" background="1" saveData="1">
    <textPr prompt="0" sourceFile="C:\ashish\Backup\Desktop\Other\ITTF\TournamentSoftware\DrawSoftware\DilliLabsTournamentSoftware\temp_google_sheet.csv" comma="1">
      <textFields>
        <textField/>
      </textFields>
    </textPr>
  </connection>
  <connection id="669" xr16:uid="{1FA848A3-E0D7-4051-85C1-1E2A31FAA0AB}" name="temp_google_sheet5512" type="6" refreshedVersion="8" background="1" saveData="1">
    <textPr prompt="0" sourceFile="C:\ashish\Backup\Desktop\Other\ITTF\TournamentSoftware\DrawSoftware\DilliLabsTournamentSoftware\temp_google_sheet.csv" comma="1">
      <textFields>
        <textField/>
      </textFields>
    </textPr>
  </connection>
  <connection id="670" xr16:uid="{61B78576-0591-45F3-A2DC-6FDD5727FE6A}" name="temp_google_sheet55121" type="6" refreshedVersion="8" background="1" saveData="1">
    <textPr prompt="0" sourceFile="C:\ashish\Backup\Desktop\Other\ITTF\TournamentSoftware\DrawSoftware\DilliLabsTournamentSoftware\temp_google_sheet.csv" comma="1">
      <textFields>
        <textField/>
      </textFields>
    </textPr>
  </connection>
  <connection id="671" xr16:uid="{C74CE76D-0195-49D0-AE51-C4045D852B42}" name="temp_google_sheet5513" type="6" refreshedVersion="8" background="1" saveData="1">
    <textPr prompt="0" sourceFile="C:\ashish\Backup\Desktop\Delhi State Championship\temp_google_sheet.csv" comma="1">
      <textFields>
        <textField/>
      </textFields>
    </textPr>
  </connection>
  <connection id="672" xr16:uid="{42D04046-9954-4EAC-961D-005AD626220E}" name="temp_google_sheet5514" type="6" refreshedVersion="8" background="1" saveData="1">
    <textPr prompt="0" sourceFile="C:\ashish\Backup\Desktop\Delhi State Championship\temp_google_sheet.csv" comma="1">
      <textFields>
        <textField/>
      </textFields>
    </textPr>
  </connection>
  <connection id="673" xr16:uid="{1E2C4B73-5BE6-4051-B4E4-4713996F7CDB}" name="temp_google_sheet552" type="6" refreshedVersion="8" background="1" saveData="1">
    <textPr prompt="0" sourceFile="C:\ashish\Backup\Desktop\Delhi State Championship\temp_google_sheet.csv" comma="1">
      <textFields>
        <textField/>
      </textFields>
    </textPr>
  </connection>
  <connection id="674" xr16:uid="{2F132FB8-0216-4D2E-B77F-C0E194AD1354}" name="temp_google_sheet5521" type="6" refreshedVersion="8" background="1" saveData="1">
    <textPr prompt="0" sourceFile="C:\ashish\Backup\Desktop\Delhi State Championship\temp_google_sheet.csv" comma="1">
      <textFields>
        <textField/>
      </textFields>
    </textPr>
  </connection>
  <connection id="675" xr16:uid="{E6A7439D-A1F2-40E8-836D-D63E22A7F091}" name="temp_google_sheet553" type="6" refreshedVersion="8" background="1" saveData="1">
    <textPr prompt="0" sourceFile="C:\ashish\Backup\Desktop\Delhi State Championship\temp_google_sheet.csv" comma="1">
      <textFields>
        <textField/>
      </textFields>
    </textPr>
  </connection>
  <connection id="676" xr16:uid="{9D35B16F-5DE2-44CD-86C4-8B4BC2B7AAF7}" name="temp_google_sheet5531" type="6" refreshedVersion="8" background="1" saveData="1">
    <textPr prompt="0" sourceFile="C:\ashish\Backup\Desktop\Delhi State Championship\temp_google_sheet.csv" comma="1">
      <textFields>
        <textField/>
      </textFields>
    </textPr>
  </connection>
  <connection id="677" xr16:uid="{973BE8B6-9B74-4A3D-A53A-3B67DFE2B294}" name="temp_google_sheet554" type="6" refreshedVersion="8" background="1" saveData="1">
    <textPr prompt="0" sourceFile="C:\ashish\Backup\Desktop\Delhi State Championship\temp_google_sheet.csv" comma="1">
      <textFields>
        <textField/>
      </textFields>
    </textPr>
  </connection>
  <connection id="678" xr16:uid="{3E253A6E-6222-4672-9568-11078FBBBE4C}" name="temp_google_sheet5541" type="6" refreshedVersion="8" background="1" saveData="1">
    <textPr prompt="0" sourceFile="C:\ashish\Backup\Desktop\Delhi State Championship\temp_google_sheet.csv" comma="1">
      <textFields>
        <textField/>
      </textFields>
    </textPr>
  </connection>
  <connection id="679" xr16:uid="{27E5E802-7798-4F89-A062-4222DF4F5E22}" name="temp_google_sheet555" type="6" refreshedVersion="8" background="1" saveData="1">
    <textPr prompt="0" sourceFile="C:\ashish\Backup\Desktop\Delhi State Championship\temp_google_sheet.csv" comma="1">
      <textFields>
        <textField/>
      </textFields>
    </textPr>
  </connection>
  <connection id="680" xr16:uid="{F4618B81-F8E3-4C9C-8765-7DFD53F0BDE9}" name="temp_google_sheet5551" type="6" refreshedVersion="8" background="1" saveData="1">
    <textPr prompt="0" sourceFile="C:\ashish\Backup\Desktop\Delhi State Championship\temp_google_sheet.csv" comma="1">
      <textFields>
        <textField/>
      </textFields>
    </textPr>
  </connection>
  <connection id="681" xr16:uid="{2AA78E72-00AE-4363-A899-7E4412035BEB}" name="temp_google_sheet556" type="6" refreshedVersion="8" background="1" saveData="1">
    <textPr prompt="0" sourceFile="C:\ashish\Backup\Desktop\Delhi State Championship\temp_google_sheet.csv" comma="1">
      <textFields>
        <textField/>
      </textFields>
    </textPr>
  </connection>
  <connection id="682" xr16:uid="{4660D7F6-2CF6-4DB3-A066-88171A56F006}" name="temp_google_sheet5561" type="6" refreshedVersion="8" background="1" saveData="1">
    <textPr prompt="0" sourceFile="C:\ashish\Backup\Desktop\Delhi State Championship\temp_google_sheet.csv" comma="1">
      <textFields>
        <textField/>
      </textFields>
    </textPr>
  </connection>
  <connection id="683" xr16:uid="{C84CCBAD-1F35-4211-83B9-9164FF2BCBAE}" name="temp_google_sheet557" type="6" refreshedVersion="8" background="1" saveData="1">
    <textPr prompt="0" sourceFile="C:\ashish\Backup\Desktop\Delhi State Championship\temp_google_sheet.csv" comma="1">
      <textFields>
        <textField/>
      </textFields>
    </textPr>
  </connection>
  <connection id="684" xr16:uid="{22B484D8-C6E1-4942-AB5B-83B1E72D188D}" name="temp_google_sheet5571" type="6" refreshedVersion="8" background="1" saveData="1">
    <textPr prompt="0" sourceFile="C:\ashish\Backup\Desktop\Delhi State Championship\temp_google_sheet.csv" comma="1">
      <textFields>
        <textField/>
      </textFields>
    </textPr>
  </connection>
  <connection id="685" xr16:uid="{C11862C8-8833-4410-99AF-1F8806F54B4B}" name="temp_google_sheet558" type="6" refreshedVersion="8" background="1" saveData="1">
    <textPr prompt="0" sourceFile="C:\ashish\Backup\Desktop\Delhi State Championship\temp_google_sheet.csv" comma="1">
      <textFields>
        <textField/>
      </textFields>
    </textPr>
  </connection>
  <connection id="686" xr16:uid="{F9AA4B14-F74D-4A0D-94BA-2F51B5969182}" name="temp_google_sheet5581" type="6" refreshedVersion="8" background="1" saveData="1">
    <textPr prompt="0" sourceFile="C:\ashish\Backup\Desktop\Delhi State Championship\temp_google_sheet.csv" comma="1">
      <textFields>
        <textField/>
      </textFields>
    </textPr>
  </connection>
  <connection id="687" xr16:uid="{719D158E-74AB-403D-9FFF-E56AAC0FDF2A}" name="temp_google_sheet559" type="6" refreshedVersion="8" background="1" saveData="1">
    <textPr prompt="0" sourceFile="C:\ashish\Backup\Desktop\Delhi State Championship\temp_google_sheet.csv" comma="1">
      <textFields>
        <textField/>
      </textFields>
    </textPr>
  </connection>
  <connection id="688" xr16:uid="{A0582423-79E0-48AC-98FA-D7160F0D7043}" name="temp_google_sheet5591" type="6" refreshedVersion="8" background="1" saveData="1">
    <textPr prompt="0" sourceFile="C:\ashish\Backup\Desktop\Delhi State Championship\temp_google_sheet.csv" comma="1">
      <textFields>
        <textField/>
      </textFields>
    </textPr>
  </connection>
  <connection id="689" xr16:uid="{A4B1A01F-4CDA-4A3C-8DBF-80D394486982}" name="temp_google_sheet56" type="6" refreshedVersion="8" background="1" saveData="1">
    <textPr prompt="0" sourceFile="C:\ashish\Backup\Desktop\Other\ITTF\TournamentSoftware\DrawSoftware\DilliLabsTournamentSoftware\temp_google_sheet.csv" comma="1">
      <textFields>
        <textField/>
      </textFields>
    </textPr>
  </connection>
  <connection id="690" xr16:uid="{F7EA8EA0-A1A7-4381-A6CA-D4B1A6E1FAAA}" name="temp_google_sheet561" type="6" refreshedVersion="8" background="1" saveData="1">
    <textPr prompt="0" sourceFile="C:\ashish\Backup\Desktop\Other\ITTF\TournamentSoftware\DrawSoftware\DilliLabsTournamentSoftware\temp_google_sheet.csv" comma="1">
      <textFields>
        <textField/>
      </textFields>
    </textPr>
  </connection>
  <connection id="691" xr16:uid="{D4B27EE1-3D1A-449F-9CD6-28AAD9305A71}" name="temp_google_sheet57" type="6" refreshedVersion="8" background="1" saveData="1">
    <textPr prompt="0" sourceFile="C:\ashish\Backup\Desktop\Other\ITTF\TournamentSoftware\DrawSoftware\DilliLabsTournamentSoftware\temp_google_sheet.csv" comma="1">
      <textFields>
        <textField/>
      </textFields>
    </textPr>
  </connection>
  <connection id="692" xr16:uid="{BCE8EFDE-55A9-4003-BFC7-1198B8074BC3}" name="temp_google_sheet58" type="6" refreshedVersion="8" background="1" saveData="1">
    <textPr prompt="0" sourceFile="C:\ashish\Backup\Desktop\Other\ITTF\TournamentSoftware\DrawSoftware\DilliLabsTournamentSoftware\temp_google_sheet.csv" comma="1">
      <textFields>
        <textField/>
      </textFields>
    </textPr>
  </connection>
  <connection id="693" xr16:uid="{EE3BDC1F-C7B2-4F9F-857B-504D14FFD227}" name="temp_google_sheet59" type="6" refreshedVersion="8" background="1" saveData="1">
    <textPr prompt="0" sourceFile="C:\ashish\Backup\Desktop\Other\ITTF\TournamentSoftware\DrawSoftware\DilliLabsTournamentSoftware\temp_google_sheet.csv" comma="1">
      <textFields>
        <textField/>
      </textFields>
    </textPr>
  </connection>
  <connection id="694" xr16:uid="{6C4D8B18-71AE-44C2-866D-9AFE905AE68F}" name="temp_google_sheet6" type="6" refreshedVersion="8" background="1" saveData="1">
    <textPr prompt="0" sourceFile="C:\ashish\Backup\Desktop\Other\ITTF\TournamentSoftware\DrawSoftware\DilliLabsTournamentSoftware\temp_google_sheet.csv" comma="1">
      <textFields>
        <textField/>
      </textFields>
    </textPr>
  </connection>
  <connection id="695" xr16:uid="{6BF01F5E-59B7-4255-BE64-95F43B23CA20}" name="temp_google_sheet60" type="6" refreshedVersion="8" background="1" saveData="1">
    <textPr prompt="0" sourceFile="C:\ashish\Backup\Desktop\Delhi State Championship\temp_google_sheet.csv" comma="1">
      <textFields>
        <textField/>
      </textFields>
    </textPr>
  </connection>
  <connection id="696" xr16:uid="{378ACBFC-6D25-4DB6-9AB0-2C6EA8550FF5}" name="temp_google_sheet604" type="6" refreshedVersion="8" background="1" saveData="1">
    <textPr prompt="0" sourceFile="C:\ashish\Backup\Desktop\Other\ITTF\TournamentSoftware\DrawSoftware\DilliLabsTournamentSoftware\temp_google_sheet.csv" comma="1">
      <textFields>
        <textField/>
      </textFields>
    </textPr>
  </connection>
  <connection id="697" xr16:uid="{44BAD0A3-A9BF-4A15-A743-CB35EFAED97D}" name="temp_google_sheet6041" type="6" refreshedVersion="8" background="1" saveData="1">
    <textPr prompt="0" sourceFile="C:\ashish\Backup\Desktop\Other\ITTF\TournamentSoftware\DrawSoftware\DilliLabsTournamentSoftware\temp_google_sheet.csv" comma="1">
      <textFields>
        <textField/>
      </textFields>
    </textPr>
  </connection>
  <connection id="698" xr16:uid="{34049DA3-3424-4E2F-875C-127594481140}" name="temp_google_sheet605" type="6" refreshedVersion="8" background="1" saveData="1">
    <textPr prompt="0" sourceFile="C:\ashish\Backup\Desktop\Other\ITTF\TournamentSoftware\DrawSoftware\DilliLabsTournamentSoftware\temp_google_sheet.csv" comma="1">
      <textFields>
        <textField/>
      </textFields>
    </textPr>
  </connection>
  <connection id="699" xr16:uid="{ED92ADAC-2DDB-4B09-AA1B-C0AB5A15119E}" name="temp_google_sheet6051" type="6" refreshedVersion="8" background="1" saveData="1">
    <textPr prompt="0" sourceFile="C:\ashish\Backup\Desktop\Other\ITTF\TournamentSoftware\DrawSoftware\DilliLabsTournamentSoftware\temp_google_sheet.csv" comma="1">
      <textFields>
        <textField/>
      </textFields>
    </textPr>
  </connection>
  <connection id="700" xr16:uid="{712643E4-2394-4119-B781-72584050ECDC}" name="temp_google_sheet606" type="6" refreshedVersion="8" background="1" saveData="1">
    <textPr prompt="0" sourceFile="C:\ashish\Backup\Desktop\Other\ITTF\TournamentSoftware\DrawSoftware\DilliLabsTournamentSoftware\temp_google_sheet.csv" comma="1">
      <textFields>
        <textField/>
      </textFields>
    </textPr>
  </connection>
  <connection id="701" xr16:uid="{6384955D-DAE0-437E-B1F0-9D559DA1CC72}" name="temp_google_sheet6061" type="6" refreshedVersion="8" background="1" saveData="1">
    <textPr prompt="0" sourceFile="C:\ashish\Backup\Desktop\Other\ITTF\TournamentSoftware\DrawSoftware\DilliLabsTournamentSoftware\temp_google_sheet.csv" comma="1">
      <textFields>
        <textField/>
      </textFields>
    </textPr>
  </connection>
  <connection id="702" xr16:uid="{0483E5EB-D5BA-44E6-81FF-4913B0F07EB8}" name="temp_google_sheet61" type="6" refreshedVersion="8" background="1" saveData="1">
    <textPr prompt="0" sourceFile="C:\ashish\Backup\Desktop\Delhi State Championship\temp_google_sheet.csv" comma="1">
      <textFields>
        <textField/>
      </textFields>
    </textPr>
  </connection>
  <connection id="703" xr16:uid="{05745997-A958-4316-806B-A171CC14FD4D}" name="temp_google_sheet614" type="6" refreshedVersion="8" background="1" saveData="1">
    <textPr prompt="0" sourceFile="C:\ashish\Backup\Desktop\Other\ITTF\TournamentSoftware\DrawSoftware\DilliLabsTournamentSoftware\temp_google_sheet.csv" comma="1">
      <textFields>
        <textField/>
      </textFields>
    </textPr>
  </connection>
  <connection id="704" xr16:uid="{336FF5EA-478C-4F95-9A7C-296F8EE39A45}" name="temp_google_sheet6141" type="6" refreshedVersion="8" background="1" saveData="1">
    <textPr prompt="0" sourceFile="C:\ashish\Backup\Desktop\Other\ITTF\TournamentSoftware\DrawSoftware\DilliLabsTournamentSoftware\temp_google_sheet.csv" comma="1">
      <textFields>
        <textField/>
      </textFields>
    </textPr>
  </connection>
  <connection id="705" xr16:uid="{E1F15211-1EE2-407B-8717-A4E3BF31D799}" name="temp_google_sheet615" type="6" refreshedVersion="8" background="1" saveData="1">
    <textPr prompt="0" sourceFile="C:\ashish\Backup\Desktop\Other\ITTF\TournamentSoftware\DrawSoftware\DilliLabsTournamentSoftware\temp_google_sheet.csv" comma="1">
      <textFields>
        <textField/>
      </textFields>
    </textPr>
  </connection>
  <connection id="706" xr16:uid="{7C44C9B5-8E2F-45D3-805C-C47BBAEF98E2}" name="temp_google_sheet6151" type="6" refreshedVersion="8" background="1" saveData="1">
    <textPr prompt="0" sourceFile="C:\ashish\Backup\Desktop\Other\ITTF\TournamentSoftware\DrawSoftware\DilliLabsTournamentSoftware\temp_google_sheet.csv" comma="1">
      <textFields>
        <textField/>
      </textFields>
    </textPr>
  </connection>
  <connection id="707" xr16:uid="{69203599-1D68-445B-97ED-A6C6BD6647EE}" name="temp_google_sheet616" type="6" refreshedVersion="8" background="1" saveData="1">
    <textPr prompt="0" sourceFile="C:\ashish\Backup\Desktop\Other\ITTF\TournamentSoftware\DrawSoftware\DilliLabsTournamentSoftware\temp_google_sheet.csv" comma="1">
      <textFields>
        <textField/>
      </textFields>
    </textPr>
  </connection>
  <connection id="708" xr16:uid="{DB7D5F29-2229-4F0E-8C2A-EE68A98CDF32}" name="temp_google_sheet6161" type="6" refreshedVersion="8" background="1" saveData="1">
    <textPr prompt="0" sourceFile="C:\ashish\Backup\Desktop\Other\ITTF\TournamentSoftware\DrawSoftware\DilliLabsTournamentSoftware\temp_google_sheet.csv" comma="1">
      <textFields>
        <textField/>
      </textFields>
    </textPr>
  </connection>
  <connection id="709" xr16:uid="{06D9ADD6-2558-4A4D-9C05-5877181ED45A}" name="temp_google_sheet62" type="6" refreshedVersion="8" background="1" saveData="1">
    <textPr prompt="0" sourceFile="C:\ashish\Backup\Desktop\Other\ITTF\TournamentSoftware\DrawSoftware\DilliLabsTournamentSoftware\temp_google_sheet.csv" comma="1">
      <textFields>
        <textField/>
      </textFields>
    </textPr>
  </connection>
  <connection id="710" xr16:uid="{02A05CC8-A3BC-4D13-A17A-A6584C103637}" name="temp_google_sheet63" type="6" refreshedVersion="8" background="1" saveData="1">
    <textPr prompt="0" sourceFile="C:\ashish\Backup\Desktop\Other\ITTF\TournamentSoftware\DrawSoftware\DilliLabsTournamentSoftware\temp_google_sheet.csv" comma="1">
      <textFields>
        <textField/>
      </textFields>
    </textPr>
  </connection>
  <connection id="711" xr16:uid="{37BB4065-F57C-4F39-8E4E-B899C8C59CEB}" name="temp_google_sheet64" type="6" refreshedVersion="8" background="1" saveData="1">
    <textPr prompt="0" sourceFile="C:\ashish\Backup\Desktop\Other\ITTF\TournamentSoftware\DrawSoftware\DilliLabsTournamentSoftware\temp_google_sheet.csv" comma="1">
      <textFields>
        <textField/>
      </textFields>
    </textPr>
  </connection>
  <connection id="712" xr16:uid="{64BAA49D-70BB-4511-ABB1-6682133A4B57}" name="temp_google_sheet65" type="6" refreshedVersion="8" background="1" saveData="1">
    <textPr prompt="0" sourceFile="C:\ashish\Backup\Desktop\Other\ITTF\TournamentSoftware\DrawSoftware\DilliLabsTournamentSoftware\temp_google_sheet.csv" comma="1">
      <textFields>
        <textField/>
      </textFields>
    </textPr>
  </connection>
  <connection id="713" xr16:uid="{2DEBFE4F-459C-44A0-B0FE-60305BC80F7B}" name="temp_google_sheet66" type="6" refreshedVersion="8" background="1" saveData="1">
    <textPr prompt="0" sourceFile="C:\ashish\Backup\Desktop\Other\ITTF\TournamentSoftware\DrawSoftware\DilliLabsTournamentSoftware\temp_google_sheet.csv" comma="1">
      <textFields>
        <textField/>
      </textFields>
    </textPr>
  </connection>
  <connection id="714" xr16:uid="{F207D91B-5212-4104-A657-DE359DED0DF8}" name="temp_google_sheet67" type="6" refreshedVersion="8" background="1" saveData="1">
    <textPr prompt="0" sourceFile="C:\ashish\Backup\Desktop\Other\ITTF\TournamentSoftware\DrawSoftware\DilliLabsTournamentSoftware\temp_google_sheet.csv" comma="1">
      <textFields>
        <textField/>
      </textFields>
    </textPr>
  </connection>
  <connection id="715" xr16:uid="{F889D1DA-4A0F-4BC6-822E-08F0FE0371B0}" name="temp_google_sheet68" type="6" refreshedVersion="8" background="1" saveData="1">
    <textPr prompt="0" sourceFile="C:\ashish\Backup\Desktop\Delhi State Championship\temp_google_sheet.csv" comma="1">
      <textFields>
        <textField/>
      </textFields>
    </textPr>
  </connection>
  <connection id="716" xr16:uid="{B79A0D3A-1D02-44DF-A09E-28166ECE2958}" name="temp_google_sheet681" type="6" refreshedVersion="8" background="1" saveData="1">
    <textPr prompt="0" sourceFile="C:\ashish\Backup\Desktop\Delhi State Championship\temp_google_sheet.csv" comma="1">
      <textFields>
        <textField/>
      </textFields>
    </textPr>
  </connection>
  <connection id="717" xr16:uid="{26A5DBFD-0802-4FBE-9274-9F6C72B1B3D4}" name="temp_google_sheet6810" type="6" refreshedVersion="8" background="1" saveData="1">
    <textPr prompt="0" sourceFile="C:\ashish\Backup\Desktop\Delhi State Championship\temp_google_sheet.csv" comma="1">
      <textFields>
        <textField/>
      </textFields>
    </textPr>
  </connection>
  <connection id="718" xr16:uid="{489B4C64-EE8D-4781-A47F-D043FAED7F96}" name="temp_google_sheet68101" type="6" refreshedVersion="8" background="1" saveData="1">
    <textPr prompt="0" sourceFile="C:\ashish\Backup\Desktop\Delhi State Championship\temp_google_sheet.csv" comma="1">
      <textFields>
        <textField/>
      </textFields>
    </textPr>
  </connection>
  <connection id="719" xr16:uid="{ABE0D243-E179-4917-BB78-E30B308BD2AE}" name="temp_google_sheet6811" type="6" refreshedVersion="8" background="1" saveData="1">
    <textPr prompt="0" sourceFile="C:\ashish\Backup\Desktop\Delhi State Championship\temp_google_sheet.csv" comma="1">
      <textFields>
        <textField/>
      </textFields>
    </textPr>
  </connection>
  <connection id="720" xr16:uid="{FC17F141-B5A5-4AD5-A997-9607A398F6E8}" name="temp_google_sheet68111" type="6" refreshedVersion="8" background="1" saveData="1">
    <textPr prompt="0" sourceFile="C:\ashish\Backup\Desktop\Delhi State Championship\temp_google_sheet.csv" comma="1">
      <textFields>
        <textField/>
      </textFields>
    </textPr>
  </connection>
  <connection id="721" xr16:uid="{3C59D7EF-46C5-48B3-BF72-693079ED5E3B}" name="temp_google_sheet6812" type="6" refreshedVersion="8" background="1" saveData="1">
    <textPr prompt="0" sourceFile="C:\ashish\Backup\Desktop\Delhi State Championship\temp_google_sheet.csv" comma="1">
      <textFields>
        <textField/>
      </textFields>
    </textPr>
  </connection>
  <connection id="722" xr16:uid="{82C369B1-7DE1-41C7-A085-9D0A1E61E0E3}" name="temp_google_sheet6813" type="6" refreshedVersion="8" background="1" saveData="1">
    <textPr prompt="0" sourceFile="C:\ashish\Backup\Desktop\Delhi State Championship\temp_google_sheet.csv" comma="1">
      <textFields>
        <textField/>
      </textFields>
    </textPr>
  </connection>
  <connection id="723" xr16:uid="{2F260D07-4569-478E-B80B-0AE85652DE98}" name="temp_google_sheet682" type="6" refreshedVersion="8" background="1" saveData="1">
    <textPr prompt="0" sourceFile="C:\ashish\Backup\Desktop\Delhi State Championship\temp_google_sheet.csv" comma="1">
      <textFields>
        <textField/>
      </textFields>
    </textPr>
  </connection>
  <connection id="724" xr16:uid="{74114B11-94BB-48E2-9A2A-7FC1BA751F72}" name="temp_google_sheet6821" type="6" refreshedVersion="8" background="1" saveData="1">
    <textPr prompt="0" sourceFile="C:\ashish\Backup\Desktop\Delhi State Championship\temp_google_sheet.csv" comma="1">
      <textFields>
        <textField/>
      </textFields>
    </textPr>
  </connection>
  <connection id="725" xr16:uid="{4D351263-A203-4644-B511-A46BB2645F1E}" name="temp_google_sheet683" type="6" refreshedVersion="8" background="1" saveData="1">
    <textPr prompt="0" sourceFile="C:\ashish\Backup\Desktop\Delhi State Championship\temp_google_sheet.csv" comma="1">
      <textFields>
        <textField/>
      </textFields>
    </textPr>
  </connection>
  <connection id="726" xr16:uid="{E465E35F-87D4-4388-A5C6-71A189025D1B}" name="temp_google_sheet6831" type="6" refreshedVersion="8" background="1" saveData="1">
    <textPr prompt="0" sourceFile="C:\ashish\Backup\Desktop\Delhi State Championship\temp_google_sheet.csv" comma="1">
      <textFields>
        <textField/>
      </textFields>
    </textPr>
  </connection>
  <connection id="727" xr16:uid="{31D67B3A-24B4-41D6-A348-53EC87A29E4D}" name="temp_google_sheet684" type="6" refreshedVersion="8" background="1" saveData="1">
    <textPr prompt="0" sourceFile="C:\ashish\Backup\Desktop\Other\ITTF\TournamentSoftware\DrawSoftware\DilliLabsTournamentSoftware\temp_google_sheet.csv" comma="1">
      <textFields>
        <textField/>
      </textFields>
    </textPr>
  </connection>
  <connection id="728" xr16:uid="{6F823678-3BD5-4945-AF37-C4DB85272DEA}" name="temp_google_sheet6841" type="6" refreshedVersion="8" background="1" saveData="1">
    <textPr prompt="0" sourceFile="C:\ashish\Backup\Desktop\Other\ITTF\TournamentSoftware\DrawSoftware\DilliLabsTournamentSoftware\temp_google_sheet.csv" comma="1">
      <textFields>
        <textField/>
      </textFields>
    </textPr>
  </connection>
  <connection id="729" xr16:uid="{E2C4CC39-3967-4E26-A5B7-ED7ED646F83A}" name="temp_google_sheet685" type="6" refreshedVersion="8" background="1" saveData="1">
    <textPr prompt="0" sourceFile="C:\ashish\Backup\Desktop\Other\ITTF\TournamentSoftware\DrawSoftware\DilliLabsTournamentSoftware\temp_google_sheet.csv" comma="1">
      <textFields>
        <textField/>
      </textFields>
    </textPr>
  </connection>
  <connection id="730" xr16:uid="{3F87C7C7-1C9C-40A7-A684-3A05BCE19315}" name="temp_google_sheet6851" type="6" refreshedVersion="8" background="1" saveData="1">
    <textPr prompt="0" sourceFile="C:\ashish\Backup\Desktop\Other\ITTF\TournamentSoftware\DrawSoftware\DilliLabsTournamentSoftware\temp_google_sheet.csv" comma="1">
      <textFields>
        <textField/>
      </textFields>
    </textPr>
  </connection>
  <connection id="731" xr16:uid="{5A9C06A0-2ADA-460F-A29C-564087ACC828}" name="temp_google_sheet686" type="6" refreshedVersion="8" background="1" saveData="1">
    <textPr prompt="0" sourceFile="C:\ashish\Backup\Desktop\Other\ITTF\TournamentSoftware\DrawSoftware\DilliLabsTournamentSoftware\temp_google_sheet.csv" comma="1">
      <textFields>
        <textField/>
      </textFields>
    </textPr>
  </connection>
  <connection id="732" xr16:uid="{F09E2026-502B-48F0-BD4C-9F13A7B468DF}" name="temp_google_sheet6861" type="6" refreshedVersion="8" background="1" saveData="1">
    <textPr prompt="0" sourceFile="C:\ashish\Backup\Desktop\Other\ITTF\TournamentSoftware\DrawSoftware\DilliLabsTournamentSoftware\temp_google_sheet.csv" comma="1">
      <textFields>
        <textField/>
      </textFields>
    </textPr>
  </connection>
  <connection id="733" xr16:uid="{2F83525C-3E66-48DD-ACA5-5520A0F64860}" name="temp_google_sheet687" type="6" refreshedVersion="8" background="1" saveData="1">
    <textPr prompt="0" sourceFile="C:\ashish\Backup\Desktop\Delhi State Championship\temp_google_sheet.csv" comma="1">
      <textFields>
        <textField/>
      </textFields>
    </textPr>
  </connection>
  <connection id="734" xr16:uid="{154425A3-60D2-4AB2-9D93-8047DA0B5C18}" name="temp_google_sheet6871" type="6" refreshedVersion="8" background="1" saveData="1">
    <textPr prompt="0" sourceFile="C:\ashish\Backup\Desktop\Delhi State Championship\temp_google_sheet.csv" comma="1">
      <textFields>
        <textField/>
      </textFields>
    </textPr>
  </connection>
  <connection id="735" xr16:uid="{E48A4942-FBC7-43D4-9E8E-D499631CF232}" name="temp_google_sheet688" type="6" refreshedVersion="8" background="1" saveData="1">
    <textPr prompt="0" sourceFile="C:\ashish\Backup\Desktop\Delhi State Championship\temp_google_sheet.csv" comma="1">
      <textFields>
        <textField/>
      </textFields>
    </textPr>
  </connection>
  <connection id="736" xr16:uid="{9B102011-92CA-4654-A4E5-E4D074BA8BE5}" name="temp_google_sheet6881" type="6" refreshedVersion="8" background="1" saveData="1">
    <textPr prompt="0" sourceFile="C:\ashish\Backup\Desktop\Delhi State Championship\temp_google_sheet.csv" comma="1">
      <textFields>
        <textField/>
      </textFields>
    </textPr>
  </connection>
  <connection id="737" xr16:uid="{0603BAA8-A091-4BBF-B8AE-214060C4DBC3}" name="temp_google_sheet689" type="6" refreshedVersion="8" background="1" saveData="1">
    <textPr prompt="0" sourceFile="C:\ashish\Backup\Desktop\Delhi State Championship\temp_google_sheet.csv" comma="1">
      <textFields>
        <textField/>
      </textFields>
    </textPr>
  </connection>
  <connection id="738" xr16:uid="{62AAF50F-B136-478B-801E-86894FC4DE5A}" name="temp_google_sheet6891" type="6" refreshedVersion="8" background="1" saveData="1">
    <textPr prompt="0" sourceFile="C:\ashish\Backup\Desktop\Delhi State Championship\temp_google_sheet.csv" comma="1">
      <textFields>
        <textField/>
      </textFields>
    </textPr>
  </connection>
  <connection id="739" xr16:uid="{5FF06BE2-02AA-45E7-94C4-05E0E687D4FB}" name="temp_google_sheet69" type="6" refreshedVersion="8" background="1" saveData="1">
    <textPr prompt="0" sourceFile="C:\ashish\Backup\Desktop\Delhi State Championship\temp_google_sheet.csv" comma="1">
      <textFields>
        <textField/>
      </textFields>
    </textPr>
  </connection>
  <connection id="740" xr16:uid="{EA794CDC-2600-43DE-B3FE-9D472E1C65A3}" name="temp_google_sheet694" type="6" refreshedVersion="8" background="1" saveData="1">
    <textPr prompt="0" sourceFile="C:\ashish\Backup\Desktop\Other\ITTF\TournamentSoftware\DrawSoftware\DilliLabsTournamentSoftware\temp_google_sheet.csv" comma="1">
      <textFields>
        <textField/>
      </textFields>
    </textPr>
  </connection>
  <connection id="741" xr16:uid="{B10F2DA0-7055-4A3D-87CF-0EE8AC26CE75}" name="temp_google_sheet6941" type="6" refreshedVersion="8" background="1" saveData="1">
    <textPr prompt="0" sourceFile="C:\ashish\Backup\Desktop\Other\ITTF\TournamentSoftware\DrawSoftware\DilliLabsTournamentSoftware\temp_google_sheet.csv" comma="1">
      <textFields>
        <textField/>
      </textFields>
    </textPr>
  </connection>
  <connection id="742" xr16:uid="{2655F511-23C7-4E09-9051-47B11776DB6D}" name="temp_google_sheet695" type="6" refreshedVersion="8" background="1" saveData="1">
    <textPr prompt="0" sourceFile="C:\ashish\Backup\Desktop\Other\ITTF\TournamentSoftware\DrawSoftware\DilliLabsTournamentSoftware\temp_google_sheet.csv" comma="1">
      <textFields>
        <textField/>
      </textFields>
    </textPr>
  </connection>
  <connection id="743" xr16:uid="{66C95DB2-1BD8-4C53-A175-B7FA82A99B90}" name="temp_google_sheet6951" type="6" refreshedVersion="8" background="1" saveData="1">
    <textPr prompt="0" sourceFile="C:\ashish\Backup\Desktop\Other\ITTF\TournamentSoftware\DrawSoftware\DilliLabsTournamentSoftware\temp_google_sheet.csv" comma="1">
      <textFields>
        <textField/>
      </textFields>
    </textPr>
  </connection>
  <connection id="744" xr16:uid="{79158B4F-59D7-42E9-ABFB-2673E47A8E52}" name="temp_google_sheet696" type="6" refreshedVersion="8" background="1" saveData="1">
    <textPr prompt="0" sourceFile="C:\ashish\Backup\Desktop\Other\ITTF\TournamentSoftware\DrawSoftware\DilliLabsTournamentSoftware\temp_google_sheet.csv" comma="1">
      <textFields>
        <textField/>
      </textFields>
    </textPr>
  </connection>
  <connection id="745" xr16:uid="{57DC51C6-6687-4F56-AE5C-D1EF29FF611D}" name="temp_google_sheet6961" type="6" refreshedVersion="8" background="1" saveData="1">
    <textPr prompt="0" sourceFile="C:\ashish\Backup\Desktop\Other\ITTF\TournamentSoftware\DrawSoftware\DilliLabsTournamentSoftware\temp_google_sheet.csv" comma="1">
      <textFields>
        <textField/>
      </textFields>
    </textPr>
  </connection>
  <connection id="746" xr16:uid="{F7E67116-7B7D-4780-AFCA-A874F4359C15}" name="temp_google_sheet7" type="6" refreshedVersion="8" background="1" saveData="1">
    <textPr prompt="0" sourceFile="C:\ashish\Backup\Desktop\Other\ITTF\TournamentSoftware\DrawSoftware\DilliLabsTournamentSoftware\temp_google_sheet.csv" comma="1">
      <textFields>
        <textField/>
      </textFields>
    </textPr>
  </connection>
  <connection id="747" xr16:uid="{65D2C7FF-CCE7-4B33-9C77-5D064044DDAC}" name="temp_google_sheet70" type="6" refreshedVersion="8" background="1" saveData="1">
    <textPr prompt="0" sourceFile="C:\ashish\Backup\Desktop\Other\ITTF\TournamentSoftware\DrawSoftware\DilliLabsTournamentSoftware\temp_google_sheet.csv" comma="1">
      <textFields>
        <textField/>
      </textFields>
    </textPr>
  </connection>
  <connection id="748" xr16:uid="{563A851F-15E1-413B-A1CA-3BC3B87A634F}" name="temp_google_sheet71" type="6" refreshedVersion="8" background="1" saveData="1">
    <textPr prompt="0" sourceFile="C:\ashish\Backup\Desktop\Other\ITTF\TournamentSoftware\DrawSoftware\DilliLabsTournamentSoftware\temp_google_sheet.csv" comma="1">
      <textFields>
        <textField/>
      </textFields>
    </textPr>
  </connection>
  <connection id="749" xr16:uid="{17E82A0F-3A55-44E9-B57F-1B3ED1A7010E}" name="temp_google_sheet72" type="6" refreshedVersion="8" background="1" saveData="1">
    <textPr prompt="0" sourceFile="C:\ashish\Backup\Desktop\Other\ITTF\TournamentSoftware\DrawSoftware\DilliLabsTournamentSoftware\temp_google_sheet.csv" comma="1">
      <textFields>
        <textField/>
      </textFields>
    </textPr>
  </connection>
  <connection id="750" xr16:uid="{14514406-DEF7-4F2B-BCBA-D867D1BCF4DC}" name="temp_google_sheet73" type="6" refreshedVersion="8" background="1" saveData="1">
    <textPr prompt="0" sourceFile="C:\ashish\Backup\Desktop\Delhi State Championship\temp_google_sheet.csv" comma="1">
      <textFields>
        <textField/>
      </textFields>
    </textPr>
  </connection>
  <connection id="751" xr16:uid="{AACF3882-0FED-4E84-8DB9-458033B82495}" name="temp_google_sheet734" type="6" refreshedVersion="8" background="1" saveData="1">
    <textPr prompt="0" sourceFile="C:\ashish\Backup\Desktop\Other\ITTF\TournamentSoftware\DrawSoftware\DilliLabsTournamentSoftware\temp_google_sheet.csv" comma="1">
      <textFields>
        <textField/>
      </textFields>
    </textPr>
  </connection>
  <connection id="752" xr16:uid="{0E1B437D-5A33-494F-8E97-593A1F79A009}" name="temp_google_sheet7341" type="6" refreshedVersion="8" background="1" saveData="1">
    <textPr prompt="0" sourceFile="C:\ashish\Backup\Desktop\Other\ITTF\TournamentSoftware\DrawSoftware\DilliLabsTournamentSoftware\temp_google_sheet.csv" comma="1">
      <textFields>
        <textField/>
      </textFields>
    </textPr>
  </connection>
  <connection id="753" xr16:uid="{1CE7B720-C236-450E-961E-8145956DF574}" name="temp_google_sheet735" type="6" refreshedVersion="8" background="1" saveData="1">
    <textPr prompt="0" sourceFile="C:\ashish\Backup\Desktop\Other\ITTF\TournamentSoftware\DrawSoftware\DilliLabsTournamentSoftware\temp_google_sheet.csv" comma="1">
      <textFields>
        <textField/>
      </textFields>
    </textPr>
  </connection>
  <connection id="754" xr16:uid="{99E5213C-165F-4357-A77A-6CC6F86DA3B9}" name="temp_google_sheet7351" type="6" refreshedVersion="8" background="1" saveData="1">
    <textPr prompt="0" sourceFile="C:\ashish\Backup\Desktop\Other\ITTF\TournamentSoftware\DrawSoftware\DilliLabsTournamentSoftware\temp_google_sheet.csv" comma="1">
      <textFields>
        <textField/>
      </textFields>
    </textPr>
  </connection>
  <connection id="755" xr16:uid="{E27729DB-C466-4721-A983-3A517E5CAC56}" name="temp_google_sheet736" type="6" refreshedVersion="8" background="1" saveData="1">
    <textPr prompt="0" sourceFile="C:\ashish\Backup\Desktop\Other\ITTF\TournamentSoftware\DrawSoftware\DilliLabsTournamentSoftware\temp_google_sheet.csv" comma="1">
      <textFields>
        <textField/>
      </textFields>
    </textPr>
  </connection>
  <connection id="756" xr16:uid="{61A8D718-6C12-4142-8DF5-3BAB29FC7A22}" name="temp_google_sheet7361" type="6" refreshedVersion="8" background="1" saveData="1">
    <textPr prompt="0" sourceFile="C:\ashish\Backup\Desktop\Other\ITTF\TournamentSoftware\DrawSoftware\DilliLabsTournamentSoftware\temp_google_sheet.csv" comma="1">
      <textFields>
        <textField/>
      </textFields>
    </textPr>
  </connection>
  <connection id="757" xr16:uid="{E95675B3-74A1-40BB-8440-328E1D8E473E}" name="temp_google_sheet74" type="6" refreshedVersion="8" background="1" saveData="1">
    <textPr prompt="0" sourceFile="C:\ashish\Backup\Desktop\Other\ITTF\TournamentSoftware\DrawSoftware\DilliLabsTournamentSoftware\temp_google_sheet.csv" comma="1">
      <textFields>
        <textField/>
      </textFields>
    </textPr>
  </connection>
  <connection id="758" xr16:uid="{D9E135A8-0D4B-49B5-9AD6-BB1F9920B239}" name="temp_google_sheet75" type="6" refreshedVersion="8" background="1" saveData="1">
    <textPr prompt="0" sourceFile="C:\ashish\Backup\Desktop\Other\ITTF\TournamentSoftware\DrawSoftware\DilliLabsTournamentSoftware\temp_google_sheet.csv" comma="1">
      <textFields>
        <textField/>
      </textFields>
    </textPr>
  </connection>
  <connection id="759" xr16:uid="{650194F5-0992-4A53-A2CF-1835AA2F0814}" name="temp_google_sheet76" type="6" refreshedVersion="8" background="1" saveData="1">
    <textPr prompt="0" sourceFile="C:\ashish\Backup\Desktop\Delhi State Championship\temp_google_sheet.csv" comma="1">
      <textFields>
        <textField/>
      </textFields>
    </textPr>
  </connection>
  <connection id="760" xr16:uid="{96ECF891-1CB1-4268-B4EF-3B69CD7AAE7F}" name="temp_google_sheet761" type="6" refreshedVersion="8" background="1" saveData="1">
    <textPr prompt="0" sourceFile="C:\ashish\Backup\Desktop\Delhi State Championship\temp_google_sheet.csv" comma="1">
      <textFields>
        <textField/>
      </textFields>
    </textPr>
  </connection>
  <connection id="761" xr16:uid="{15EE1F89-EE46-412C-90AF-5632430ACF73}" name="temp_google_sheet7610" type="6" refreshedVersion="8" background="1" saveData="1">
    <textPr prompt="0" sourceFile="C:\ashish\Backup\Desktop\Delhi State Championship\temp_google_sheet.csv" comma="1">
      <textFields>
        <textField/>
      </textFields>
    </textPr>
  </connection>
  <connection id="762" xr16:uid="{9AC99C8C-0B16-4736-B7FD-46A4937EB471}" name="temp_google_sheet76101" type="6" refreshedVersion="8" background="1" saveData="1">
    <textPr prompt="0" sourceFile="C:\ashish\Backup\Desktop\Delhi State Championship\temp_google_sheet.csv" comma="1">
      <textFields>
        <textField/>
      </textFields>
    </textPr>
  </connection>
  <connection id="763" xr16:uid="{F1DCEF07-D498-4998-BF6C-71CB199638F0}" name="temp_google_sheet7611" type="6" refreshedVersion="8" background="1" saveData="1">
    <textPr prompt="0" sourceFile="C:\ashish\Backup\Desktop\Delhi State Championship\temp_google_sheet.csv" comma="1">
      <textFields>
        <textField/>
      </textFields>
    </textPr>
  </connection>
  <connection id="764" xr16:uid="{49CA2C90-D8B9-415E-8E79-5A4681D2D062}" name="temp_google_sheet7612" type="6" refreshedVersion="8" background="1" saveData="1">
    <textPr prompt="0" sourceFile="C:\ashish\Backup\Desktop\Delhi State Championship\temp_google_sheet.csv" comma="1">
      <textFields>
        <textField/>
      </textFields>
    </textPr>
  </connection>
  <connection id="765" xr16:uid="{9BED2350-3560-4BCD-9C42-8F6F310B4F50}" name="temp_google_sheet762" type="6" refreshedVersion="8" background="1" saveData="1">
    <textPr prompt="0" sourceFile="C:\ashish\Backup\Desktop\Delhi State Championship\temp_google_sheet.csv" comma="1">
      <textFields>
        <textField/>
      </textFields>
    </textPr>
  </connection>
  <connection id="766" xr16:uid="{37BFCABB-388F-4125-B26F-23A23A1B00EA}" name="temp_google_sheet7621" type="6" refreshedVersion="8" background="1" saveData="1">
    <textPr prompt="0" sourceFile="C:\ashish\Backup\Desktop\Delhi State Championship\temp_google_sheet.csv" comma="1">
      <textFields>
        <textField/>
      </textFields>
    </textPr>
  </connection>
  <connection id="767" xr16:uid="{60E4AA8C-0FD2-4292-8618-9F65130CD5A2}" name="temp_google_sheet763" type="6" refreshedVersion="8" background="1" saveData="1">
    <textPr prompt="0" sourceFile="C:\ashish\Backup\Desktop\Delhi State Championship\temp_google_sheet.csv" comma="1">
      <textFields>
        <textField/>
      </textFields>
    </textPr>
  </connection>
  <connection id="768" xr16:uid="{E788F7EF-D71A-4325-84FE-25A18BA13C8D}" name="temp_google_sheet7631" type="6" refreshedVersion="8" background="1" saveData="1">
    <textPr prompt="0" sourceFile="C:\ashish\Backup\Desktop\Delhi State Championship\temp_google_sheet.csv" comma="1">
      <textFields>
        <textField/>
      </textFields>
    </textPr>
  </connection>
  <connection id="769" xr16:uid="{EA53C036-613A-4209-BC9F-B0AF28817118}" name="temp_google_sheet764" type="6" refreshedVersion="8" background="1" saveData="1">
    <textPr prompt="0" sourceFile="C:\ashish\Backup\Desktop\Other\ITTF\TournamentSoftware\DrawSoftware\DilliLabsTournamentSoftware\temp_google_sheet.csv" comma="1">
      <textFields>
        <textField/>
      </textFields>
    </textPr>
  </connection>
  <connection id="770" xr16:uid="{6E098622-94BB-4381-B77E-031237CAB4C8}" name="temp_google_sheet7641" type="6" refreshedVersion="8" background="1" saveData="1">
    <textPr prompt="0" sourceFile="C:\ashish\Backup\Desktop\Other\ITTF\TournamentSoftware\DrawSoftware\DilliLabsTournamentSoftware\temp_google_sheet.csv" comma="1">
      <textFields>
        <textField/>
      </textFields>
    </textPr>
  </connection>
  <connection id="771" xr16:uid="{DA4DDF45-D12C-42E9-8E88-63A7C432B573}" name="temp_google_sheet765" type="6" refreshedVersion="8" background="1" saveData="1">
    <textPr prompt="0" sourceFile="C:\ashish\Backup\Desktop\Other\ITTF\TournamentSoftware\DrawSoftware\DilliLabsTournamentSoftware\temp_google_sheet.csv" comma="1">
      <textFields>
        <textField/>
      </textFields>
    </textPr>
  </connection>
  <connection id="772" xr16:uid="{33A9D9E4-4E8F-42C8-B58A-7D2A68937684}" name="temp_google_sheet7651" type="6" refreshedVersion="8" background="1" saveData="1">
    <textPr prompt="0" sourceFile="C:\ashish\Backup\Desktop\Other\ITTF\TournamentSoftware\DrawSoftware\DilliLabsTournamentSoftware\temp_google_sheet.csv" comma="1">
      <textFields>
        <textField/>
      </textFields>
    </textPr>
  </connection>
  <connection id="773" xr16:uid="{E3173720-6FC9-49FB-B741-CD67F162A197}" name="temp_google_sheet766" type="6" refreshedVersion="8" background="1" saveData="1">
    <textPr prompt="0" sourceFile="C:\ashish\Backup\Desktop\Other\ITTF\TournamentSoftware\DrawSoftware\DilliLabsTournamentSoftware\temp_google_sheet.csv" comma="1">
      <textFields>
        <textField/>
      </textFields>
    </textPr>
  </connection>
  <connection id="774" xr16:uid="{CDCE72BE-0157-4896-AE2D-A4C35FFBF391}" name="temp_google_sheet7661" type="6" refreshedVersion="8" background="1" saveData="1">
    <textPr prompt="0" sourceFile="C:\ashish\Backup\Desktop\Other\ITTF\TournamentSoftware\DrawSoftware\DilliLabsTournamentSoftware\temp_google_sheet.csv" comma="1">
      <textFields>
        <textField/>
      </textFields>
    </textPr>
  </connection>
  <connection id="775" xr16:uid="{06745CBD-C84C-4DCE-8873-D2C3091BCE05}" name="temp_google_sheet767" type="6" refreshedVersion="8" background="1" saveData="1">
    <textPr prompt="0" sourceFile="C:\ashish\Backup\Desktop\Delhi State Championship\temp_google_sheet.csv" comma="1">
      <textFields>
        <textField/>
      </textFields>
    </textPr>
  </connection>
  <connection id="776" xr16:uid="{B94DD3F2-1280-4F43-A392-E17E6F62801A}" name="temp_google_sheet7671" type="6" refreshedVersion="8" background="1" saveData="1">
    <textPr prompt="0" sourceFile="C:\ashish\Backup\Desktop\Delhi State Championship\temp_google_sheet.csv" comma="1">
      <textFields>
        <textField/>
      </textFields>
    </textPr>
  </connection>
  <connection id="777" xr16:uid="{1EE1C126-7816-4A8A-88D0-396D66801549}" name="temp_google_sheet768" type="6" refreshedVersion="8" background="1" saveData="1">
    <textPr prompt="0" sourceFile="C:\ashish\Backup\Desktop\Delhi State Championship\temp_google_sheet.csv" comma="1">
      <textFields>
        <textField/>
      </textFields>
    </textPr>
  </connection>
  <connection id="778" xr16:uid="{4D8C7331-D99F-44FA-9548-8E5BF6ACF5A6}" name="temp_google_sheet7681" type="6" refreshedVersion="8" background="1" saveData="1">
    <textPr prompt="0" sourceFile="C:\ashish\Backup\Desktop\Delhi State Championship\temp_google_sheet.csv" comma="1">
      <textFields>
        <textField/>
      </textFields>
    </textPr>
  </connection>
  <connection id="779" xr16:uid="{D65D0165-D27C-4167-809D-19C8DDDF4ED7}" name="temp_google_sheet769" type="6" refreshedVersion="8" background="1" saveData="1">
    <textPr prompt="0" sourceFile="C:\ashish\Backup\Desktop\Delhi State Championship\temp_google_sheet.csv" comma="1">
      <textFields>
        <textField/>
      </textFields>
    </textPr>
  </connection>
  <connection id="780" xr16:uid="{50AA1268-B943-4D6F-B5FA-9475BDE321BD}" name="temp_google_sheet7691" type="6" refreshedVersion="8" background="1" saveData="1">
    <textPr prompt="0" sourceFile="C:\ashish\Backup\Desktop\Delhi State Championship\temp_google_sheet.csv" comma="1">
      <textFields>
        <textField/>
      </textFields>
    </textPr>
  </connection>
  <connection id="781" xr16:uid="{022C9562-8BFE-4711-B8A4-89C847A5D841}" name="temp_google_sheet77" type="6" refreshedVersion="8" background="1" saveData="1">
    <textPr prompt="0" sourceFile="C:\ashish\Backup\Desktop\Other\ITTF\TournamentSoftware\DrawSoftware\DilliLabsTournamentSoftware\temp_google_sheet.csv" comma="1">
      <textFields>
        <textField/>
      </textFields>
    </textPr>
  </connection>
  <connection id="782" xr16:uid="{EB14BCC6-12E5-40A5-A45D-937095537EF1}" name="temp_google_sheet78" type="6" refreshedVersion="8" background="1" saveData="1">
    <textPr prompt="0" sourceFile="C:\ashish\Backup\Desktop\Other\ITTF\TournamentSoftware\DrawSoftware\DilliLabsTournamentSoftware\temp_google_sheet.csv" comma="1">
      <textFields>
        <textField/>
      </textFields>
    </textPr>
  </connection>
  <connection id="783" xr16:uid="{F74BB0DC-4A5D-430E-BE4F-C1DFD93C1422}" name="temp_google_sheet79" type="6" refreshedVersion="8" background="1" saveData="1">
    <textPr prompt="0" sourceFile="C:\ashish\Backup\Desktop\Delhi State Championship\temp_google_sheet.csv" comma="1">
      <textFields>
        <textField/>
      </textFields>
    </textPr>
  </connection>
  <connection id="784" xr16:uid="{1002CAC2-4674-405C-81CF-163998C1D589}" name="temp_google_sheet794" type="6" refreshedVersion="8" background="1" saveData="1">
    <textPr prompt="0" sourceFile="C:\ashish\Backup\Desktop\Other\ITTF\TournamentSoftware\DrawSoftware\DilliLabsTournamentSoftware\temp_google_sheet.csv" comma="1">
      <textFields>
        <textField/>
      </textFields>
    </textPr>
  </connection>
  <connection id="785" xr16:uid="{2B9DC486-C8A0-4C13-8B34-2EAC608C4715}" name="temp_google_sheet7941" type="6" refreshedVersion="8" background="1" saveData="1">
    <textPr prompt="0" sourceFile="C:\ashish\Backup\Desktop\Other\ITTF\TournamentSoftware\DrawSoftware\DilliLabsTournamentSoftware\temp_google_sheet.csv" comma="1">
      <textFields>
        <textField/>
      </textFields>
    </textPr>
  </connection>
  <connection id="786" xr16:uid="{848E6AA8-82C8-4697-BF5B-53F4E8D13F64}" name="temp_google_sheet795" type="6" refreshedVersion="8" background="1" saveData="1">
    <textPr prompt="0" sourceFile="C:\ashish\Backup\Desktop\Other\ITTF\TournamentSoftware\DrawSoftware\DilliLabsTournamentSoftware\temp_google_sheet.csv" comma="1">
      <textFields>
        <textField/>
      </textFields>
    </textPr>
  </connection>
  <connection id="787" xr16:uid="{06B37B42-C68E-46D8-9300-557F81774BB6}" name="temp_google_sheet7951" type="6" refreshedVersion="8" background="1" saveData="1">
    <textPr prompt="0" sourceFile="C:\ashish\Backup\Desktop\Other\ITTF\TournamentSoftware\DrawSoftware\DilliLabsTournamentSoftware\temp_google_sheet.csv" comma="1">
      <textFields>
        <textField/>
      </textFields>
    </textPr>
  </connection>
  <connection id="788" xr16:uid="{32482664-D42C-4C42-85C5-5D4A0C860B1C}" name="temp_google_sheet796" type="6" refreshedVersion="8" background="1" saveData="1">
    <textPr prompt="0" sourceFile="C:\ashish\Backup\Desktop\Other\ITTF\TournamentSoftware\DrawSoftware\DilliLabsTournamentSoftware\temp_google_sheet.csv" comma="1">
      <textFields>
        <textField/>
      </textFields>
    </textPr>
  </connection>
  <connection id="789" xr16:uid="{7122C248-25CC-46D8-AAB1-19F69CBE9973}" name="temp_google_sheet7961" type="6" refreshedVersion="8" background="1" saveData="1">
    <textPr prompt="0" sourceFile="C:\ashish\Backup\Desktop\Other\ITTF\TournamentSoftware\DrawSoftware\DilliLabsTournamentSoftware\temp_google_sheet.csv" comma="1">
      <textFields>
        <textField/>
      </textFields>
    </textPr>
  </connection>
  <connection id="790" xr16:uid="{70DC2563-9CB6-4780-948F-47A36FCA03BC}" name="temp_google_sheet8" type="6" refreshedVersion="8" background="1" saveData="1">
    <textPr prompt="0" sourceFile="C:\ashish\Backup\Desktop\Other\ITTF\TournamentSoftware\DrawSoftware\DilliLabsTournamentSoftware\temp_google_sheet.csv" comma="1">
      <textFields>
        <textField/>
      </textFields>
    </textPr>
  </connection>
  <connection id="791" xr16:uid="{EB07FD7E-3062-4462-9A39-664981BF210E}" name="temp_google_sheet80" type="6" refreshedVersion="8" background="1" saveData="1">
    <textPr prompt="0" sourceFile="C:\ashish\Backup\Desktop\Other\ITTF\TournamentSoftware\DrawSoftware\DilliLabsTournamentSoftware\temp_google_sheet.csv" comma="1">
      <textFields>
        <textField/>
      </textFields>
    </textPr>
  </connection>
  <connection id="792" xr16:uid="{3C1515F0-03D8-41A6-B343-05D649877D2B}" name="temp_google_sheet81" type="6" refreshedVersion="8" background="1" saveData="1">
    <textPr prompt="0" sourceFile="C:\ashish\Backup\Desktop\Other\ITTF\TournamentSoftware\DrawSoftware\DilliLabsTournamentSoftware\temp_google_sheet.csv" comma="1">
      <textFields>
        <textField/>
      </textFields>
    </textPr>
  </connection>
  <connection id="793" xr16:uid="{2B85AE37-9313-43CC-BF13-38FFBED69DD0}" name="temp_google_sheet82" type="6" refreshedVersion="8" background="1" saveData="1">
    <textPr prompt="0" sourceFile="C:\ashish\Backup\Desktop\Delhi State Championship\temp_google_sheet.csv" comma="1">
      <textFields>
        <textField/>
      </textFields>
    </textPr>
  </connection>
  <connection id="794" xr16:uid="{BED91040-1151-477D-AF33-DC3627963A78}" name="temp_google_sheet824" type="6" refreshedVersion="8" background="1" saveData="1">
    <textPr prompt="0" sourceFile="C:\ashish\Backup\Desktop\Other\ITTF\TournamentSoftware\DrawSoftware\DilliLabsTournamentSoftware\temp_google_sheet.csv" comma="1">
      <textFields>
        <textField/>
      </textFields>
    </textPr>
  </connection>
  <connection id="795" xr16:uid="{F2FC8629-FB15-41CA-B33C-45B1F2AA70BB}" name="temp_google_sheet8241" type="6" refreshedVersion="8" background="1" saveData="1">
    <textPr prompt="0" sourceFile="C:\ashish\Backup\Desktop\Other\ITTF\TournamentSoftware\DrawSoftware\DilliLabsTournamentSoftware\temp_google_sheet.csv" comma="1">
      <textFields>
        <textField/>
      </textFields>
    </textPr>
  </connection>
  <connection id="796" xr16:uid="{98285CB3-17C9-4963-87E6-E52C47AFF533}" name="temp_google_sheet825" type="6" refreshedVersion="8" background="1" saveData="1">
    <textPr prompt="0" sourceFile="C:\ashish\Backup\Desktop\Other\ITTF\TournamentSoftware\DrawSoftware\DilliLabsTournamentSoftware\temp_google_sheet.csv" comma="1">
      <textFields>
        <textField/>
      </textFields>
    </textPr>
  </connection>
  <connection id="797" xr16:uid="{5CBDEF97-1A5D-499A-9608-CB2A69799DAF}" name="temp_google_sheet8251" type="6" refreshedVersion="8" background="1" saveData="1">
    <textPr prompt="0" sourceFile="C:\ashish\Backup\Desktop\Other\ITTF\TournamentSoftware\DrawSoftware\DilliLabsTournamentSoftware\temp_google_sheet.csv" comma="1">
      <textFields>
        <textField/>
      </textFields>
    </textPr>
  </connection>
  <connection id="798" xr16:uid="{59FBA77A-E81C-4BA8-9C6B-CA444E84AB8C}" name="temp_google_sheet826" type="6" refreshedVersion="8" background="1" saveData="1">
    <textPr prompt="0" sourceFile="C:\ashish\Backup\Desktop\Other\ITTF\TournamentSoftware\DrawSoftware\DilliLabsTournamentSoftware\temp_google_sheet.csv" comma="1">
      <textFields>
        <textField/>
      </textFields>
    </textPr>
  </connection>
  <connection id="799" xr16:uid="{F6EEE070-5DB2-44E2-9031-EBBEF2F1FA8D}" name="temp_google_sheet8261" type="6" refreshedVersion="8" background="1" saveData="1">
    <textPr prompt="0" sourceFile="C:\ashish\Backup\Desktop\Other\ITTF\TournamentSoftware\DrawSoftware\DilliLabsTournamentSoftware\temp_google_sheet.csv" comma="1">
      <textFields>
        <textField/>
      </textFields>
    </textPr>
  </connection>
  <connection id="800" xr16:uid="{71CFADA0-CE6B-44EB-BAA1-685A112D0B62}" name="temp_google_sheet83" type="6" refreshedVersion="8" background="1" saveData="1">
    <textPr prompt="0" sourceFile="C:\ashish\Backup\Desktop\Other\ITTF\TournamentSoftware\DrawSoftware\DilliLabsTournamentSoftware\temp_google_sheet.csv" comma="1">
      <textFields>
        <textField/>
      </textFields>
    </textPr>
  </connection>
  <connection id="801" xr16:uid="{7B45550F-4526-4C3B-8C32-23CA3DAD3E62}" name="temp_google_sheet84" type="6" refreshedVersion="8" background="1" saveData="1">
    <textPr prompt="0" sourceFile="C:\ashish\Backup\Desktop\Other\ITTF\TournamentSoftware\DrawSoftware\DilliLabsTournamentSoftware\temp_google_sheet.csv" comma="1">
      <textFields>
        <textField/>
      </textFields>
    </textPr>
  </connection>
  <connection id="802" xr16:uid="{C5178948-8487-4610-9D25-16AC92952232}" name="temp_google_sheet85" type="6" refreshedVersion="8" background="1" saveData="1">
    <textPr prompt="0" sourceFile="C:\ashish\Backup\Desktop\Delhi State Championship\temp_google_sheet.csv" comma="1">
      <textFields>
        <textField/>
      </textFields>
    </textPr>
  </connection>
  <connection id="803" xr16:uid="{992C7A6A-D9BA-4429-8BD6-ED0A4C39661A}" name="temp_google_sheet851" type="6" refreshedVersion="8" background="1" saveData="1">
    <textPr prompt="0" sourceFile="C:\ashish\Backup\Desktop\Delhi State Championship\temp_google_sheet.csv" comma="1">
      <textFields>
        <textField/>
      </textFields>
    </textPr>
  </connection>
  <connection id="804" xr16:uid="{52DF6DD2-A8EA-487F-8AA1-C613F60E6818}" name="temp_google_sheet8510" type="6" refreshedVersion="8" background="1" saveData="1">
    <textPr prompt="0" sourceFile="C:\ashish\Backup\Desktop\Delhi State Championship\temp_google_sheet.csv" comma="1">
      <textFields>
        <textField/>
      </textFields>
    </textPr>
  </connection>
  <connection id="805" xr16:uid="{572DD0A7-8831-48A5-BA72-088F4D8A36AB}" name="temp_google_sheet8511" type="6" refreshedVersion="8" background="1" saveData="1">
    <textPr prompt="0" sourceFile="C:\ashish\Backup\Desktop\Delhi State Championship\temp_google_sheet.csv" comma="1">
      <textFields>
        <textField/>
      </textFields>
    </textPr>
  </connection>
  <connection id="806" xr16:uid="{C87A08BE-62E0-4899-8E5C-B2F032B3732F}" name="temp_google_sheet852" type="6" refreshedVersion="8" background="1" saveData="1">
    <textPr prompt="0" sourceFile="C:\ashish\Backup\Desktop\Delhi State Championship\temp_google_sheet.csv" comma="1">
      <textFields>
        <textField/>
      </textFields>
    </textPr>
  </connection>
  <connection id="807" xr16:uid="{5B272C39-EFAC-424A-95CF-ACEE1586887F}" name="temp_google_sheet8521" type="6" refreshedVersion="8" background="1" saveData="1">
    <textPr prompt="0" sourceFile="C:\ashish\Backup\Desktop\Delhi State Championship\temp_google_sheet.csv" comma="1">
      <textFields>
        <textField/>
      </textFields>
    </textPr>
  </connection>
  <connection id="808" xr16:uid="{A0A699D5-1B84-4CF8-B1B5-B3737F3FF175}" name="temp_google_sheet853" type="6" refreshedVersion="8" background="1" saveData="1">
    <textPr prompt="0" sourceFile="C:\ashish\Backup\Desktop\Delhi State Championship\temp_google_sheet.csv" comma="1">
      <textFields>
        <textField/>
      </textFields>
    </textPr>
  </connection>
  <connection id="809" xr16:uid="{A77CCCE5-B3DB-4112-B2AB-AC5638BE1105}" name="temp_google_sheet8531" type="6" refreshedVersion="8" background="1" saveData="1">
    <textPr prompt="0" sourceFile="C:\ashish\Backup\Desktop\Delhi State Championship\temp_google_sheet.csv" comma="1">
      <textFields>
        <textField/>
      </textFields>
    </textPr>
  </connection>
  <connection id="810" xr16:uid="{0B077F14-0783-4BF6-93C2-F77B412E887D}" name="temp_google_sheet854" type="6" refreshedVersion="8" background="1" saveData="1">
    <textPr prompt="0" sourceFile="C:\ashish\Backup\Desktop\Other\ITTF\TournamentSoftware\DrawSoftware\DilliLabsTournamentSoftware\temp_google_sheet.csv" comma="1">
      <textFields>
        <textField/>
      </textFields>
    </textPr>
  </connection>
  <connection id="811" xr16:uid="{B2263B89-BE77-4BC1-BB13-CB6C4D7AAAB6}" name="temp_google_sheet8541" type="6" refreshedVersion="8" background="1" saveData="1">
    <textPr prompt="0" sourceFile="C:\ashish\Backup\Desktop\Other\ITTF\TournamentSoftware\DrawSoftware\DilliLabsTournamentSoftware\temp_google_sheet.csv" comma="1">
      <textFields>
        <textField/>
      </textFields>
    </textPr>
  </connection>
  <connection id="812" xr16:uid="{9651F033-304C-4802-804F-96C3EEE7D44E}" name="temp_google_sheet855" type="6" refreshedVersion="8" background="1" saveData="1">
    <textPr prompt="0" sourceFile="C:\ashish\Backup\Desktop\Other\ITTF\TournamentSoftware\DrawSoftware\DilliLabsTournamentSoftware\temp_google_sheet.csv" comma="1">
      <textFields>
        <textField/>
      </textFields>
    </textPr>
  </connection>
  <connection id="813" xr16:uid="{06C865DF-30CD-4886-B10C-F8BC9D8B70D6}" name="temp_google_sheet8551" type="6" refreshedVersion="8" background="1" saveData="1">
    <textPr prompt="0" sourceFile="C:\ashish\Backup\Desktop\Other\ITTF\TournamentSoftware\DrawSoftware\DilliLabsTournamentSoftware\temp_google_sheet.csv" comma="1">
      <textFields>
        <textField/>
      </textFields>
    </textPr>
  </connection>
  <connection id="814" xr16:uid="{09751556-E8A0-446D-BF89-5724647F614F}" name="temp_google_sheet856" type="6" refreshedVersion="8" background="1" saveData="1">
    <textPr prompt="0" sourceFile="C:\ashish\Backup\Desktop\Other\ITTF\TournamentSoftware\DrawSoftware\DilliLabsTournamentSoftware\temp_google_sheet.csv" comma="1">
      <textFields>
        <textField/>
      </textFields>
    </textPr>
  </connection>
  <connection id="815" xr16:uid="{BF0E2D0F-478D-4680-8FB6-7FBC6FBC6089}" name="temp_google_sheet8561" type="6" refreshedVersion="8" background="1" saveData="1">
    <textPr prompt="0" sourceFile="C:\ashish\Backup\Desktop\Other\ITTF\TournamentSoftware\DrawSoftware\DilliLabsTournamentSoftware\temp_google_sheet.csv" comma="1">
      <textFields>
        <textField/>
      </textFields>
    </textPr>
  </connection>
  <connection id="816" xr16:uid="{30A15AE2-DE70-4282-8436-444A911E2371}" name="temp_google_sheet857" type="6" refreshedVersion="8" background="1" saveData="1">
    <textPr prompt="0" sourceFile="C:\ashish\Backup\Desktop\Delhi State Championship\temp_google_sheet.csv" comma="1">
      <textFields>
        <textField/>
      </textFields>
    </textPr>
  </connection>
  <connection id="817" xr16:uid="{325D6D83-E317-4520-A4C5-DF2AF8D7164E}" name="temp_google_sheet8571" type="6" refreshedVersion="8" background="1" saveData="1">
    <textPr prompt="0" sourceFile="C:\ashish\Backup\Desktop\Delhi State Championship\temp_google_sheet.csv" comma="1">
      <textFields>
        <textField/>
      </textFields>
    </textPr>
  </connection>
  <connection id="818" xr16:uid="{DC3D4AC5-7C4C-47CF-BBC3-DB3AE9E070BA}" name="temp_google_sheet858" type="6" refreshedVersion="8" background="1" saveData="1">
    <textPr prompt="0" sourceFile="C:\ashish\Backup\Desktop\Delhi State Championship\temp_google_sheet.csv" comma="1">
      <textFields>
        <textField/>
      </textFields>
    </textPr>
  </connection>
  <connection id="819" xr16:uid="{8210A64A-CFE4-49AF-917B-85259F91C0EC}" name="temp_google_sheet8581" type="6" refreshedVersion="8" background="1" saveData="1">
    <textPr prompt="0" sourceFile="C:\ashish\Backup\Desktop\Delhi State Championship\temp_google_sheet.csv" comma="1">
      <textFields>
        <textField/>
      </textFields>
    </textPr>
  </connection>
  <connection id="820" xr16:uid="{D0802B72-6772-44CA-A70D-C276C4D51703}" name="temp_google_sheet859" type="6" refreshedVersion="8" background="1" saveData="1">
    <textPr prompt="0" sourceFile="C:\ashish\Backup\Desktop\Delhi State Championship\temp_google_sheet.csv" comma="1">
      <textFields>
        <textField/>
      </textFields>
    </textPr>
  </connection>
  <connection id="821" xr16:uid="{1A8A2F59-4035-41AF-932F-9D4BD42DE741}" name="temp_google_sheet8591" type="6" refreshedVersion="8" background="1" saveData="1">
    <textPr prompt="0" sourceFile="C:\ashish\Backup\Desktop\Delhi State Championship\temp_google_sheet.csv" comma="1">
      <textFields>
        <textField/>
      </textFields>
    </textPr>
  </connection>
  <connection id="822" xr16:uid="{CBF7AD31-816E-4916-A668-7C792CB0236A}" name="temp_google_sheet86" type="6" refreshedVersion="8" background="1" saveData="1">
    <textPr prompt="0" sourceFile="C:\ashish\Backup\Desktop\Other\ITTF\TournamentSoftware\DrawSoftware\DilliLabsTournamentSoftware\temp_google_sheet.csv" comma="1">
      <textFields>
        <textField/>
      </textFields>
    </textPr>
  </connection>
  <connection id="823" xr16:uid="{8F784540-AF27-491F-AC30-7EE8FADD7C41}" name="temp_google_sheet87" type="6" refreshedVersion="8" background="1" saveData="1">
    <textPr prompt="0" sourceFile="C:\ashish\Backup\Desktop\Delhi State Championship\temp_google_sheet.csv" comma="1">
      <textFields>
        <textField/>
      </textFields>
    </textPr>
  </connection>
  <connection id="824" xr16:uid="{48BE54CA-1274-4371-840C-4B693289447A}" name="temp_google_sheet874" type="6" refreshedVersion="8" background="1" saveData="1">
    <textPr prompt="0" sourceFile="C:\ashish\Backup\Desktop\Other\ITTF\TournamentSoftware\DrawSoftware\DilliLabsTournamentSoftware\temp_google_sheet.csv" comma="1">
      <textFields>
        <textField/>
      </textFields>
    </textPr>
  </connection>
  <connection id="825" xr16:uid="{26BCDCC5-7A3F-4F87-BB44-A3C2091291FC}" name="temp_google_sheet8741" type="6" refreshedVersion="8" background="1" saveData="1">
    <textPr prompt="0" sourceFile="C:\ashish\Backup\Desktop\Other\ITTF\TournamentSoftware\DrawSoftware\DilliLabsTournamentSoftware\temp_google_sheet.csv" comma="1">
      <textFields>
        <textField/>
      </textFields>
    </textPr>
  </connection>
  <connection id="826" xr16:uid="{63C6F1B7-03E7-497C-91D1-B99EAC1D440A}" name="temp_google_sheet875" type="6" refreshedVersion="8" background="1" saveData="1">
    <textPr prompt="0" sourceFile="C:\ashish\Backup\Desktop\Other\ITTF\TournamentSoftware\DrawSoftware\DilliLabsTournamentSoftware\temp_google_sheet.csv" comma="1">
      <textFields>
        <textField/>
      </textFields>
    </textPr>
  </connection>
  <connection id="827" xr16:uid="{E8CE4F73-E49C-4148-AB87-68CE67753AA9}" name="temp_google_sheet8751" type="6" refreshedVersion="8" background="1" saveData="1">
    <textPr prompt="0" sourceFile="C:\ashish\Backup\Desktop\Other\ITTF\TournamentSoftware\DrawSoftware\DilliLabsTournamentSoftware\temp_google_sheet.csv" comma="1">
      <textFields>
        <textField/>
      </textFields>
    </textPr>
  </connection>
  <connection id="828" xr16:uid="{651321C8-E0C3-443C-9A8C-3EFB340B5D38}" name="temp_google_sheet876" type="6" refreshedVersion="8" background="1" saveData="1">
    <textPr prompt="0" sourceFile="C:\ashish\Backup\Desktop\Other\ITTF\TournamentSoftware\DrawSoftware\DilliLabsTournamentSoftware\temp_google_sheet.csv" comma="1">
      <textFields>
        <textField/>
      </textFields>
    </textPr>
  </connection>
  <connection id="829" xr16:uid="{2E86C108-8B66-4026-8E11-E4064E4B2AD2}" name="temp_google_sheet8761" type="6" refreshedVersion="8" background="1" saveData="1">
    <textPr prompt="0" sourceFile="C:\ashish\Backup\Desktop\Other\ITTF\TournamentSoftware\DrawSoftware\DilliLabsTournamentSoftware\temp_google_sheet.csv" comma="1">
      <textFields>
        <textField/>
      </textFields>
    </textPr>
  </connection>
  <connection id="830" xr16:uid="{608EB8F1-EB62-4B95-8887-0E512517E81C}" name="temp_google_sheet88" type="6" refreshedVersion="8" background="1" saveData="1">
    <textPr prompt="0" sourceFile="C:\ashish\Backup\Desktop\Other\ITTF\TournamentSoftware\DrawSoftware\DilliLabsTournamentSoftware\temp_google_sheet.csv" comma="1">
      <textFields>
        <textField/>
      </textFields>
    </textPr>
  </connection>
  <connection id="831" xr16:uid="{C4173FA1-4B45-4A60-A64E-B80E61BD970B}" name="temp_google_sheet89" type="6" refreshedVersion="8" background="1" saveData="1">
    <textPr prompt="0" sourceFile="C:\ashish\Backup\Desktop\Delhi State Championship\temp_google_sheet.csv" comma="1">
      <textFields>
        <textField/>
      </textFields>
    </textPr>
  </connection>
  <connection id="832" xr16:uid="{5EBA5330-D1C1-4B1A-948B-802BED479096}" name="temp_google_sheet894" type="6" refreshedVersion="8" background="1" saveData="1">
    <textPr prompt="0" sourceFile="C:\ashish\Backup\Desktop\Other\ITTF\TournamentSoftware\DrawSoftware\DilliLabsTournamentSoftware\temp_google_sheet.csv" comma="1">
      <textFields>
        <textField/>
      </textFields>
    </textPr>
  </connection>
  <connection id="833" xr16:uid="{77AC89DD-CD92-402E-AFF7-76C5224D8240}" name="temp_google_sheet8941" type="6" refreshedVersion="8" background="1" saveData="1">
    <textPr prompt="0" sourceFile="C:\ashish\Backup\Desktop\Other\ITTF\TournamentSoftware\DrawSoftware\DilliLabsTournamentSoftware\temp_google_sheet.csv" comma="1">
      <textFields>
        <textField/>
      </textFields>
    </textPr>
  </connection>
  <connection id="834" xr16:uid="{7A464005-7AFA-411F-A83D-11C317F44437}" name="temp_google_sheet895" type="6" refreshedVersion="8" background="1" saveData="1">
    <textPr prompt="0" sourceFile="C:\ashish\Backup\Desktop\Other\ITTF\TournamentSoftware\DrawSoftware\DilliLabsTournamentSoftware\temp_google_sheet.csv" comma="1">
      <textFields>
        <textField/>
      </textFields>
    </textPr>
  </connection>
  <connection id="835" xr16:uid="{C552C228-C371-4217-B5FA-0FFF7E457A29}" name="temp_google_sheet8951" type="6" refreshedVersion="8" background="1" saveData="1">
    <textPr prompt="0" sourceFile="C:\ashish\Backup\Desktop\Other\ITTF\TournamentSoftware\DrawSoftware\DilliLabsTournamentSoftware\temp_google_sheet.csv" comma="1">
      <textFields>
        <textField/>
      </textFields>
    </textPr>
  </connection>
  <connection id="836" xr16:uid="{27F69944-E0E8-4FA6-914E-67A2E42CF671}" name="temp_google_sheet896" type="6" refreshedVersion="8" background="1" saveData="1">
    <textPr prompt="0" sourceFile="C:\ashish\Backup\Desktop\Other\ITTF\TournamentSoftware\DrawSoftware\DilliLabsTournamentSoftware\temp_google_sheet.csv" comma="1">
      <textFields>
        <textField/>
      </textFields>
    </textPr>
  </connection>
  <connection id="837" xr16:uid="{191950D6-4A0B-441C-8743-6EF8E94B2D49}" name="temp_google_sheet8961" type="6" refreshedVersion="8" background="1" saveData="1">
    <textPr prompt="0" sourceFile="C:\ashish\Backup\Desktop\Other\ITTF\TournamentSoftware\DrawSoftware\DilliLabsTournamentSoftware\temp_google_sheet.csv" comma="1">
      <textFields>
        <textField/>
      </textFields>
    </textPr>
  </connection>
  <connection id="838" xr16:uid="{17D75BBF-892A-4FC1-9047-FBD606C00504}" name="temp_google_sheet9" type="6" refreshedVersion="8" background="1" saveData="1">
    <textPr prompt="0" sourceFile="C:\ashish\Backup\Desktop\Other\ITTF\TournamentSoftware\DrawSoftware\DilliLabsTournamentSoftware\temp_google_sheet.csv" comma="1">
      <textFields>
        <textField/>
      </textFields>
    </textPr>
  </connection>
  <connection id="839" xr16:uid="{F35B2092-6C31-44AF-AB90-ACD8DEE8D7FF}" name="temp_google_sheet90" type="6" refreshedVersion="8" background="1" saveData="1">
    <textPr prompt="0" sourceFile="C:\ashish\Backup\Desktop\Other\ITTF\TournamentSoftware\DrawSoftware\DilliLabsTournamentSoftware\temp_google_sheet.csv" comma="1">
      <textFields>
        <textField/>
      </textFields>
    </textPr>
  </connection>
  <connection id="840" xr16:uid="{5C5AFD53-7BF4-4F03-8594-D11B0AAB3261}" name="temp_google_sheet91" type="6" refreshedVersion="8" background="1" saveData="1">
    <textPr prompt="0" sourceFile="C:\ashish\Backup\Desktop\Delhi State Championship\temp_google_sheet.csv" comma="1">
      <textFields>
        <textField/>
      </textFields>
    </textPr>
  </connection>
  <connection id="841" xr16:uid="{1D9B969A-65BC-4DC3-987D-13D3505524BE}" name="temp_google_sheet911" type="6" refreshedVersion="8" background="1" saveData="1">
    <textPr prompt="0" sourceFile="C:\ashish\Backup\Desktop\Delhi State Championship\temp_google_sheet.csv" comma="1">
      <textFields>
        <textField/>
      </textFields>
    </textPr>
  </connection>
  <connection id="842" xr16:uid="{2EB06997-5D01-47BF-979F-BCAFFFD11BDD}" name="temp_google_sheet9111" type="6" refreshedVersion="8" background="1" saveData="1">
    <textPr prompt="0" sourceFile="C:\ashish\Backup\Desktop\Delhi State Championship\temp_google_sheet.csv" comma="1">
      <textFields>
        <textField/>
      </textFields>
    </textPr>
  </connection>
  <connection id="843" xr16:uid="{A4165FC2-DA88-48A0-9666-66E5CFBDDB20}" name="temp_google_sheet912" type="6" refreshedVersion="8" background="1" saveData="1">
    <textPr prompt="0" sourceFile="C:\ashish\Backup\Desktop\Delhi State Championship\temp_google_sheet.csv" comma="1">
      <textFields>
        <textField/>
      </textFields>
    </textPr>
  </connection>
  <connection id="844" xr16:uid="{FCA87D73-0A53-482F-98EE-2BEBDA4D6C68}" name="temp_google_sheet9121" type="6" refreshedVersion="8" background="1" saveData="1">
    <textPr prompt="0" sourceFile="C:\ashish\Backup\Desktop\Delhi State Championship\temp_google_sheet.csv" comma="1">
      <textFields>
        <textField/>
      </textFields>
    </textPr>
  </connection>
  <connection id="845" xr16:uid="{280AC15D-2D9B-45A5-8AC9-BF729CE28FBA}" name="temp_google_sheet913" type="6" refreshedVersion="8" background="1" saveData="1">
    <textPr prompt="0" sourceFile="C:\ashish\Backup\Desktop\Delhi State Championship\temp_google_sheet.csv" comma="1">
      <textFields>
        <textField/>
      </textFields>
    </textPr>
  </connection>
  <connection id="846" xr16:uid="{6CE4F5E4-CF5A-497F-8C96-A81B834E115D}" name="temp_google_sheet9131" type="6" refreshedVersion="8" background="1" saveData="1">
    <textPr prompt="0" sourceFile="C:\ashish\Backup\Desktop\Delhi State Championship\temp_google_sheet.csv" comma="1">
      <textFields>
        <textField/>
      </textFields>
    </textPr>
  </connection>
  <connection id="847" xr16:uid="{C8EB6D5B-3BFC-428A-8772-FB4A37AE3F7D}" name="temp_google_sheet914" type="6" refreshedVersion="8" background="1" saveData="1">
    <textPr prompt="0" sourceFile="C:\ashish\Backup\Desktop\Delhi State Championship\temp_google_sheet.csv" comma="1">
      <textFields>
        <textField/>
      </textFields>
    </textPr>
  </connection>
  <connection id="848" xr16:uid="{9A6B11C6-E849-4712-B526-3C8498735621}" name="temp_google_sheet9141" type="6" refreshedVersion="8" background="1" saveData="1">
    <textPr prompt="0" sourceFile="C:\ashish\Backup\Desktop\Delhi State Championship\temp_google_sheet.csv" comma="1">
      <textFields>
        <textField/>
      </textFields>
    </textPr>
  </connection>
  <connection id="849" xr16:uid="{517DB933-7D07-4AEC-8E19-DF6B502D7ADB}" name="temp_google_sheet915" type="6" refreshedVersion="8" background="1" saveData="1">
    <textPr prompt="0" sourceFile="C:\ashish\Backup\Desktop\Delhi State Championship\temp_google_sheet.csv" comma="1">
      <textFields>
        <textField/>
      </textFields>
    </textPr>
  </connection>
  <connection id="850" xr16:uid="{165DB6D1-DD56-4699-8E76-4910BE49E252}" name="temp_google_sheet9151" type="6" refreshedVersion="8" background="1" saveData="1">
    <textPr prompt="0" sourceFile="C:\ashish\Backup\Desktop\Delhi State Championship\temp_google_sheet.csv" comma="1">
      <textFields>
        <textField/>
      </textFields>
    </textPr>
  </connection>
  <connection id="851" xr16:uid="{271E592F-0A64-4D3D-9E41-2F716D6DE2FB}" name="temp_google_sheet916" type="6" refreshedVersion="8" background="1" saveData="1">
    <textPr prompt="0" sourceFile="C:\ashish\Backup\Desktop\Delhi State Championship\temp_google_sheet.csv" comma="1">
      <textFields>
        <textField/>
      </textFields>
    </textPr>
  </connection>
  <connection id="852" xr16:uid="{47161039-37E7-4E89-B2CD-E3C33CAFABBB}" name="temp_google_sheet92" type="6" refreshedVersion="8" background="1" saveData="1">
    <textPr prompt="0" sourceFile="C:\ashish\Backup\Desktop\Delhi State Championship\temp_google_sheet.csv" comma="1">
      <textFields>
        <textField/>
      </textFields>
    </textPr>
  </connection>
  <connection id="853" xr16:uid="{FCE3359B-6369-471C-B64B-2C9ACFEFDB0C}" name="temp_google_sheet93" type="6" refreshedVersion="8" background="1" saveData="1">
    <textPr prompt="0" sourceFile="C:\ashish\Backup\Desktop\Delhi State Championship\temp_google_sheet.csv" comma="1">
      <textFields>
        <textField/>
      </textFields>
    </textPr>
  </connection>
  <connection id="854" xr16:uid="{53A1FC9C-EDBC-46A6-8C59-0FA7682A3F33}" name="temp_google_sheet94" type="6" refreshedVersion="8" background="1" saveData="1">
    <textPr prompt="0" sourceFile="C:\ashish\Backup\Desktop\Other\ITTF\TournamentSoftware\DrawSoftware\DilliLabsTournamentSoftware\temp_google_sheet.csv" comma="1">
      <textFields>
        <textField/>
      </textFields>
    </textPr>
  </connection>
  <connection id="855" xr16:uid="{7353F4C4-3C66-42B5-85CC-23F6AA8730A9}" name="temp_google_sheet941" type="6" refreshedVersion="8" background="1" saveData="1">
    <textPr prompt="0" sourceFile="C:\ashish\Backup\Desktop\Other\ITTF\TournamentSoftware\DrawSoftware\DilliLabsTournamentSoftware\temp_google_sheet.csv" comma="1">
      <textFields>
        <textField/>
      </textFields>
    </textPr>
  </connection>
  <connection id="856" xr16:uid="{9EEBB612-DAC3-4FB5-8119-5CB0513E82B7}" name="temp_google_sheet95" type="6" refreshedVersion="8" background="1" saveData="1">
    <textPr prompt="0" sourceFile="C:\ashish\Backup\Desktop\Other\ITTF\TournamentSoftware\DrawSoftware\DilliLabsTournamentSoftware\temp_google_sheet.csv" comma="1">
      <textFields>
        <textField/>
      </textFields>
    </textPr>
  </connection>
  <connection id="857" xr16:uid="{960AD628-63CA-48CF-BF6A-3431E371F2E5}" name="temp_google_sheet951" type="6" refreshedVersion="8" background="1" saveData="1">
    <textPr prompt="0" sourceFile="C:\ashish\Backup\Desktop\Other\ITTF\TournamentSoftware\DrawSoftware\DilliLabsTournamentSoftware\temp_google_sheet.csv" comma="1">
      <textFields>
        <textField/>
      </textFields>
    </textPr>
  </connection>
  <connection id="858" xr16:uid="{40054146-20D7-4E57-9FD3-0629C71742AA}" name="temp_google_sheet96" type="6" refreshedVersion="8" background="1" saveData="1">
    <textPr prompt="0" sourceFile="C:\ashish\Backup\Desktop\Other\ITTF\TournamentSoftware\DrawSoftware\DilliLabsTournamentSoftware\temp_google_sheet.csv" comma="1">
      <textFields>
        <textField/>
      </textFields>
    </textPr>
  </connection>
  <connection id="859" xr16:uid="{DE8C0F8F-4D14-4363-8B1C-85C1A9A1E49B}" name="temp_google_sheet97" type="6" refreshedVersion="8" background="1" saveData="1">
    <textPr prompt="0" sourceFile="C:\ashish\Backup\Desktop\Other\ITTF\TournamentSoftware\DrawSoftware\DilliLabsTournamentSoftware\temp_google_sheet.csv" comma="1">
      <textFields>
        <textField/>
      </textFields>
    </textPr>
  </connection>
  <connection id="860" xr16:uid="{993E37B2-BE10-468D-9D8E-1A5413E8B8EF}" name="temp_google_sheet98" type="6" refreshedVersion="8" background="1" saveData="1">
    <textPr prompt="0" sourceFile="C:\ashish\Backup\Desktop\Delhi State Championship\temp_google_sheet.csv" comma="1">
      <textFields>
        <textField/>
      </textFields>
    </textPr>
  </connection>
  <connection id="861" xr16:uid="{7620DB37-3F6B-48A4-A89D-A191349175C1}" name="temp_google_sheet981" type="6" refreshedVersion="8" background="1" saveData="1">
    <textPr prompt="0" sourceFile="C:\ashish\Backup\Desktop\Other\ITTF\TournamentSoftware\DrawSoftware\DilliLabsTournamentSoftware\temp_google_sheet.csv" comma="1">
      <textFields>
        <textField/>
      </textFields>
    </textPr>
  </connection>
  <connection id="862" xr16:uid="{3A401D53-06B9-41F1-91CE-FE0BDE175112}" name="temp_google_sheet9811" type="6" refreshedVersion="8" background="1" saveData="1">
    <textPr prompt="0" sourceFile="C:\ashish\Backup\Desktop\Other\ITTF\TournamentSoftware\DrawSoftware\DilliLabsTournamentSoftware\temp_google_sheet.csv" comma="1">
      <textFields>
        <textField/>
      </textFields>
    </textPr>
  </connection>
  <connection id="863" xr16:uid="{E4D600F3-8E12-4E99-A6BA-A53E1499B1A8}" name="temp_google_sheet982" type="6" refreshedVersion="8" background="1" saveData="1">
    <textPr prompt="0" sourceFile="C:\ashish\Backup\Desktop\Delhi State Championship\temp_google_sheet.csv" comma="1">
      <textFields>
        <textField/>
      </textFields>
    </textPr>
  </connection>
  <connection id="864" xr16:uid="{1FC6B815-AE82-4C18-B840-3169A7EB92F5}" name="temp_google_sheet9821" type="6" refreshedVersion="8" background="1" saveData="1">
    <textPr prompt="0" sourceFile="C:\ashish\Backup\Desktop\Delhi State Championship\temp_google_sheet.csv" comma="1">
      <textFields>
        <textField/>
      </textFields>
    </textPr>
  </connection>
  <connection id="865" xr16:uid="{DD974D5B-0934-450F-9317-44DA3EB63CAF}" name="temp_google_sheet983" type="6" refreshedVersion="8" background="1" saveData="1">
    <textPr prompt="0" sourceFile="C:\ashish\Backup\Desktop\Delhi State Championship\temp_google_sheet.csv" comma="1">
      <textFields>
        <textField/>
      </textFields>
    </textPr>
  </connection>
  <connection id="866" xr16:uid="{3E498462-0131-4442-8D63-D448F770BE79}" name="temp_google_sheet9831" type="6" refreshedVersion="8" background="1" saveData="1">
    <textPr prompt="0" sourceFile="C:\ashish\Backup\Desktop\Delhi State Championship\temp_google_sheet.csv" comma="1">
      <textFields>
        <textField/>
      </textFields>
    </textPr>
  </connection>
  <connection id="867" xr16:uid="{09F7633E-AEAE-4C90-9A49-FEF7605938A2}" name="temp_google_sheet984" type="6" refreshedVersion="8" background="1" saveData="1">
    <textPr prompt="0" sourceFile="C:\ashish\Backup\Desktop\Delhi State Championship\temp_google_sheet.csv" comma="1">
      <textFields>
        <textField/>
      </textFields>
    </textPr>
  </connection>
  <connection id="868" xr16:uid="{FC01BA04-561E-4E81-9F98-1C6CBFBC3369}" name="temp_google_sheet9841" type="6" refreshedVersion="8" background="1" saveData="1">
    <textPr prompt="0" sourceFile="C:\ashish\Backup\Desktop\Delhi State Championship\temp_google_sheet.csv" comma="1">
      <textFields>
        <textField/>
      </textFields>
    </textPr>
  </connection>
  <connection id="869" xr16:uid="{83AA8F96-2078-4806-B5BB-23660DCAACDC}" name="temp_google_sheet985" type="6" refreshedVersion="8" background="1" saveData="1">
    <textPr prompt="0" sourceFile="C:\ashish\Backup\Desktop\Delhi State Championship\temp_google_sheet.csv" comma="1">
      <textFields>
        <textField/>
      </textFields>
    </textPr>
  </connection>
  <connection id="870" xr16:uid="{9FA68FA5-5913-40E3-A26B-B4E714B5E605}" name="temp_google_sheet9851" type="6" refreshedVersion="8" background="1" saveData="1">
    <textPr prompt="0" sourceFile="C:\ashish\Backup\Desktop\Delhi State Championship\temp_google_sheet.csv" comma="1">
      <textFields>
        <textField/>
      </textFields>
    </textPr>
  </connection>
  <connection id="871" xr16:uid="{FECF2FE0-A075-4FC6-9E0A-8D723C0BA951}" name="temp_google_sheet986" type="6" refreshedVersion="8" background="1" saveData="1">
    <textPr prompt="0" sourceFile="C:\ashish\Backup\Desktop\Delhi State Championship\temp_google_sheet.csv" comma="1">
      <textFields>
        <textField/>
      </textFields>
    </textPr>
  </connection>
  <connection id="872" xr16:uid="{0E25803F-22C7-48AF-9CF4-6EEDA3AA9C76}" name="temp_google_sheet99" type="6" refreshedVersion="8" background="1" saveData="1">
    <textPr prompt="0" sourceFile="C:\ashish\Backup\Desktop\Other\ITTF\TournamentSoftware\DrawSoftware\DilliLabsTournamentSoftware\temp_google_sheet.csv" comma="1">
      <textFields>
        <textField/>
      </textFields>
    </textPr>
  </connection>
  <connection id="873" xr16:uid="{691CD8A7-FF8C-4DF2-88F8-6A3FC8863806}" name="temp_google_sheet991" type="6" refreshedVersion="8" background="1" saveData="1">
    <textPr prompt="0" sourceFile="C:\ashish\Backup\Desktop\Other\ITTF\TournamentSoftware\DrawSoftware\DilliLabsTournamentSoftware\temp_google_sheet.csv" comma="1">
      <textFields>
        <textField/>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<sst xmlns="http://schemas.openxmlformats.org/spreadsheetml/2006/main" count="6300" uniqueCount="2373">
  <si>
    <t>Name of Player</t>
  </si>
  <si>
    <t>District</t>
  </si>
  <si>
    <t>Tournament Name</t>
  </si>
  <si>
    <t>Date</t>
  </si>
  <si>
    <t>Location</t>
  </si>
  <si>
    <t>Logo1</t>
  </si>
  <si>
    <t>Logo2</t>
  </si>
  <si>
    <t>Logo3</t>
  </si>
  <si>
    <t>Developer Logo</t>
  </si>
  <si>
    <t>Select Category</t>
  </si>
  <si>
    <t>Seed</t>
  </si>
  <si>
    <t>Player Name</t>
  </si>
  <si>
    <t>Draw#</t>
  </si>
  <si>
    <t>Group</t>
  </si>
  <si>
    <t>Rank</t>
  </si>
  <si>
    <t>HELPER</t>
  </si>
  <si>
    <t>CategoryColumn</t>
  </si>
  <si>
    <t>Tournament Info1</t>
  </si>
  <si>
    <t>Tournament Info2</t>
  </si>
  <si>
    <t>Tournament Software Solution</t>
  </si>
  <si>
    <t>Total Entries</t>
  </si>
  <si>
    <t>Player</t>
  </si>
  <si>
    <t>Helper</t>
  </si>
  <si>
    <t>NumEntries</t>
  </si>
  <si>
    <t>Range</t>
  </si>
  <si>
    <t>Category</t>
  </si>
  <si>
    <t>Num Seeds</t>
  </si>
  <si>
    <t>Winner Sign</t>
  </si>
  <si>
    <t>Start Time</t>
  </si>
  <si>
    <t>Num Tables</t>
  </si>
  <si>
    <t>Start Date</t>
  </si>
  <si>
    <t>Scheduling</t>
  </si>
  <si>
    <t>Round</t>
  </si>
  <si>
    <t>Table Names</t>
  </si>
  <si>
    <t>Table#</t>
  </si>
  <si>
    <t>TableName</t>
  </si>
  <si>
    <t>T5</t>
  </si>
  <si>
    <t>T6</t>
  </si>
  <si>
    <t>T7</t>
  </si>
  <si>
    <t>Siddhi Singh</t>
  </si>
  <si>
    <t>Yogita</t>
  </si>
  <si>
    <t>Aditi Gusain</t>
  </si>
  <si>
    <t>Rameesha Mannat Hassan</t>
  </si>
  <si>
    <t>AMISHI CHADDHA</t>
  </si>
  <si>
    <t>Saamya Sukhija</t>
  </si>
  <si>
    <t>Anika Aggarwal</t>
  </si>
  <si>
    <t>Leesha Aggarwal</t>
  </si>
  <si>
    <t>Shanaya Tyagi</t>
  </si>
  <si>
    <t>Riddhima Singh</t>
  </si>
  <si>
    <t>Dhaani Jain</t>
  </si>
  <si>
    <t>Aishi Kashyap</t>
  </si>
  <si>
    <t>Prisha Tandon</t>
  </si>
  <si>
    <t>Grace Sukhija</t>
  </si>
  <si>
    <t>Bhavya</t>
  </si>
  <si>
    <t>Janvi Garg</t>
  </si>
  <si>
    <t>Pratigya</t>
  </si>
  <si>
    <t>Akanksha Singhal</t>
  </si>
  <si>
    <t>Ayushi Singhal</t>
  </si>
  <si>
    <t>Divyanshi Nagar</t>
  </si>
  <si>
    <t>Raayna Wasim</t>
  </si>
  <si>
    <t>Hardik Kumar</t>
  </si>
  <si>
    <t>Suhana</t>
  </si>
  <si>
    <t>Aavia Khandelwal</t>
  </si>
  <si>
    <t>Kavya Jain</t>
  </si>
  <si>
    <t>Tayesha Jain</t>
  </si>
  <si>
    <t>Raunak Gulati</t>
  </si>
  <si>
    <t>Siddhi Dwivedi</t>
  </si>
  <si>
    <t>Tushti Sood</t>
  </si>
  <si>
    <t>Vinaya Khandelwal</t>
  </si>
  <si>
    <t>Avika Mittal</t>
  </si>
  <si>
    <t>Riddhi</t>
  </si>
  <si>
    <t>R</t>
  </si>
  <si>
    <t>M</t>
  </si>
  <si>
    <t>Player A</t>
  </si>
  <si>
    <t>Player B</t>
  </si>
  <si>
    <t>Winner</t>
  </si>
  <si>
    <t>Score</t>
  </si>
  <si>
    <t>ToPrint</t>
  </si>
  <si>
    <t>Printed</t>
  </si>
  <si>
    <t>S</t>
  </si>
  <si>
    <t>P1#</t>
  </si>
  <si>
    <t>P2#</t>
  </si>
  <si>
    <t>Schedule</t>
  </si>
  <si>
    <t>Arunim Agarwal</t>
  </si>
  <si>
    <t>Anant Gupta</t>
  </si>
  <si>
    <t>Yashas Yagya</t>
  </si>
  <si>
    <t>Atherva Gupta</t>
  </si>
  <si>
    <t>Lakshita Narang</t>
  </si>
  <si>
    <t>Riddhima Kapoor</t>
  </si>
  <si>
    <t>DIYA BRAMHACHARY</t>
  </si>
  <si>
    <t>Kriyansh Khosla</t>
  </si>
  <si>
    <t>Samarth Singh</t>
  </si>
  <si>
    <t>Garima Goyal</t>
  </si>
  <si>
    <t>Vanshika Mudgal</t>
  </si>
  <si>
    <t>Aarohi Chaudhary</t>
  </si>
  <si>
    <t>Abhinandan Pandey</t>
  </si>
  <si>
    <t>Vian Khosla</t>
  </si>
  <si>
    <t>Raunaq Goel</t>
  </si>
  <si>
    <t>Kabir Dhingra</t>
  </si>
  <si>
    <t>Bhaskar Singh Sugra</t>
  </si>
  <si>
    <t>Vanshika Bhargava</t>
  </si>
  <si>
    <t>Sayanika Maji</t>
  </si>
  <si>
    <t>Prisha Goel</t>
  </si>
  <si>
    <t>Jenya</t>
  </si>
  <si>
    <t>Kavish Hasti</t>
  </si>
  <si>
    <t>Ayandeep Singh</t>
  </si>
  <si>
    <t>Shaurya Pratap</t>
  </si>
  <si>
    <t>Mohak Mishra</t>
  </si>
  <si>
    <t>Vansh Parashar</t>
  </si>
  <si>
    <t>Aditi Kalra</t>
  </si>
  <si>
    <t>Aradhya Kashyap</t>
  </si>
  <si>
    <t>Aditya Vasdev</t>
  </si>
  <si>
    <t>Akshit Bhatia</t>
  </si>
  <si>
    <t>Kaashvi Gupta</t>
  </si>
  <si>
    <t>Aradhya Budhiraja</t>
  </si>
  <si>
    <t>Privya Baruah Das</t>
  </si>
  <si>
    <t>Lakshay Puri</t>
  </si>
  <si>
    <t>Piyush Sharma</t>
  </si>
  <si>
    <t>Ankana Kalra</t>
  </si>
  <si>
    <t>Dhruv Sehgal</t>
  </si>
  <si>
    <t>Shaurya Gupta</t>
  </si>
  <si>
    <t>Archa Jain</t>
  </si>
  <si>
    <t>Abeer Tandon</t>
  </si>
  <si>
    <t>Shreya Limaye</t>
  </si>
  <si>
    <t>Yashvi Duggal</t>
  </si>
  <si>
    <t>Manansh Bhardwaj</t>
  </si>
  <si>
    <t>Parth Sharma</t>
  </si>
  <si>
    <t>Ashish Jain</t>
  </si>
  <si>
    <t>Vivaan Gupta</t>
  </si>
  <si>
    <t>Aditya Kanwar</t>
  </si>
  <si>
    <t>Ayaan Malhan</t>
  </si>
  <si>
    <t>Vihan Rathee</t>
  </si>
  <si>
    <t>Yuvaan Goel</t>
  </si>
  <si>
    <t>Gunjan</t>
  </si>
  <si>
    <t>Kyra Dutt</t>
  </si>
  <si>
    <t>Rayansh Chaturvedi</t>
  </si>
  <si>
    <t>Kahn Patawari</t>
  </si>
  <si>
    <t>Gursehajdeep Singh</t>
  </si>
  <si>
    <t>Manasvi Gaur</t>
  </si>
  <si>
    <t>Vedanshi Bolishetty</t>
  </si>
  <si>
    <t>AYAAN SINGHAL</t>
  </si>
  <si>
    <t>Alankrit Madan</t>
  </si>
  <si>
    <t>Soham Gupta</t>
  </si>
  <si>
    <t>Diyana Luthra</t>
  </si>
  <si>
    <t>Dhanya Gupta</t>
  </si>
  <si>
    <t>Miraan Sharma</t>
  </si>
  <si>
    <t>Vivaan Goyal</t>
  </si>
  <si>
    <t>Shaurya Sachdeva</t>
  </si>
  <si>
    <t>HARSHIT MITTAL</t>
  </si>
  <si>
    <t>Apaar lamba</t>
  </si>
  <si>
    <t>Yuvraj Tanwar</t>
  </si>
  <si>
    <t>Dhriti Gupta</t>
  </si>
  <si>
    <t>Aadvika Bisht</t>
  </si>
  <si>
    <t>REYAANSH PATRA</t>
  </si>
  <si>
    <t>Vihaan Goel</t>
  </si>
  <si>
    <t>Shabd Mahajan</t>
  </si>
  <si>
    <t>Divyanshu Bhargav</t>
  </si>
  <si>
    <t>Dripto Purkayastha</t>
  </si>
  <si>
    <t>Jahnvi Sharma</t>
  </si>
  <si>
    <t>Akshita Kashyap</t>
  </si>
  <si>
    <t>ATHARV AGARWAL</t>
  </si>
  <si>
    <t>Arhaan Dharwarkar</t>
  </si>
  <si>
    <t>Vatsal bothra</t>
  </si>
  <si>
    <t>Manan Bararia</t>
  </si>
  <si>
    <t>Nishtha jain</t>
  </si>
  <si>
    <t>Roshni Wasim</t>
  </si>
  <si>
    <t>Poorvi Rajput</t>
  </si>
  <si>
    <t>RIAAN GOLA</t>
  </si>
  <si>
    <t>Reyansh goel</t>
  </si>
  <si>
    <t>Heer Vohra</t>
  </si>
  <si>
    <t>Mehransh Singh Bhatia</t>
  </si>
  <si>
    <t>Samarth Gupta</t>
  </si>
  <si>
    <t>Pratyaksh sharma</t>
  </si>
  <si>
    <t>Natasha Kaur</t>
  </si>
  <si>
    <t>Saumya Sharma</t>
  </si>
  <si>
    <t>Shaurya Sharma</t>
  </si>
  <si>
    <t>VIHAN GULANI</t>
  </si>
  <si>
    <t>Vivaan gupta</t>
  </si>
  <si>
    <t>AAYUSH OHRI</t>
  </si>
  <si>
    <t>Payal sharma</t>
  </si>
  <si>
    <t>Divya</t>
  </si>
  <si>
    <t>BISRAJ SINGH KHURANA</t>
  </si>
  <si>
    <t>Vivan Gupta</t>
  </si>
  <si>
    <t>Shaurya Prakash Singh</t>
  </si>
  <si>
    <t>Arnav Goel</t>
  </si>
  <si>
    <t>Ridit Sharma</t>
  </si>
  <si>
    <t>REYANSH GARG</t>
  </si>
  <si>
    <t>VIVAN KHANNA</t>
  </si>
  <si>
    <t>Kanv Saraff</t>
  </si>
  <si>
    <t>Purva Chopra</t>
  </si>
  <si>
    <t>Tanisha Paira</t>
  </si>
  <si>
    <t>Saavi Verma</t>
  </si>
  <si>
    <t>Arnika Vishwakarma</t>
  </si>
  <si>
    <t>ARNAV SOUBHAGYA ROUL</t>
  </si>
  <si>
    <t>Daksh Kumar</t>
  </si>
  <si>
    <t>AMAIRA AGARWAL</t>
  </si>
  <si>
    <t>Tarush Bansal</t>
  </si>
  <si>
    <t>ABHYUDAY AGGARWAL</t>
  </si>
  <si>
    <t>Ayan Aggarwal</t>
  </si>
  <si>
    <t>Arnav Sharma</t>
  </si>
  <si>
    <t>Paavni Gupta</t>
  </si>
  <si>
    <t>Kaavya Sareen</t>
  </si>
  <si>
    <t>Rachit Prasad</t>
  </si>
  <si>
    <t>Krishang Dev Chhabra</t>
  </si>
  <si>
    <t>Arpit Marwah</t>
  </si>
  <si>
    <t>Goral Chawla</t>
  </si>
  <si>
    <t>Reyansh Thukral</t>
  </si>
  <si>
    <t>Shrey Singhal</t>
  </si>
  <si>
    <t>Tejas Sethi</t>
  </si>
  <si>
    <t>Ayaan Jain</t>
  </si>
  <si>
    <t>Agastya Aggarwal</t>
  </si>
  <si>
    <t>Suryansh Raturi</t>
  </si>
  <si>
    <t>Viaan Verma</t>
  </si>
  <si>
    <t>Agastya Sharma</t>
  </si>
  <si>
    <t>Abhigyan dubey</t>
  </si>
  <si>
    <t>Shakul Yadav</t>
  </si>
  <si>
    <t>Aarav sharma</t>
  </si>
  <si>
    <t>Arit Jain</t>
  </si>
  <si>
    <t>ARJUN BEDI</t>
  </si>
  <si>
    <t>Yuvraj Gambhir</t>
  </si>
  <si>
    <t>Saransh Chauhan</t>
  </si>
  <si>
    <t>RAYIRTH</t>
  </si>
  <si>
    <t>Muskaan sehgal</t>
  </si>
  <si>
    <t>Reyansh Saraf</t>
  </si>
  <si>
    <t>Adhrit Haldhar</t>
  </si>
  <si>
    <t>Kanav Bansal</t>
  </si>
  <si>
    <t>Kavya Maheshwari</t>
  </si>
  <si>
    <t>AYUSH SHARMA</t>
  </si>
  <si>
    <t>Yuvaan Maheshwari</t>
  </si>
  <si>
    <t>Yug Choudhary</t>
  </si>
  <si>
    <t>Reyansh Mondal</t>
  </si>
  <si>
    <t>Tejas Narang</t>
  </si>
  <si>
    <t>Ayaan Kapoor</t>
  </si>
  <si>
    <t>Yuvraj Singh</t>
  </si>
  <si>
    <t>Natania Jain</t>
  </si>
  <si>
    <t>Pawan Kumar</t>
  </si>
  <si>
    <t>RUDRA MALPANI</t>
  </si>
  <si>
    <t>Punyah Setia</t>
  </si>
  <si>
    <t>Atharv Gulati</t>
  </si>
  <si>
    <t>SANSKRITI BAISOYA</t>
  </si>
  <si>
    <t>Advik Singh</t>
  </si>
  <si>
    <t>Arnav Jain</t>
  </si>
  <si>
    <t>Abhiyuday</t>
  </si>
  <si>
    <t>Pranav Thukral</t>
  </si>
  <si>
    <t>Priyanshu Aryan</t>
  </si>
  <si>
    <t>Vivansh Gupta</t>
  </si>
  <si>
    <t>Arth Pratap</t>
  </si>
  <si>
    <t>YATHARTH MEDHA</t>
  </si>
  <si>
    <t>Daksh Khandelwal</t>
  </si>
  <si>
    <t>Shiv Talwar</t>
  </si>
  <si>
    <t>Atharv tyagi</t>
  </si>
  <si>
    <t>Aradhya jain</t>
  </si>
  <si>
    <t>Drish chopra</t>
  </si>
  <si>
    <t>Aariv Jain</t>
  </si>
  <si>
    <t>Aarav Gupta</t>
  </si>
  <si>
    <t>Hiten Arora</t>
  </si>
  <si>
    <t>Aarit jindal</t>
  </si>
  <si>
    <t>Aryan Chand</t>
  </si>
  <si>
    <t>Tanishq Verma</t>
  </si>
  <si>
    <t>LUCKY</t>
  </si>
  <si>
    <t>Yashaan Sachdeva</t>
  </si>
  <si>
    <t>Shiven Rainkwal</t>
  </si>
  <si>
    <t>ABHINAV SHARMA</t>
  </si>
  <si>
    <t>Darshan Gaggar</t>
  </si>
  <si>
    <t>Mitish Kalra</t>
  </si>
  <si>
    <t>SAATVIK BANSAL</t>
  </si>
  <si>
    <t>Kanishk Bansal</t>
  </si>
  <si>
    <t>agam</t>
  </si>
  <si>
    <t>Jai Gusain</t>
  </si>
  <si>
    <t>Chitraksh Arora</t>
  </si>
  <si>
    <t>Ayaansh Singhal</t>
  </si>
  <si>
    <t>Rajit Kapoor</t>
  </si>
  <si>
    <t>Niranjan Arun</t>
  </si>
  <si>
    <t>Avyay Jain</t>
  </si>
  <si>
    <t>Rohan Arora</t>
  </si>
  <si>
    <t>Daksh Tayal</t>
  </si>
  <si>
    <t>Tejas Gupta</t>
  </si>
  <si>
    <t>Pritush Sharma</t>
  </si>
  <si>
    <t>Dhairya Newar</t>
  </si>
  <si>
    <t>Darsh Goyal</t>
  </si>
  <si>
    <t>SATVIK SAHU</t>
  </si>
  <si>
    <t>Tanmay Gupta</t>
  </si>
  <si>
    <t>M1</t>
  </si>
  <si>
    <t>M2</t>
  </si>
  <si>
    <t>M3</t>
  </si>
  <si>
    <t>Abhav Bansal</t>
  </si>
  <si>
    <t>Samarth Arya</t>
  </si>
  <si>
    <t>T1</t>
  </si>
  <si>
    <t>T2</t>
  </si>
  <si>
    <t>T3</t>
  </si>
  <si>
    <t>T4</t>
  </si>
  <si>
    <t>Final</t>
  </si>
  <si>
    <t>Players</t>
  </si>
  <si>
    <t>Winner:</t>
  </si>
  <si>
    <t>Umpire Sign</t>
  </si>
  <si>
    <t>Sets</t>
  </si>
  <si>
    <t>Sets per Round</t>
  </si>
  <si>
    <t>SF</t>
  </si>
  <si>
    <t>F</t>
  </si>
  <si>
    <t>Default</t>
  </si>
  <si>
    <t>QF</t>
  </si>
  <si>
    <t>PQF</t>
  </si>
  <si>
    <t xml:space="preserve">Enable Audio </t>
  </si>
  <si>
    <t>Animation Delay time (in ms)</t>
  </si>
  <si>
    <t>Men</t>
  </si>
  <si>
    <t>Women</t>
  </si>
  <si>
    <t>#</t>
  </si>
  <si>
    <t>Name</t>
  </si>
  <si>
    <t>Date of Birth</t>
  </si>
  <si>
    <t>Gender</t>
  </si>
  <si>
    <t>Registration ID</t>
  </si>
  <si>
    <t>ATHERVA GUPTA</t>
  </si>
  <si>
    <t>Male</t>
  </si>
  <si>
    <t>East-Delhi</t>
  </si>
  <si>
    <t>DL24081001</t>
  </si>
  <si>
    <t>Janvi garg</t>
  </si>
  <si>
    <t>Female</t>
  </si>
  <si>
    <t>North-Delhi</t>
  </si>
  <si>
    <t>DL24121002</t>
  </si>
  <si>
    <t>South-Delhi</t>
  </si>
  <si>
    <t>DL24121003</t>
  </si>
  <si>
    <t>DL24101004</t>
  </si>
  <si>
    <t>New-Delhi</t>
  </si>
  <si>
    <t>DL24121005</t>
  </si>
  <si>
    <t>ARCHA JAIN</t>
  </si>
  <si>
    <t>DL24071006</t>
  </si>
  <si>
    <t>ASHISH JAIN</t>
  </si>
  <si>
    <t>DL24071007</t>
  </si>
  <si>
    <t>PAYAS JAIN</t>
  </si>
  <si>
    <t>DL24041008</t>
  </si>
  <si>
    <t>Central-Delhi</t>
  </si>
  <si>
    <t>DL24121009</t>
  </si>
  <si>
    <t>South-West</t>
  </si>
  <si>
    <t>DL24141010</t>
  </si>
  <si>
    <t>JAI MAHAJAN</t>
  </si>
  <si>
    <t>Sarthak Arya</t>
  </si>
  <si>
    <t>North-West-Delhi</t>
  </si>
  <si>
    <t>DL24091012</t>
  </si>
  <si>
    <t>North-East-Delhi</t>
  </si>
  <si>
    <t>DL24111013</t>
  </si>
  <si>
    <t>DL24081014</t>
  </si>
  <si>
    <t>DL24141015</t>
  </si>
  <si>
    <t>DL24101016</t>
  </si>
  <si>
    <t>DL24121017</t>
  </si>
  <si>
    <t>DL24111018</t>
  </si>
  <si>
    <t>Grace sukhija</t>
  </si>
  <si>
    <t>DL24141019</t>
  </si>
  <si>
    <t>NAMAN KUMAR</t>
  </si>
  <si>
    <t>DL24081020</t>
  </si>
  <si>
    <t>DL24121021</t>
  </si>
  <si>
    <t>DL24061022</t>
  </si>
  <si>
    <t>DL24131023</t>
  </si>
  <si>
    <t>Vansh Singhal</t>
  </si>
  <si>
    <t>DL24021024</t>
  </si>
  <si>
    <t>Rishhick Ghai</t>
  </si>
  <si>
    <t>West-Delhi</t>
  </si>
  <si>
    <t>Gurtej Singh</t>
  </si>
  <si>
    <t>DL24081027</t>
  </si>
  <si>
    <t>Rakesh Sachdeva</t>
  </si>
  <si>
    <t>SAMPANN BANSAL</t>
  </si>
  <si>
    <t>DL24071029</t>
  </si>
  <si>
    <t>DL24101030</t>
  </si>
  <si>
    <t>DL24081031</t>
  </si>
  <si>
    <t>Vivek Agarwal</t>
  </si>
  <si>
    <t>DL24091033</t>
  </si>
  <si>
    <t>DL24101034</t>
  </si>
  <si>
    <t>Aaditva Nanda</t>
  </si>
  <si>
    <t>Shahadra</t>
  </si>
  <si>
    <t>DL24071036</t>
  </si>
  <si>
    <t>DL24071037</t>
  </si>
  <si>
    <t>saatvik singhal</t>
  </si>
  <si>
    <t>DL24071038</t>
  </si>
  <si>
    <t>SAANVI SINGHAL</t>
  </si>
  <si>
    <t>DL24071040</t>
  </si>
  <si>
    <t>Aarna Gauhar Ahuja</t>
  </si>
  <si>
    <t>DL24101041</t>
  </si>
  <si>
    <t>ANVIT</t>
  </si>
  <si>
    <t>DL24161042</t>
  </si>
  <si>
    <t>ATHARV TANEJA</t>
  </si>
  <si>
    <t>DL24141044</t>
  </si>
  <si>
    <t>DL24141045</t>
  </si>
  <si>
    <t>DL24141046</t>
  </si>
  <si>
    <t>Vedant Vaibhav Chauhan</t>
  </si>
  <si>
    <t>DL24151047</t>
  </si>
  <si>
    <t>DL24131049</t>
  </si>
  <si>
    <t>DL24151050</t>
  </si>
  <si>
    <t>DL24171051</t>
  </si>
  <si>
    <t>DL24111052</t>
  </si>
  <si>
    <t>Tamanna saini</t>
  </si>
  <si>
    <t>DL24991053</t>
  </si>
  <si>
    <t>PRISHA GOEL</t>
  </si>
  <si>
    <t>DL24091054</t>
  </si>
  <si>
    <t>Rasika Khemka</t>
  </si>
  <si>
    <t>Ameya Nitish Shanbhag</t>
  </si>
  <si>
    <t>DL24101056</t>
  </si>
  <si>
    <t>Shabd Dehay Ahuja</t>
  </si>
  <si>
    <t>DL24161057</t>
  </si>
  <si>
    <t>DL24131059</t>
  </si>
  <si>
    <t>DL24131061</t>
  </si>
  <si>
    <t>DL24111062</t>
  </si>
  <si>
    <t>DL24121063</t>
  </si>
  <si>
    <t>DL24101064</t>
  </si>
  <si>
    <t>Reyansh Beniwal</t>
  </si>
  <si>
    <t>Yashika Sharma</t>
  </si>
  <si>
    <t>DL24061067</t>
  </si>
  <si>
    <t>Tayesha jain</t>
  </si>
  <si>
    <t>DL24131068</t>
  </si>
  <si>
    <t>DL24101069</t>
  </si>
  <si>
    <t>DL24071070</t>
  </si>
  <si>
    <t>DL24101071</t>
  </si>
  <si>
    <t>VEDAANG ANAND</t>
  </si>
  <si>
    <t>Shivjit Singh Lamba</t>
  </si>
  <si>
    <t>DL24011073</t>
  </si>
  <si>
    <t>DL24941074</t>
  </si>
  <si>
    <t>ANAYA JINDAL</t>
  </si>
  <si>
    <t>DL24141075</t>
  </si>
  <si>
    <t>Advay Gupta</t>
  </si>
  <si>
    <t>DL24131076</t>
  </si>
  <si>
    <t>Aditya Jain</t>
  </si>
  <si>
    <t>DL24051077</t>
  </si>
  <si>
    <t>Aadvik jain</t>
  </si>
  <si>
    <t>DL24141078</t>
  </si>
  <si>
    <t>Pratham Budhiraja</t>
  </si>
  <si>
    <t>Aagamjot singh</t>
  </si>
  <si>
    <t>PRANAY BHARDWAJ</t>
  </si>
  <si>
    <t>DL24111082</t>
  </si>
  <si>
    <t>REYANSH KAPOOR</t>
  </si>
  <si>
    <t>DL24161083</t>
  </si>
  <si>
    <t>Yatharth Sharma</t>
  </si>
  <si>
    <t>MANANSH BHARDWAJ</t>
  </si>
  <si>
    <t>DL24171085</t>
  </si>
  <si>
    <t>SHREY SINGHAL</t>
  </si>
  <si>
    <t>SUDHANSHU</t>
  </si>
  <si>
    <t>DL24081087</t>
  </si>
  <si>
    <t>H.lalruatsanga</t>
  </si>
  <si>
    <t>DL24061088</t>
  </si>
  <si>
    <t>Darsh Chadha</t>
  </si>
  <si>
    <t>DL24121089</t>
  </si>
  <si>
    <t>DL24111090</t>
  </si>
  <si>
    <t>DL24151091</t>
  </si>
  <si>
    <t>DL24151092</t>
  </si>
  <si>
    <t>DIVYANSHI NAGAR</t>
  </si>
  <si>
    <t>DL24121093</t>
  </si>
  <si>
    <t>Utkarsh Bora</t>
  </si>
  <si>
    <t>Tejas narang</t>
  </si>
  <si>
    <t>DL24061095</t>
  </si>
  <si>
    <t>DL24051096</t>
  </si>
  <si>
    <t>Kartik gupta</t>
  </si>
  <si>
    <t>DL24061097</t>
  </si>
  <si>
    <t>UTKARSH GUPTA</t>
  </si>
  <si>
    <t>DL24971098</t>
  </si>
  <si>
    <t>Daksh Somani</t>
  </si>
  <si>
    <t>DAKSH KUMAR</t>
  </si>
  <si>
    <t>DL24091100</t>
  </si>
  <si>
    <t>HARDIK KUMAR</t>
  </si>
  <si>
    <t>DL24131101</t>
  </si>
  <si>
    <t>Deepanshu Pal</t>
  </si>
  <si>
    <t>DL24041102</t>
  </si>
  <si>
    <t>DL24031103</t>
  </si>
  <si>
    <t>DL24101104</t>
  </si>
  <si>
    <t>Darsh Aggarwal</t>
  </si>
  <si>
    <t>Ridhima Yadav</t>
  </si>
  <si>
    <t>DL24091106</t>
  </si>
  <si>
    <t>DIVYANSHI</t>
  </si>
  <si>
    <t>DL24111107</t>
  </si>
  <si>
    <t>Anushka Shankar</t>
  </si>
  <si>
    <t>DL24091108</t>
  </si>
  <si>
    <t>ANSH DURGAPAL</t>
  </si>
  <si>
    <t>DL24111109</t>
  </si>
  <si>
    <t>DL24101110</t>
  </si>
  <si>
    <t>Gurmeet Singh</t>
  </si>
  <si>
    <t>AADITA KHANDUJA</t>
  </si>
  <si>
    <t>DL24111112</t>
  </si>
  <si>
    <t>Arrush Yadav</t>
  </si>
  <si>
    <t>NAMRATHA B SINNUR</t>
  </si>
  <si>
    <t>DL24091114</t>
  </si>
  <si>
    <t>Himank Aggarwal</t>
  </si>
  <si>
    <t>Pranshi Anand</t>
  </si>
  <si>
    <t>DL24121116</t>
  </si>
  <si>
    <t>ARNIKA VISHWAKARMA</t>
  </si>
  <si>
    <t>DL24121117</t>
  </si>
  <si>
    <t>DL24121118</t>
  </si>
  <si>
    <t>Aishani Gupta</t>
  </si>
  <si>
    <t>DL24081119</t>
  </si>
  <si>
    <t>Kanav chugh</t>
  </si>
  <si>
    <t>DL24091121</t>
  </si>
  <si>
    <t>Aadit Gupta</t>
  </si>
  <si>
    <t>DL24101122</t>
  </si>
  <si>
    <t>DL24071123</t>
  </si>
  <si>
    <t>Avval Katara</t>
  </si>
  <si>
    <t>DL24101125</t>
  </si>
  <si>
    <t>ADITYA CHAUHAN</t>
  </si>
  <si>
    <t>DL24081126</t>
  </si>
  <si>
    <t>DL24091127</t>
  </si>
  <si>
    <t>SUHANA</t>
  </si>
  <si>
    <t>DL24111128</t>
  </si>
  <si>
    <t>DL24081130</t>
  </si>
  <si>
    <t>Agastya Dubey</t>
  </si>
  <si>
    <t>ANIRUDHA AGARWAL</t>
  </si>
  <si>
    <t>Manas Karan</t>
  </si>
  <si>
    <t>Tisha Kohli</t>
  </si>
  <si>
    <t>DL24031134</t>
  </si>
  <si>
    <t>DL24091135</t>
  </si>
  <si>
    <t>Priyanshi gupta</t>
  </si>
  <si>
    <t>DL24111137</t>
  </si>
  <si>
    <t>DL24081138</t>
  </si>
  <si>
    <t>LUBHIT SAINI</t>
  </si>
  <si>
    <t>DL24031139</t>
  </si>
  <si>
    <t>CHAITANYA BATRA</t>
  </si>
  <si>
    <t>SANDHYA KUMARI</t>
  </si>
  <si>
    <t>DL24081142</t>
  </si>
  <si>
    <t>DL24121144</t>
  </si>
  <si>
    <t>SATYAM KUMAR</t>
  </si>
  <si>
    <t>DL24111145</t>
  </si>
  <si>
    <t>ARCHANA</t>
  </si>
  <si>
    <t>DL24101146</t>
  </si>
  <si>
    <t>Anika kapoor</t>
  </si>
  <si>
    <t>DL24131147</t>
  </si>
  <si>
    <t>DL24131148</t>
  </si>
  <si>
    <t>KANISHKA</t>
  </si>
  <si>
    <t>DL24101149</t>
  </si>
  <si>
    <t>DL24121150</t>
  </si>
  <si>
    <t>DL24151151</t>
  </si>
  <si>
    <t>Tanisha Malani</t>
  </si>
  <si>
    <t>DL24071152</t>
  </si>
  <si>
    <t>DHAIRYA GUPTA</t>
  </si>
  <si>
    <t>BIRAT BASTIA</t>
  </si>
  <si>
    <t>DL24101154</t>
  </si>
  <si>
    <t>Shivansh Aggarjee</t>
  </si>
  <si>
    <t>DL24141156</t>
  </si>
  <si>
    <t>nipun sharma</t>
  </si>
  <si>
    <t>DL24111157</t>
  </si>
  <si>
    <t>Kashvi Dhama</t>
  </si>
  <si>
    <t>DL24111159</t>
  </si>
  <si>
    <t>DL24131160</t>
  </si>
  <si>
    <t>AVYUKT KOHLI</t>
  </si>
  <si>
    <t>DL24131161</t>
  </si>
  <si>
    <t>DL24091162</t>
  </si>
  <si>
    <t>DL24081163</t>
  </si>
  <si>
    <t>AASHMAN SINGH CHADHA</t>
  </si>
  <si>
    <t>DL24171167</t>
  </si>
  <si>
    <t>Chinmay Thakkar</t>
  </si>
  <si>
    <t>KRISHA KALRA</t>
  </si>
  <si>
    <t>DL24121169</t>
  </si>
  <si>
    <t>Siddharth Pandey</t>
  </si>
  <si>
    <t>DL24131170</t>
  </si>
  <si>
    <t>Chestha</t>
  </si>
  <si>
    <t>Kiara kapoor</t>
  </si>
  <si>
    <t>DL24131172</t>
  </si>
  <si>
    <t>KRISHA SHEKATKAR</t>
  </si>
  <si>
    <t>KAVYA BATRA</t>
  </si>
  <si>
    <t>YASHASVI JASSAL</t>
  </si>
  <si>
    <t>DL24131177</t>
  </si>
  <si>
    <t>Abhilash Thomas</t>
  </si>
  <si>
    <t>DL24841178</t>
  </si>
  <si>
    <t>DL24121179</t>
  </si>
  <si>
    <t>DL24141180</t>
  </si>
  <si>
    <t>DL24151181</t>
  </si>
  <si>
    <t>Lavyansh Solanki</t>
  </si>
  <si>
    <t>DL24101183</t>
  </si>
  <si>
    <t>YASHAS YAGYA</t>
  </si>
  <si>
    <t>DL24101184</t>
  </si>
  <si>
    <t>DL24151185</t>
  </si>
  <si>
    <t>Inam Waris</t>
  </si>
  <si>
    <t>Kamyank Kapoor</t>
  </si>
  <si>
    <t>Tanzia sharma</t>
  </si>
  <si>
    <t>DL24051188</t>
  </si>
  <si>
    <t>DL24081189</t>
  </si>
  <si>
    <t>REHAAN JAIN</t>
  </si>
  <si>
    <t>DL24021191</t>
  </si>
  <si>
    <t>Sharanya Bajaj</t>
  </si>
  <si>
    <t>DL24151192</t>
  </si>
  <si>
    <t>Ishanvi chandra</t>
  </si>
  <si>
    <t>DL24131193</t>
  </si>
  <si>
    <t>Raghav Prabhat Poddar</t>
  </si>
  <si>
    <t>DL24141194</t>
  </si>
  <si>
    <t>Manav Sharma</t>
  </si>
  <si>
    <t>DL24751195</t>
  </si>
  <si>
    <t>IVAAN SACHDEVA</t>
  </si>
  <si>
    <t>DL24161196</t>
  </si>
  <si>
    <t>Parth Bhargava</t>
  </si>
  <si>
    <t>Arnav Yadav</t>
  </si>
  <si>
    <t>DL24071198</t>
  </si>
  <si>
    <t>DL24121199</t>
  </si>
  <si>
    <t>DL24131200</t>
  </si>
  <si>
    <t>SAMARTH BISHNOI</t>
  </si>
  <si>
    <t>Mehreen Sharma</t>
  </si>
  <si>
    <t>Anuj Dhankhar</t>
  </si>
  <si>
    <t>DL24081203</t>
  </si>
  <si>
    <t>Priyanshu Gaur</t>
  </si>
  <si>
    <t>DL24131206</t>
  </si>
  <si>
    <t>ADITYA</t>
  </si>
  <si>
    <t>DL24141207</t>
  </si>
  <si>
    <t>Drish Chopra</t>
  </si>
  <si>
    <t>Loveleen Sharma</t>
  </si>
  <si>
    <t>Riddhi Mittal</t>
  </si>
  <si>
    <t>DL24111210</t>
  </si>
  <si>
    <t>Aadarsh Om Chhetri</t>
  </si>
  <si>
    <t>DL24051212</t>
  </si>
  <si>
    <t>Medhansh Agrawal</t>
  </si>
  <si>
    <t>DL24101213</t>
  </si>
  <si>
    <t>Puneet</t>
  </si>
  <si>
    <t>DL24991214</t>
  </si>
  <si>
    <t>KIAAN KHANNA</t>
  </si>
  <si>
    <t>AASHI KHANNA</t>
  </si>
  <si>
    <t>Aayushi Singh Sugra</t>
  </si>
  <si>
    <t>Michelin Sehgal</t>
  </si>
  <si>
    <t>DL24981218</t>
  </si>
  <si>
    <t>DL24091219</t>
  </si>
  <si>
    <t>Dhairya Sharma</t>
  </si>
  <si>
    <t>DL24161221</t>
  </si>
  <si>
    <t>DL24101222</t>
  </si>
  <si>
    <t>DL24141223</t>
  </si>
  <si>
    <t>ASHNA</t>
  </si>
  <si>
    <t>DL24071224</t>
  </si>
  <si>
    <t>DL24061225</t>
  </si>
  <si>
    <t>armaan goel</t>
  </si>
  <si>
    <t>DL24081226</t>
  </si>
  <si>
    <t>Maahir arora</t>
  </si>
  <si>
    <t>DL24161229</t>
  </si>
  <si>
    <t>Tanishqa Jain</t>
  </si>
  <si>
    <t>DL24151231</t>
  </si>
  <si>
    <t>DL24131232</t>
  </si>
  <si>
    <t>SAMARTH BHARDWAJ</t>
  </si>
  <si>
    <t>DL24151236</t>
  </si>
  <si>
    <t>DL24151237</t>
  </si>
  <si>
    <t>Sparsh Jain</t>
  </si>
  <si>
    <t>DL24121238</t>
  </si>
  <si>
    <t>South-East</t>
  </si>
  <si>
    <t>DL24141239</t>
  </si>
  <si>
    <t>DL24141240</t>
  </si>
  <si>
    <t>DL24151241</t>
  </si>
  <si>
    <t>DL24121242</t>
  </si>
  <si>
    <t>DL24151243</t>
  </si>
  <si>
    <t>Rishit Gupta</t>
  </si>
  <si>
    <t>Vevaan Mundhra</t>
  </si>
  <si>
    <t>Devansh Bhardwaj</t>
  </si>
  <si>
    <t>Mishika Kaur</t>
  </si>
  <si>
    <t>Samvir Singh</t>
  </si>
  <si>
    <t>TVISHAA LOHANI</t>
  </si>
  <si>
    <t>DL24121249</t>
  </si>
  <si>
    <t>KAMAL LOHANI</t>
  </si>
  <si>
    <t>DL24801250</t>
  </si>
  <si>
    <t>DL24111251</t>
  </si>
  <si>
    <t>SAGAR KUMAR</t>
  </si>
  <si>
    <t>DL24111252</t>
  </si>
  <si>
    <t>Shubham Sehgal</t>
  </si>
  <si>
    <t>Kartikeya Gupta</t>
  </si>
  <si>
    <t>DL24111255</t>
  </si>
  <si>
    <t>DL24141257</t>
  </si>
  <si>
    <t>DL24081258</t>
  </si>
  <si>
    <t>TEJAS VERMA</t>
  </si>
  <si>
    <t>ADITI GUSAIN</t>
  </si>
  <si>
    <t>DL24101260</t>
  </si>
  <si>
    <t>Indrakshi Sarkar</t>
  </si>
  <si>
    <t>DL24061264</t>
  </si>
  <si>
    <t>Shubhneet Singh</t>
  </si>
  <si>
    <t>Sahil Solanki</t>
  </si>
  <si>
    <t>Vishal Manjhi</t>
  </si>
  <si>
    <t>Veyom Bhardwaj</t>
  </si>
  <si>
    <t>DL24071271</t>
  </si>
  <si>
    <t>DL24101272</t>
  </si>
  <si>
    <t>ANANYA CHAKRABORTI</t>
  </si>
  <si>
    <t>DL24151275</t>
  </si>
  <si>
    <t>DL24131276</t>
  </si>
  <si>
    <t>DL24081277</t>
  </si>
  <si>
    <t>Sudhanshu Grover</t>
  </si>
  <si>
    <t>DL24951278</t>
  </si>
  <si>
    <t>Yashansh Malik</t>
  </si>
  <si>
    <t>DL24031279</t>
  </si>
  <si>
    <t>GARVIK SATIJA</t>
  </si>
  <si>
    <t>DL24141280</t>
  </si>
  <si>
    <t>DL24061281</t>
  </si>
  <si>
    <t>DL24121282</t>
  </si>
  <si>
    <t>DL24111283</t>
  </si>
  <si>
    <t>DL24081284</t>
  </si>
  <si>
    <t>DL24081285</t>
  </si>
  <si>
    <t>DL24131286</t>
  </si>
  <si>
    <t>DL24111287</t>
  </si>
  <si>
    <t>DL24141288</t>
  </si>
  <si>
    <t>DL24161289</t>
  </si>
  <si>
    <t>DL24121290</t>
  </si>
  <si>
    <t>SHREYA LIMAYE</t>
  </si>
  <si>
    <t>DL24091291</t>
  </si>
  <si>
    <t>ADITYA VASDEV</t>
  </si>
  <si>
    <t>DL24121292</t>
  </si>
  <si>
    <t>SRAGVI MANDAR MAINDE</t>
  </si>
  <si>
    <t>DL24141293</t>
  </si>
  <si>
    <t>RAYANSH CHATURVEDI</t>
  </si>
  <si>
    <t>DL24141294</t>
  </si>
  <si>
    <t>DL24131295</t>
  </si>
  <si>
    <t>GARRY SUNKARIA</t>
  </si>
  <si>
    <t>DL24091296</t>
  </si>
  <si>
    <t>DL24081297</t>
  </si>
  <si>
    <t>DL24101298</t>
  </si>
  <si>
    <t>Sanya sehgal</t>
  </si>
  <si>
    <t>DL24921299</t>
  </si>
  <si>
    <t>RAHUL LALWANI</t>
  </si>
  <si>
    <t>Akkshita Gupta</t>
  </si>
  <si>
    <t>DL24111302</t>
  </si>
  <si>
    <t>Kartikeya Mathur</t>
  </si>
  <si>
    <t>DL24151304</t>
  </si>
  <si>
    <t>Lalhmunlien Robert Varte</t>
  </si>
  <si>
    <t>Rahul Kumar</t>
  </si>
  <si>
    <t>Ananya Negi</t>
  </si>
  <si>
    <t>DL24121308</t>
  </si>
  <si>
    <t>Kunal Sahni</t>
  </si>
  <si>
    <t>DL24111310</t>
  </si>
  <si>
    <t>DL24161311</t>
  </si>
  <si>
    <t>DL24101312</t>
  </si>
  <si>
    <t>PRASHANT BHAMBRI</t>
  </si>
  <si>
    <t>Daksh</t>
  </si>
  <si>
    <t>DL24111315</t>
  </si>
  <si>
    <t>Harsh Mehra</t>
  </si>
  <si>
    <t>DL24091316</t>
  </si>
  <si>
    <t>DL24111318</t>
  </si>
  <si>
    <t>Shubh Goel</t>
  </si>
  <si>
    <t>DL24001319</t>
  </si>
  <si>
    <t>Khushi sati</t>
  </si>
  <si>
    <t>DL24081320</t>
  </si>
  <si>
    <t>Rupam Majumder</t>
  </si>
  <si>
    <t>DL24781321</t>
  </si>
  <si>
    <t>Karan Chamoli</t>
  </si>
  <si>
    <t>DL24051322</t>
  </si>
  <si>
    <t>Pulkit Ahuja</t>
  </si>
  <si>
    <t>DL24131325</t>
  </si>
  <si>
    <t>DL24081326</t>
  </si>
  <si>
    <t>DL24161327</t>
  </si>
  <si>
    <t>DL24151328</t>
  </si>
  <si>
    <t>DL24101329</t>
  </si>
  <si>
    <t>DL24161330</t>
  </si>
  <si>
    <t>Sanvi sachdeva</t>
  </si>
  <si>
    <t>Myra Manish</t>
  </si>
  <si>
    <t>DL24161332</t>
  </si>
  <si>
    <t>DL24181333</t>
  </si>
  <si>
    <t>DL24151336</t>
  </si>
  <si>
    <t>Sameer Sahni</t>
  </si>
  <si>
    <t>DL24851337</t>
  </si>
  <si>
    <t>Amulaya Sharma</t>
  </si>
  <si>
    <t>Luv Goyal</t>
  </si>
  <si>
    <t>New Delhi</t>
  </si>
  <si>
    <t>Inderpreet Singh Wadhwa</t>
  </si>
  <si>
    <t>Aaradhya Sharma</t>
  </si>
  <si>
    <t>DL24111347</t>
  </si>
  <si>
    <t>Sahaj Satija</t>
  </si>
  <si>
    <t>DL24161349</t>
  </si>
  <si>
    <t>RUDRANSH SHARMA</t>
  </si>
  <si>
    <t>DL24181350</t>
  </si>
  <si>
    <t>Dakksh Sharma</t>
  </si>
  <si>
    <t>Ujjwal Jain</t>
  </si>
  <si>
    <t>DL24111353</t>
  </si>
  <si>
    <t>DEEPANKAR BOSE</t>
  </si>
  <si>
    <t>Prakhar Prashant Yadav</t>
  </si>
  <si>
    <t>DL24161356</t>
  </si>
  <si>
    <t>Yuvraj Sahgal</t>
  </si>
  <si>
    <t>DL24091357</t>
  </si>
  <si>
    <t>DL24121358</t>
  </si>
  <si>
    <t>Deepak Kalia</t>
  </si>
  <si>
    <t>Hemant Dagar</t>
  </si>
  <si>
    <t>DL24141363</t>
  </si>
  <si>
    <t>DL24131364</t>
  </si>
  <si>
    <t>akul gangwani</t>
  </si>
  <si>
    <t>DL24131365</t>
  </si>
  <si>
    <t>kabir singh arora</t>
  </si>
  <si>
    <t>AVYAN PASRICHA</t>
  </si>
  <si>
    <t>DL24151368</t>
  </si>
  <si>
    <t>DL24121370</t>
  </si>
  <si>
    <t>Aneesh Gulati</t>
  </si>
  <si>
    <t>DL24121371</t>
  </si>
  <si>
    <t>Adhiraj bambha</t>
  </si>
  <si>
    <t>Jai Batra</t>
  </si>
  <si>
    <t>Avir Batra</t>
  </si>
  <si>
    <t>DL24081390</t>
  </si>
  <si>
    <t>DL24101394</t>
  </si>
  <si>
    <t>DL24161395</t>
  </si>
  <si>
    <t>Gaurav kumar</t>
  </si>
  <si>
    <t>DL24141398</t>
  </si>
  <si>
    <t>ANAAYA KABRA</t>
  </si>
  <si>
    <t>DL24131399</t>
  </si>
  <si>
    <t>Kapil Dev Sahoo</t>
  </si>
  <si>
    <t>DL24141404</t>
  </si>
  <si>
    <t>Amit Kumar</t>
  </si>
  <si>
    <t>DL24131407</t>
  </si>
  <si>
    <t>DL24101408</t>
  </si>
  <si>
    <t>Viraaj Singh Goomber</t>
  </si>
  <si>
    <t>DL24131409</t>
  </si>
  <si>
    <t>Kartikeya Joshi</t>
  </si>
  <si>
    <t>DL24141411</t>
  </si>
  <si>
    <t>vihaan barnabas</t>
  </si>
  <si>
    <t>DL24091413</t>
  </si>
  <si>
    <t>Rudra sabharwal</t>
  </si>
  <si>
    <t>DL24111414</t>
  </si>
  <si>
    <t>DL24101415</t>
  </si>
  <si>
    <t>Sahil Singh</t>
  </si>
  <si>
    <t>DL24041416</t>
  </si>
  <si>
    <t>Vedang Maheshwari</t>
  </si>
  <si>
    <t>DL24111419</t>
  </si>
  <si>
    <t>DL24111420</t>
  </si>
  <si>
    <t>DL24241421</t>
  </si>
  <si>
    <t>Ivaan Gujral</t>
  </si>
  <si>
    <t>DL24141422</t>
  </si>
  <si>
    <t>Rajeev Agarwal</t>
  </si>
  <si>
    <t>TAISHA MALIK</t>
  </si>
  <si>
    <t>DL24141424</t>
  </si>
  <si>
    <t>DL24141425</t>
  </si>
  <si>
    <t>Navye Jain</t>
  </si>
  <si>
    <t>Yash Vardhan Maheshwari</t>
  </si>
  <si>
    <t>DL24041427</t>
  </si>
  <si>
    <t>DR SUCHINDRA SACHDEVA</t>
  </si>
  <si>
    <t>DL24121430</t>
  </si>
  <si>
    <t>DL24131432</t>
  </si>
  <si>
    <t>Arjun Tandon</t>
  </si>
  <si>
    <t>Jasman Singh Dadiala</t>
  </si>
  <si>
    <t>DL24111436</t>
  </si>
  <si>
    <t>DL24141437</t>
  </si>
  <si>
    <t>DL24121438</t>
  </si>
  <si>
    <t>DEEPAK BHATNAGAR</t>
  </si>
  <si>
    <t>DR SURESH CHANDER SACHDEVA</t>
  </si>
  <si>
    <t>Aashna thadani</t>
  </si>
  <si>
    <t>DL24041441</t>
  </si>
  <si>
    <t>Bhaskar Asthana</t>
  </si>
  <si>
    <t>Vallabh Beriwala</t>
  </si>
  <si>
    <t>Parth Mendiratta</t>
  </si>
  <si>
    <t>reyaansh gupta</t>
  </si>
  <si>
    <t>Reyvantt Gupta</t>
  </si>
  <si>
    <t>priyanshi</t>
  </si>
  <si>
    <t>DL24081448</t>
  </si>
  <si>
    <t>Aishveer singh</t>
  </si>
  <si>
    <t>Puneet Pal Singh</t>
  </si>
  <si>
    <t>DL24031450</t>
  </si>
  <si>
    <t>Samarth Sehgal</t>
  </si>
  <si>
    <t>Garv Arora</t>
  </si>
  <si>
    <t>Monish Saini</t>
  </si>
  <si>
    <t>Eklavya Sharma</t>
  </si>
  <si>
    <t>DIVIJ CHAUDHRY</t>
  </si>
  <si>
    <t>DL24081456</t>
  </si>
  <si>
    <t>Saahir Aggarwal</t>
  </si>
  <si>
    <t>DL24161458</t>
  </si>
  <si>
    <t>YASHVEER SINGH BEDI</t>
  </si>
  <si>
    <t>DL24101459</t>
  </si>
  <si>
    <t>Utkarsh Gambhir</t>
  </si>
  <si>
    <t>Prisha Kher</t>
  </si>
  <si>
    <t>Kshitij Naithani</t>
  </si>
  <si>
    <t>AGREYA GAURAV</t>
  </si>
  <si>
    <t>DL24141463</t>
  </si>
  <si>
    <t>Naitik</t>
  </si>
  <si>
    <t>DL24091464</t>
  </si>
  <si>
    <t>Daksh oberai</t>
  </si>
  <si>
    <t>R Karthik Sundareshwaran</t>
  </si>
  <si>
    <t>Hamaira</t>
  </si>
  <si>
    <t>DL24161468</t>
  </si>
  <si>
    <t>Harman singh</t>
  </si>
  <si>
    <t>Armaan Gupta</t>
  </si>
  <si>
    <t>Avyan Aggarwal</t>
  </si>
  <si>
    <t>Aarav Aggarwal</t>
  </si>
  <si>
    <t>Saransh Kohli</t>
  </si>
  <si>
    <t>Maanvik Jindal</t>
  </si>
  <si>
    <t>DL24111475</t>
  </si>
  <si>
    <t>Siddhik Vanvari</t>
  </si>
  <si>
    <t>Ridit Bansal</t>
  </si>
  <si>
    <t>Aarav Lamba</t>
  </si>
  <si>
    <t>Mishti Rai</t>
  </si>
  <si>
    <t>Nandish Bansal</t>
  </si>
  <si>
    <t>Saisha Khurana</t>
  </si>
  <si>
    <t>Kaisha Mohan</t>
  </si>
  <si>
    <t>DL24091483</t>
  </si>
  <si>
    <t>Ashwin Walunjkar</t>
  </si>
  <si>
    <t>Kabir Ahuja</t>
  </si>
  <si>
    <t>Hemant</t>
  </si>
  <si>
    <t>U-15-Boys</t>
  </si>
  <si>
    <t>DSTTA ID</t>
  </si>
  <si>
    <t>Amishi Chaddha</t>
  </si>
  <si>
    <t>Reyaansh Patra</t>
  </si>
  <si>
    <t>Ayra Goyal</t>
  </si>
  <si>
    <t>Sragvi Mandar Mainde</t>
  </si>
  <si>
    <t>Entry Googlesheet</t>
  </si>
  <si>
    <t>Aashna Thadani</t>
  </si>
  <si>
    <t>Ranking Googlesheet</t>
  </si>
  <si>
    <t>DELHI STATE TABLE TENNIS ASSOCIATION RANKING 2024</t>
  </si>
  <si>
    <t>S.no</t>
  </si>
  <si>
    <t>TTFI ID</t>
  </si>
  <si>
    <t>DOB</t>
  </si>
  <si>
    <t>Hansraj</t>
  </si>
  <si>
    <t>Total</t>
  </si>
  <si>
    <t>Aadarsh Om Chetri</t>
  </si>
  <si>
    <t>Sudhanshu Maini</t>
  </si>
  <si>
    <t>Garry Sunkaria</t>
  </si>
  <si>
    <t>Payas Jain</t>
  </si>
  <si>
    <t>Lubhit Saini</t>
  </si>
  <si>
    <t>Utkarsh Gupta</t>
  </si>
  <si>
    <t>Sampann Bansal</t>
  </si>
  <si>
    <t>Naman Kumar</t>
  </si>
  <si>
    <t>Birat Bastia</t>
  </si>
  <si>
    <t>Vedansh Aswal</t>
  </si>
  <si>
    <t>Satyam Kumar</t>
  </si>
  <si>
    <t>Aditya Chauhan</t>
  </si>
  <si>
    <t>Pratyaksh Sharma</t>
  </si>
  <si>
    <t>Armaan Goel</t>
  </si>
  <si>
    <t>Ayaan Singhal</t>
  </si>
  <si>
    <t>Kahn Patwari</t>
  </si>
  <si>
    <t>Vivan Khanna</t>
  </si>
  <si>
    <t>Medhansh Agarwal</t>
  </si>
  <si>
    <t>Vatsal Bothra</t>
  </si>
  <si>
    <t>Abhigyan Dubey</t>
  </si>
  <si>
    <t>Aradhya Jain</t>
  </si>
  <si>
    <t>Aadvik Jain</t>
  </si>
  <si>
    <t>Agastya Agaarwal</t>
  </si>
  <si>
    <t>Parth Bravo</t>
  </si>
  <si>
    <t>Akul Gangwani</t>
  </si>
  <si>
    <t>Parth Sharma (Bravo)</t>
  </si>
  <si>
    <t>Garvik Satija</t>
  </si>
  <si>
    <t>Kanav Bhalla</t>
  </si>
  <si>
    <t>Harshit Mittal</t>
  </si>
  <si>
    <t>Abuday</t>
  </si>
  <si>
    <t>Maahir Arora</t>
  </si>
  <si>
    <t>Namratha B Sinnur</t>
  </si>
  <si>
    <t>Tanisha Jain</t>
  </si>
  <si>
    <t>Archana</t>
  </si>
  <si>
    <t>Tvishaa Lohani</t>
  </si>
  <si>
    <t>Anika Agarwal</t>
  </si>
  <si>
    <t>Vidhi Sharma</t>
  </si>
  <si>
    <t>Anaya Kalra</t>
  </si>
  <si>
    <t>Anaya Jindal</t>
  </si>
  <si>
    <t>Amaira Agarwal</t>
  </si>
  <si>
    <t>Diya Jain</t>
  </si>
  <si>
    <t>Ivaan Sachdeva</t>
  </si>
  <si>
    <t>Shivaan Goel</t>
  </si>
  <si>
    <t>DL24161228</t>
  </si>
  <si>
    <t>Alankrit Madam</t>
  </si>
  <si>
    <t>Reyansh Kapoor</t>
  </si>
  <si>
    <t>Ahaan Agarwal</t>
  </si>
  <si>
    <t>Jatin Bansal</t>
  </si>
  <si>
    <t>Nilara Chaudhary</t>
  </si>
  <si>
    <t>Nyra Grover</t>
  </si>
  <si>
    <t>Ping Pong</t>
  </si>
  <si>
    <t>TTF</t>
  </si>
  <si>
    <t>Diya Bramhachary</t>
  </si>
  <si>
    <t>Tanzia Sharma</t>
  </si>
  <si>
    <t>Tamanna Saini</t>
  </si>
  <si>
    <t>Nishtha Jain</t>
  </si>
  <si>
    <t>Sanya Sehgal</t>
  </si>
  <si>
    <t>Kavyansh</t>
  </si>
  <si>
    <t>checkGroupSeparationAfter</t>
  </si>
  <si>
    <t>Create Bracket Options</t>
  </si>
  <si>
    <t>Tejrubab singh Sawhney</t>
  </si>
  <si>
    <t>Arjun verma</t>
  </si>
  <si>
    <t>Kanav Arora</t>
  </si>
  <si>
    <t>S.No.</t>
  </si>
  <si>
    <t>DL24111478</t>
  </si>
  <si>
    <t>DL24041486</t>
  </si>
  <si>
    <t>DL24111489</t>
  </si>
  <si>
    <t>DL24011490</t>
  </si>
  <si>
    <t>ANAV PRAKASH</t>
  </si>
  <si>
    <t>DL24141493</t>
  </si>
  <si>
    <t>PRABHAV GUPTA</t>
  </si>
  <si>
    <t>DL24061494</t>
  </si>
  <si>
    <t>DILIP KUMAR</t>
  </si>
  <si>
    <t>Save Folder Path</t>
  </si>
  <si>
    <t>TRAVIS DHAN</t>
  </si>
  <si>
    <t>DeNeer</t>
  </si>
  <si>
    <t>u19Boys</t>
  </si>
  <si>
    <t>u17Boys</t>
  </si>
  <si>
    <t>u15Boys</t>
  </si>
  <si>
    <t>u13Boys</t>
  </si>
  <si>
    <t>u11Boys</t>
  </si>
  <si>
    <t>u19Girls</t>
  </si>
  <si>
    <t>u17Girls</t>
  </si>
  <si>
    <t>u15Girls</t>
  </si>
  <si>
    <t>u13Girls</t>
  </si>
  <si>
    <t>u11Girls</t>
  </si>
  <si>
    <t>u9Mixed</t>
  </si>
  <si>
    <t>Lalruatsanga H</t>
  </si>
  <si>
    <t>Reyansh Goel</t>
  </si>
  <si>
    <t>Yashveer Singh Bedi</t>
  </si>
  <si>
    <t>ARJUN SARAF</t>
  </si>
  <si>
    <t>Pahal</t>
  </si>
  <si>
    <t>Tanmay Khurana</t>
  </si>
  <si>
    <t>Advit</t>
  </si>
  <si>
    <t>Vijay Kumar Pahwa</t>
  </si>
  <si>
    <t>Geetanjali Sawhney</t>
  </si>
  <si>
    <t>Tanishka</t>
  </si>
  <si>
    <t>Aadya Malik</t>
  </si>
  <si>
    <t>SOHAM BANSAL</t>
  </si>
  <si>
    <t>DL24101505</t>
  </si>
  <si>
    <t>Aaryash Rathore</t>
  </si>
  <si>
    <t>Vardaan Kumar</t>
  </si>
  <si>
    <t>DL24141507</t>
  </si>
  <si>
    <t>Yaashbhav Kumar</t>
  </si>
  <si>
    <t>DL24141508</t>
  </si>
  <si>
    <t>ATHARV BAHL</t>
  </si>
  <si>
    <t>Vihaan Jain</t>
  </si>
  <si>
    <t>DL24121511</t>
  </si>
  <si>
    <t>DL24101512</t>
  </si>
  <si>
    <t>Vatsal jain</t>
  </si>
  <si>
    <t>Paras Salotri</t>
  </si>
  <si>
    <t>Rahul Chopra</t>
  </si>
  <si>
    <t>DL24711515</t>
  </si>
  <si>
    <t>Ahaan Agrawal</t>
  </si>
  <si>
    <t>VIAAN CHHABRA</t>
  </si>
  <si>
    <t>NIRANJAN ARUN</t>
  </si>
  <si>
    <t>Saksham Gupta</t>
  </si>
  <si>
    <t>YASHVI VOHRA</t>
  </si>
  <si>
    <t>veekshith luthra</t>
  </si>
  <si>
    <t>DL24121521</t>
  </si>
  <si>
    <t>Dia Sud</t>
  </si>
  <si>
    <t>Atharv Sud</t>
  </si>
  <si>
    <t>Aanya Soni</t>
  </si>
  <si>
    <t>DL24161524</t>
  </si>
  <si>
    <t>Abrahm Bindal</t>
  </si>
  <si>
    <t>Avyaan Gupta</t>
  </si>
  <si>
    <t>SAMAIRA SINGH</t>
  </si>
  <si>
    <t>KAUSTUBH SHARMA</t>
  </si>
  <si>
    <t>Navya Nehal</t>
  </si>
  <si>
    <t>Amey Khairnar</t>
  </si>
  <si>
    <t>DL24001530</t>
  </si>
  <si>
    <t>Tanishq Kerkra</t>
  </si>
  <si>
    <t>DL24011531</t>
  </si>
  <si>
    <t>Rakesh Awasthi</t>
  </si>
  <si>
    <t>Rishab gera</t>
  </si>
  <si>
    <t>AABHA SHARMA</t>
  </si>
  <si>
    <t>Sarnav Aggarwal</t>
  </si>
  <si>
    <t>Shivaay Malhotra</t>
  </si>
  <si>
    <t>DL24181536</t>
  </si>
  <si>
    <t>Sandhya Kumari</t>
  </si>
  <si>
    <t>Kanishka</t>
  </si>
  <si>
    <t xml:space="preserve"> </t>
  </si>
  <si>
    <t>Anvit</t>
  </si>
  <si>
    <t>-</t>
  </si>
  <si>
    <t>Kartik kargeti</t>
  </si>
  <si>
    <t>DL24001537</t>
  </si>
  <si>
    <t>Amlan Jyoti Das</t>
  </si>
  <si>
    <t>DL24161538</t>
  </si>
  <si>
    <t>Prithvi Chaturvedi</t>
  </si>
  <si>
    <t>Shivanshh Bajaj</t>
  </si>
  <si>
    <t>Harsh Chopra</t>
  </si>
  <si>
    <t>DL24681541</t>
  </si>
  <si>
    <t>TANUJ KUMAR</t>
  </si>
  <si>
    <t>MANVIK AGGARWAL</t>
  </si>
  <si>
    <t>SIVANTIKA D MAURYA</t>
  </si>
  <si>
    <t>Karnik</t>
  </si>
  <si>
    <t>DL24071545</t>
  </si>
  <si>
    <t>https://docs.google.com/spreadsheets/d/1HIzzNCeNoM8HOb7HLqTH8V-FdFdb8hRRXNP6PZr4xlE/export?format=csv&amp;gid=1314403448</t>
  </si>
  <si>
    <t>Delhi State Table Tennis Championship</t>
  </si>
  <si>
    <t>U-9-Mixed</t>
  </si>
  <si>
    <t>U-11-Girls</t>
  </si>
  <si>
    <t>U-13-Girls</t>
  </si>
  <si>
    <t>U-15-Girls</t>
  </si>
  <si>
    <t>U-17-Girls</t>
  </si>
  <si>
    <t>U-19-Girls</t>
  </si>
  <si>
    <t>U-11-Boys</t>
  </si>
  <si>
    <t>U-13-Boys</t>
  </si>
  <si>
    <t>U-17-Boys</t>
  </si>
  <si>
    <t>U-19-Boys</t>
  </si>
  <si>
    <t>AKANKSHA SINGHAL</t>
  </si>
  <si>
    <t>VIAAN VERMA</t>
  </si>
  <si>
    <t>EKLAVYA SHARMA</t>
  </si>
  <si>
    <t>DIVYA</t>
  </si>
  <si>
    <t>MEHRANSH S. BHATIA</t>
  </si>
  <si>
    <t>VIHAAN RATHI</t>
  </si>
  <si>
    <t>YASHVEER BEDI</t>
  </si>
  <si>
    <t>KARTIK KARGETI</t>
  </si>
  <si>
    <t>RAGHAV PRABHAT</t>
  </si>
  <si>
    <t>SHAURYA P. SINGH</t>
  </si>
  <si>
    <t>VARDAAN KUMAR</t>
  </si>
  <si>
    <t>YAASHBHAV KUMAR</t>
  </si>
  <si>
    <t>South</t>
  </si>
  <si>
    <t>SW</t>
  </si>
  <si>
    <t>NewDel</t>
  </si>
  <si>
    <t>NE</t>
  </si>
  <si>
    <t>NW</t>
  </si>
  <si>
    <t>Sha</t>
  </si>
  <si>
    <t>West</t>
  </si>
  <si>
    <t>North</t>
  </si>
  <si>
    <t>Championship</t>
  </si>
  <si>
    <t>East</t>
  </si>
  <si>
    <t>https://docs.google.com/spreadsheets/d/17GEzinxg02Ny9Q8Ugfxuw0Ay9PncesTh_ISUrPN6B_M/export?format=csv&amp;gid=151134227</t>
  </si>
  <si>
    <t>Kanav Pandey</t>
  </si>
  <si>
    <t>DHAIRYA SINHA</t>
  </si>
  <si>
    <t>DL24141547</t>
  </si>
  <si>
    <t>ADHISREE NANDI</t>
  </si>
  <si>
    <t>DL24131548</t>
  </si>
  <si>
    <t>Aniket Bajaj</t>
  </si>
  <si>
    <t>Ishaan Goel</t>
  </si>
  <si>
    <t>Varun Sharma</t>
  </si>
  <si>
    <t>Tejas srivastava</t>
  </si>
  <si>
    <t>DL24101552</t>
  </si>
  <si>
    <t>Srishti</t>
  </si>
  <si>
    <t>Krithik Jain</t>
  </si>
  <si>
    <t>DL24071554</t>
  </si>
  <si>
    <t>VEER KHANNA</t>
  </si>
  <si>
    <t>DL24151555</t>
  </si>
  <si>
    <t>Kavya Bhatia</t>
  </si>
  <si>
    <t>Vibhor khurana</t>
  </si>
  <si>
    <t>DL24051557</t>
  </si>
  <si>
    <t>Aayush sharma</t>
  </si>
  <si>
    <t>DL24081558</t>
  </si>
  <si>
    <t>Yuvaan Sethi</t>
  </si>
  <si>
    <t>DL24171559</t>
  </si>
  <si>
    <t>YASHASVINI HOODA</t>
  </si>
  <si>
    <t>DL24111560</t>
  </si>
  <si>
    <t>Sunny kumar</t>
  </si>
  <si>
    <t>DL24071561</t>
  </si>
  <si>
    <t>Kushal</t>
  </si>
  <si>
    <t>DL24101562</t>
  </si>
  <si>
    <t>Lakshya dulwani</t>
  </si>
  <si>
    <t>DL24081563</t>
  </si>
  <si>
    <t>Param Jugat Singh Taneja</t>
  </si>
  <si>
    <t>Suresh Gupta</t>
  </si>
  <si>
    <t>DL24091565</t>
  </si>
  <si>
    <t>AGASTYA AGARWAL</t>
  </si>
  <si>
    <t>PRAKHAR P YADAV</t>
  </si>
  <si>
    <t>ABHAV BANSAL</t>
  </si>
  <si>
    <t>GUNJAN</t>
  </si>
  <si>
    <t>VEDANT V CHAUHAN</t>
  </si>
  <si>
    <t>SHAKUL YADAV</t>
  </si>
  <si>
    <t>SANSKRITI</t>
  </si>
  <si>
    <t>DHRUV SEHGAL</t>
  </si>
  <si>
    <t>AARADDHYA JAIN</t>
  </si>
  <si>
    <t>SURYANSH RATURI</t>
  </si>
  <si>
    <t>ADVAY GUPTA</t>
  </si>
  <si>
    <t>ABHINANDAN PANDEY</t>
  </si>
  <si>
    <t>SRAGVI MAINDE</t>
  </si>
  <si>
    <t>RAMEESHA HASAN</t>
  </si>
  <si>
    <t>IVAAN GUJRAL</t>
  </si>
  <si>
    <t>YUVRAJ GAMBHIR</t>
  </si>
  <si>
    <t>ARJUN VERMA</t>
  </si>
  <si>
    <t>Prabhav Gupta</t>
  </si>
  <si>
    <t>VIBHOR</t>
  </si>
  <si>
    <t>REYANSH BENIWAL</t>
  </si>
  <si>
    <t>BHASKAR SINGH SUGRA</t>
  </si>
  <si>
    <t>SHANAYA TYAGI</t>
  </si>
  <si>
    <t>YUVAAN GOEL</t>
  </si>
  <si>
    <t>ANUJ DHANKAR</t>
  </si>
  <si>
    <t>APAAR LAMBA</t>
  </si>
  <si>
    <t>BISRAJ S KHURANA</t>
  </si>
  <si>
    <t>PRIYANSHU ARYAN</t>
  </si>
  <si>
    <t>ABHILASH THOMAS</t>
  </si>
  <si>
    <t>ARHAAN DHARWARKAR</t>
  </si>
  <si>
    <t>SHAURYA GUPTA</t>
  </si>
  <si>
    <t>AYUSHI SINGHAL</t>
  </si>
  <si>
    <t>ARPIT MARWAH</t>
  </si>
  <si>
    <t>LAKSHAY DULWANI</t>
  </si>
  <si>
    <t>ADITYA VASUDEV</t>
  </si>
  <si>
    <t>Ansh Durgapal</t>
  </si>
  <si>
    <t>AVYAY</t>
  </si>
  <si>
    <t>AYAAN KAPOOR</t>
  </si>
  <si>
    <t>TEJRUBAB SINGH SAWHNEY</t>
  </si>
  <si>
    <t>SE</t>
  </si>
  <si>
    <t>Arhaan ansari</t>
  </si>
  <si>
    <t>DL24121566</t>
  </si>
  <si>
    <t>ADITYA GUPTA</t>
  </si>
  <si>
    <t>DL24131568</t>
  </si>
  <si>
    <t>ARJUN SHARMA</t>
  </si>
  <si>
    <t>Teisha Chib</t>
  </si>
  <si>
    <t>DL24121570</t>
  </si>
  <si>
    <t>Aadvik Krishan Khullar</t>
  </si>
  <si>
    <t>DL24161571</t>
  </si>
  <si>
    <t>DHAANI JAIN</t>
  </si>
  <si>
    <t>PRATIGYA</t>
  </si>
  <si>
    <t>VANSHIKA MUDGAL</t>
  </si>
  <si>
    <t>Dl24081014</t>
  </si>
  <si>
    <t>SAAMYA SUKHIJA</t>
  </si>
  <si>
    <t>HARSH CHOPRA</t>
  </si>
  <si>
    <t>ARNAV YADAV</t>
  </si>
  <si>
    <t>PRIYANSHI</t>
  </si>
  <si>
    <t>AYUSH</t>
  </si>
  <si>
    <t>ABHINAV</t>
  </si>
  <si>
    <t>Central</t>
  </si>
  <si>
    <t>Uday Pratap Singh</t>
  </si>
  <si>
    <t>DL24121572</t>
  </si>
  <si>
    <t>Vishwas Tyagi</t>
  </si>
  <si>
    <t>DL24101573</t>
  </si>
  <si>
    <t>Pari</t>
  </si>
  <si>
    <t>DL24091574</t>
  </si>
  <si>
    <t>Yash Sharma</t>
  </si>
  <si>
    <t>DL24091575</t>
  </si>
  <si>
    <t>Kashvi Sharma</t>
  </si>
  <si>
    <t>DL24141576</t>
  </si>
  <si>
    <t>Shubh Garg</t>
  </si>
  <si>
    <t>DL24111577</t>
  </si>
  <si>
    <t>Tanish malhotra</t>
  </si>
  <si>
    <t>DL24111578</t>
  </si>
  <si>
    <t>Kevin Lunghar Thomas</t>
  </si>
  <si>
    <t>DL24091579</t>
  </si>
  <si>
    <t>Gracie Lunghar Thomas</t>
  </si>
  <si>
    <t>DL24141580</t>
  </si>
  <si>
    <t>KRISHANK KHOSLA</t>
  </si>
  <si>
    <t>GRECY THOMAS</t>
  </si>
  <si>
    <t>JHANVI GARG</t>
  </si>
  <si>
    <t>RIDDHI</t>
  </si>
  <si>
    <t>VINAYA KHANDELWAL</t>
  </si>
  <si>
    <t>VEEKSHITH LUTHRA</t>
  </si>
  <si>
    <t>DHAIRYA NEWAR</t>
  </si>
  <si>
    <t>KABIR DHINGRA</t>
  </si>
  <si>
    <t>MANASH BHARDWAJ</t>
  </si>
  <si>
    <t>Dl24171085</t>
  </si>
  <si>
    <t>KASHVI</t>
  </si>
  <si>
    <t>ADITI KALRA</t>
  </si>
  <si>
    <t>Dl24141015</t>
  </si>
  <si>
    <t>PARI SAWARIYA</t>
  </si>
  <si>
    <t>ARUNIM AGARWAL</t>
  </si>
  <si>
    <t>VATSAL BOTHRA</t>
  </si>
  <si>
    <t>DAKSH KHANDELWAL</t>
  </si>
  <si>
    <t>ALANKRIT MADAAN</t>
  </si>
  <si>
    <t>TAYESHA JAIN</t>
  </si>
  <si>
    <t>VIAAN KHOSLA</t>
  </si>
  <si>
    <t>SHUBH GARG</t>
  </si>
  <si>
    <t>LAKSHAY PURI</t>
  </si>
  <si>
    <t>KEVIN THOMAS</t>
  </si>
  <si>
    <t>YUVAAN SETHI</t>
  </si>
  <si>
    <t>AAROHI CHAUDHARY</t>
  </si>
  <si>
    <t>VIVAAN GUPTA</t>
  </si>
  <si>
    <t>TANISH</t>
  </si>
  <si>
    <t>DEEPANSHU PAL</t>
  </si>
  <si>
    <t>Amaira Aggarwal</t>
  </si>
  <si>
    <t>PAYAL SHARMA</t>
  </si>
  <si>
    <t>UDAY</t>
  </si>
  <si>
    <t>AADVIK KRISHAN KHULLAR</t>
  </si>
  <si>
    <t>JENYA</t>
  </si>
  <si>
    <t>Dl24151050</t>
  </si>
  <si>
    <t>ANIKA KAPOOR</t>
  </si>
  <si>
    <t>YOGITA</t>
  </si>
  <si>
    <t>ANKANA KALRA</t>
  </si>
  <si>
    <t>Sidharth Pandey</t>
  </si>
  <si>
    <t>YASH SHARMA</t>
  </si>
  <si>
    <t>ARADHYA BUDHIRAJA</t>
  </si>
  <si>
    <t>VIVAAN KHANNA</t>
  </si>
  <si>
    <t>KRITIK</t>
  </si>
  <si>
    <t>Amlan</t>
  </si>
  <si>
    <t>GRACE SUKHIJA</t>
  </si>
  <si>
    <t>Dl24141019</t>
  </si>
  <si>
    <t>BHAVYA</t>
  </si>
  <si>
    <t>PARTH SHARMA</t>
  </si>
  <si>
    <t>Dl24141240</t>
  </si>
  <si>
    <t>ABHIGYAN DUBEY</t>
  </si>
  <si>
    <t>PUNIA SETIA</t>
  </si>
  <si>
    <t>Privya Barua Das</t>
  </si>
  <si>
    <t>YASHVI DUGGAL</t>
  </si>
  <si>
    <t>KARNIK</t>
  </si>
  <si>
    <t>SIDDHI SINGH</t>
  </si>
  <si>
    <t>Dl24131023</t>
  </si>
  <si>
    <t>GORAL CHAWLA</t>
  </si>
  <si>
    <t>TISHA CHIB</t>
  </si>
  <si>
    <t>Agreya Gaurav</t>
  </si>
  <si>
    <t>AARAV LAMBA</t>
  </si>
  <si>
    <t>AGASTYA DUBEY</t>
  </si>
  <si>
    <t>RIDHIMA SINGH</t>
  </si>
  <si>
    <t>Reyaansh Kapoor</t>
  </si>
  <si>
    <t>KUSHAL</t>
  </si>
  <si>
    <t>Saatvik Singhal</t>
  </si>
  <si>
    <t>Mishti Raj</t>
  </si>
  <si>
    <t>DL24101480</t>
  </si>
  <si>
    <t>MIRAAN SHARMA</t>
  </si>
  <si>
    <t>AARAV GUPTA</t>
  </si>
  <si>
    <t>VISHWAS TYAGI</t>
  </si>
  <si>
    <t>TEJAS SETHI</t>
  </si>
  <si>
    <t>SUDHANSHU MAINI</t>
  </si>
  <si>
    <t>HAMIRYA LUTHRA</t>
  </si>
  <si>
    <t>Dhairya</t>
  </si>
  <si>
    <t>SUNNY</t>
  </si>
  <si>
    <t>KARTIK</t>
  </si>
  <si>
    <t>Reyansh Chaturvedi</t>
  </si>
  <si>
    <t>VANSH PARASHAR</t>
  </si>
  <si>
    <t>Ayaansh</t>
  </si>
  <si>
    <t>ADHISHREE</t>
  </si>
  <si>
    <t>AKSHIT BHATIA</t>
  </si>
  <si>
    <t>KAAVYA</t>
  </si>
  <si>
    <t>Aanya soni</t>
  </si>
  <si>
    <t>Dl24081001</t>
  </si>
  <si>
    <t>MANASVI</t>
  </si>
  <si>
    <t>Amey khairnar</t>
  </si>
  <si>
    <t>AASHNA</t>
  </si>
  <si>
    <t>MANAV SHARMA</t>
  </si>
  <si>
    <t>TEJAS SRIVASTAVA</t>
  </si>
  <si>
    <t>VIHAN BARNABAS</t>
  </si>
  <si>
    <t>RAHUL CHOPRA</t>
  </si>
  <si>
    <t>Maanvik</t>
  </si>
  <si>
    <t>SURESH GUPTA</t>
  </si>
  <si>
    <t>RIDHI MITTAL</t>
  </si>
  <si>
    <t>AKUL GANGWANI</t>
  </si>
  <si>
    <t>MEDANSH AGARWAL</t>
  </si>
  <si>
    <t/>
  </si>
  <si>
    <t>Nandan Wasan</t>
  </si>
  <si>
    <t>DL24131581</t>
  </si>
  <si>
    <t>TANISHA PAIRA</t>
  </si>
  <si>
    <t>ANAYA KABRA</t>
  </si>
  <si>
    <t>SAYANIKA MAJI</t>
  </si>
  <si>
    <t>MAAHIR ARORA</t>
  </si>
  <si>
    <t>DIYA BRAHMCHARY</t>
  </si>
  <si>
    <t>KAASHVI GUPTA</t>
  </si>
  <si>
    <t>AAVIA KHANDELWAL</t>
  </si>
  <si>
    <t>KAVISH HASTI</t>
  </si>
  <si>
    <t>ATHERV GUPTA</t>
  </si>
  <si>
    <t>SHIVAAY MALHOTRA</t>
  </si>
  <si>
    <t>Reyansh Garg</t>
  </si>
  <si>
    <t>DIYANA LUTHRA</t>
  </si>
  <si>
    <t>KANV SARAFF</t>
  </si>
  <si>
    <t xml:space="preserve">Shiv Talwar </t>
  </si>
  <si>
    <t>SIDDHI DWIVEDI</t>
  </si>
  <si>
    <t>TANISHQ KERKRA</t>
  </si>
  <si>
    <t>ISHANVI CHANDRA</t>
  </si>
  <si>
    <t>Ayra</t>
  </si>
  <si>
    <t>DL24121488</t>
  </si>
  <si>
    <t>VEDANSH ASWAL</t>
  </si>
  <si>
    <t>AADARSH OM CHHETRI</t>
  </si>
  <si>
    <t>KHUSHI SATI</t>
  </si>
  <si>
    <t>AGAM SHARMA</t>
  </si>
  <si>
    <t>PIYUSH SHARMA</t>
  </si>
  <si>
    <t>YUVRAJÂ SINGH</t>
  </si>
  <si>
    <t>KARAN CHAMOLI</t>
  </si>
  <si>
    <t>Ameya Shanbagh</t>
  </si>
  <si>
    <t>DRISH CHOPRA</t>
  </si>
  <si>
    <t>DRIPTO PURKAYASTHA</t>
  </si>
  <si>
    <t>SAMEER SAHNI</t>
  </si>
  <si>
    <t>SHUBH GOYAL</t>
  </si>
  <si>
    <t>MYRA ANAND</t>
  </si>
  <si>
    <t>NANDAN WASAN</t>
  </si>
  <si>
    <t>MOHAK MISHRA</t>
  </si>
  <si>
    <t>VATSAL JAIN</t>
  </si>
  <si>
    <t>Dl24091513</t>
  </si>
  <si>
    <t>AARAV SHARMA</t>
  </si>
  <si>
    <t>Dl24131124</t>
  </si>
  <si>
    <t>NIPUN SHARMA</t>
  </si>
  <si>
    <t>RAUNAQ GULATI</t>
  </si>
  <si>
    <t>ARNAV JAIN</t>
  </si>
  <si>
    <t>Darsh Goel</t>
  </si>
  <si>
    <t>Kalbe abbas</t>
  </si>
  <si>
    <t>DL24121582</t>
  </si>
  <si>
    <t>HEER VOHRA</t>
  </si>
  <si>
    <t>AYAAN MALHAN</t>
  </si>
  <si>
    <t>KALBE ABBAS</t>
  </si>
  <si>
    <t>SHIVANI</t>
  </si>
  <si>
    <t>AYAAN SINHA</t>
  </si>
  <si>
    <t>ATHARV GULATI</t>
  </si>
  <si>
    <t>PITUSH SHARMA</t>
  </si>
  <si>
    <t>TEJAS GUPTA</t>
  </si>
  <si>
    <t>ROHAN ARORA</t>
  </si>
  <si>
    <t>INDRAKSHI SARKAR</t>
  </si>
  <si>
    <t>Lalruatsanga</t>
  </si>
  <si>
    <t>ARHAAN ANSARI</t>
  </si>
  <si>
    <t>T8</t>
  </si>
  <si>
    <t>T9</t>
  </si>
  <si>
    <t>T10</t>
  </si>
  <si>
    <t>T11</t>
  </si>
  <si>
    <t>T12</t>
  </si>
  <si>
    <t>T13</t>
  </si>
  <si>
    <t>T14</t>
  </si>
  <si>
    <t>T15</t>
  </si>
  <si>
    <t>T16</t>
  </si>
  <si>
    <t>T17</t>
  </si>
  <si>
    <t>T18</t>
  </si>
  <si>
    <t>T19</t>
  </si>
  <si>
    <t>T20</t>
  </si>
  <si>
    <t>DL25081001</t>
  </si>
  <si>
    <t>DL25121002</t>
  </si>
  <si>
    <t>DL25121003</t>
  </si>
  <si>
    <t>DL25101004</t>
  </si>
  <si>
    <t>DL25121005</t>
  </si>
  <si>
    <t>DL25071006</t>
  </si>
  <si>
    <t>DL25071007</t>
  </si>
  <si>
    <t>DL25041008</t>
  </si>
  <si>
    <t>DL25121009</t>
  </si>
  <si>
    <t>DL25141010</t>
  </si>
  <si>
    <t>DL25971011</t>
  </si>
  <si>
    <t>DL25091012</t>
  </si>
  <si>
    <t>DL25111013</t>
  </si>
  <si>
    <t>DL25081014</t>
  </si>
  <si>
    <t>DL25141015</t>
  </si>
  <si>
    <t>DL25101016</t>
  </si>
  <si>
    <t>DL25121017</t>
  </si>
  <si>
    <t>DL25111018</t>
  </si>
  <si>
    <t>DL25141019</t>
  </si>
  <si>
    <t>DL25081020</t>
  </si>
  <si>
    <t>DL25121021</t>
  </si>
  <si>
    <t>DL25061022</t>
  </si>
  <si>
    <t>DL25131023</t>
  </si>
  <si>
    <t>DL25021024</t>
  </si>
  <si>
    <t>DL25111025</t>
  </si>
  <si>
    <t>DL25851026</t>
  </si>
  <si>
    <t>DL25081027</t>
  </si>
  <si>
    <t>DL25621028</t>
  </si>
  <si>
    <t>DL25071029</t>
  </si>
  <si>
    <t>DL25101030</t>
  </si>
  <si>
    <t>DL25081031</t>
  </si>
  <si>
    <t>DL25681032</t>
  </si>
  <si>
    <t>DL25091033</t>
  </si>
  <si>
    <t>DL25101034</t>
  </si>
  <si>
    <t>DL25111035</t>
  </si>
  <si>
    <t>DL25071036</t>
  </si>
  <si>
    <t>DL25071037</t>
  </si>
  <si>
    <t>DL25071038</t>
  </si>
  <si>
    <t>DL25121039</t>
  </si>
  <si>
    <t>DL25071040</t>
  </si>
  <si>
    <t>DL25101041</t>
  </si>
  <si>
    <t>DL25161042</t>
  </si>
  <si>
    <t>DL25161043</t>
  </si>
  <si>
    <t>DL25141044</t>
  </si>
  <si>
    <t>DL25141045</t>
  </si>
  <si>
    <t>DL25141046</t>
  </si>
  <si>
    <t>DL25151047</t>
  </si>
  <si>
    <t>DL25141048</t>
  </si>
  <si>
    <t>DL25131049</t>
  </si>
  <si>
    <t>DL25151050</t>
  </si>
  <si>
    <t>DL25171051</t>
  </si>
  <si>
    <t>DL25111052</t>
  </si>
  <si>
    <t>DL25991053</t>
  </si>
  <si>
    <t>DL25091054</t>
  </si>
  <si>
    <t>DL25091055</t>
  </si>
  <si>
    <t>DL25101056</t>
  </si>
  <si>
    <t>DL25161057</t>
  </si>
  <si>
    <t>DL25101058</t>
  </si>
  <si>
    <t>DL25131059</t>
  </si>
  <si>
    <t>DL25161060</t>
  </si>
  <si>
    <t>DL25131061</t>
  </si>
  <si>
    <t>DL25111062</t>
  </si>
  <si>
    <t>DL25121063</t>
  </si>
  <si>
    <t>DL25101064</t>
  </si>
  <si>
    <t>DL25101065</t>
  </si>
  <si>
    <t>DL25041066</t>
  </si>
  <si>
    <t>DL25061067</t>
  </si>
  <si>
    <t>DL25131068</t>
  </si>
  <si>
    <t>DL25101069</t>
  </si>
  <si>
    <t>DL25071070</t>
  </si>
  <si>
    <t>DL25101071</t>
  </si>
  <si>
    <t>DL25101072</t>
  </si>
  <si>
    <t>DL25011073</t>
  </si>
  <si>
    <t>DL25941074</t>
  </si>
  <si>
    <t>DL25141075</t>
  </si>
  <si>
    <t>DL25131076</t>
  </si>
  <si>
    <t>DL25051077</t>
  </si>
  <si>
    <t>DL25141078</t>
  </si>
  <si>
    <t>DL25101079</t>
  </si>
  <si>
    <t>DL25121080</t>
  </si>
  <si>
    <t>DL25151081</t>
  </si>
  <si>
    <t>DL25111082</t>
  </si>
  <si>
    <t>DL25161083</t>
  </si>
  <si>
    <t>DL25131084</t>
  </si>
  <si>
    <t>DL25171085</t>
  </si>
  <si>
    <t>DL25111086</t>
  </si>
  <si>
    <t>DL25081087</t>
  </si>
  <si>
    <t>DL25061088</t>
  </si>
  <si>
    <t>DL25121089</t>
  </si>
  <si>
    <t>DL25111090</t>
  </si>
  <si>
    <t>DL25151091</t>
  </si>
  <si>
    <t>DL25151092</t>
  </si>
  <si>
    <t>DL25121093</t>
  </si>
  <si>
    <t>DL25101094</t>
  </si>
  <si>
    <t>DL25061095</t>
  </si>
  <si>
    <t>DL25051096</t>
  </si>
  <si>
    <t>DL25061097</t>
  </si>
  <si>
    <t>DL25971098</t>
  </si>
  <si>
    <t>DL25121099</t>
  </si>
  <si>
    <t>DL25091100</t>
  </si>
  <si>
    <t>DL25131101</t>
  </si>
  <si>
    <t>DL25041102</t>
  </si>
  <si>
    <t>DL25031103</t>
  </si>
  <si>
    <t>DL25101104</t>
  </si>
  <si>
    <t>DL25161105</t>
  </si>
  <si>
    <t>DL25091106</t>
  </si>
  <si>
    <t>DL25111107</t>
  </si>
  <si>
    <t>DL25091108</t>
  </si>
  <si>
    <t>DL25111109</t>
  </si>
  <si>
    <t>DL25101110</t>
  </si>
  <si>
    <t>DL25131111</t>
  </si>
  <si>
    <t>DL25111112</t>
  </si>
  <si>
    <t>DL25141113</t>
  </si>
  <si>
    <t>DL25091114</t>
  </si>
  <si>
    <t>DL25101115</t>
  </si>
  <si>
    <t>DL25121116</t>
  </si>
  <si>
    <t>DL25121117</t>
  </si>
  <si>
    <t>DL25121118</t>
  </si>
  <si>
    <t>DL25081119</t>
  </si>
  <si>
    <t>DL25081120</t>
  </si>
  <si>
    <t>DL25091121</t>
  </si>
  <si>
    <t>DL25101122</t>
  </si>
  <si>
    <t>DL25071123</t>
  </si>
  <si>
    <t>DL25131124</t>
  </si>
  <si>
    <t>DL25101125</t>
  </si>
  <si>
    <t>DL25081126</t>
  </si>
  <si>
    <t>DL25091127</t>
  </si>
  <si>
    <t>DL25111128</t>
  </si>
  <si>
    <t>DL25111129</t>
  </si>
  <si>
    <t>DL25081130</t>
  </si>
  <si>
    <t>DL25061131</t>
  </si>
  <si>
    <t>DL25121132</t>
  </si>
  <si>
    <t>DL25111133</t>
  </si>
  <si>
    <t>DL25031134</t>
  </si>
  <si>
    <t>DL25091135</t>
  </si>
  <si>
    <t>DL25081136</t>
  </si>
  <si>
    <t>DL25111137</t>
  </si>
  <si>
    <t>DL25081138</t>
  </si>
  <si>
    <t>DL25031139</t>
  </si>
  <si>
    <t>DL25091140</t>
  </si>
  <si>
    <t>DL25101141</t>
  </si>
  <si>
    <t>DL25081142</t>
  </si>
  <si>
    <t>DL25121143</t>
  </si>
  <si>
    <t>DL25121144</t>
  </si>
  <si>
    <t>DL25111145</t>
  </si>
  <si>
    <t>DL25101146</t>
  </si>
  <si>
    <t>DL25131147</t>
  </si>
  <si>
    <t>DL25131148</t>
  </si>
  <si>
    <t>DL25101149</t>
  </si>
  <si>
    <t>DL25121150</t>
  </si>
  <si>
    <t>DL25151151</t>
  </si>
  <si>
    <t>DL25071152</t>
  </si>
  <si>
    <t>DL25091153</t>
  </si>
  <si>
    <t>DL25101154</t>
  </si>
  <si>
    <t>DL25091155</t>
  </si>
  <si>
    <t>DL25141156</t>
  </si>
  <si>
    <t>DL25111157</t>
  </si>
  <si>
    <t>DL25141158</t>
  </si>
  <si>
    <t>DL25111159</t>
  </si>
  <si>
    <t>DL25131160</t>
  </si>
  <si>
    <t>DL25131161</t>
  </si>
  <si>
    <t>DL25091162</t>
  </si>
  <si>
    <t>DL25081163</t>
  </si>
  <si>
    <t>DL25111164</t>
  </si>
  <si>
    <t>DL25141165</t>
  </si>
  <si>
    <t>DL25111166</t>
  </si>
  <si>
    <t>DL25171167</t>
  </si>
  <si>
    <t>DL25141168</t>
  </si>
  <si>
    <t>DL25121169</t>
  </si>
  <si>
    <t>DL25131170</t>
  </si>
  <si>
    <t>DL25091171</t>
  </si>
  <si>
    <t>DL25131172</t>
  </si>
  <si>
    <t>DL25121173</t>
  </si>
  <si>
    <t>DL25131174</t>
  </si>
  <si>
    <t>DL25131175</t>
  </si>
  <si>
    <t>DL25101176</t>
  </si>
  <si>
    <t>DL25131177</t>
  </si>
  <si>
    <t>DL25841178</t>
  </si>
  <si>
    <t>DL25121179</t>
  </si>
  <si>
    <t>DL25141180</t>
  </si>
  <si>
    <t>DL25151181</t>
  </si>
  <si>
    <t>DL25131182</t>
  </si>
  <si>
    <t>DL25101183</t>
  </si>
  <si>
    <t>DL25101184</t>
  </si>
  <si>
    <t>DL25151185</t>
  </si>
  <si>
    <t>DL25891186</t>
  </si>
  <si>
    <t>DL25101187</t>
  </si>
  <si>
    <t>DL25051188</t>
  </si>
  <si>
    <t>DL25081189</t>
  </si>
  <si>
    <t>DL25141190</t>
  </si>
  <si>
    <t>DL25021191</t>
  </si>
  <si>
    <t>DL25151192</t>
  </si>
  <si>
    <t>DL25131193</t>
  </si>
  <si>
    <t>DL25141194</t>
  </si>
  <si>
    <t>DL25751195</t>
  </si>
  <si>
    <t>DL25161196</t>
  </si>
  <si>
    <t>DL25121197</t>
  </si>
  <si>
    <t>DL25071198</t>
  </si>
  <si>
    <t>DL25121199</t>
  </si>
  <si>
    <t>DL25131200</t>
  </si>
  <si>
    <t>DL25061201</t>
  </si>
  <si>
    <t>DL25111202</t>
  </si>
  <si>
    <t>DL25081203</t>
  </si>
  <si>
    <t>DL25091204</t>
  </si>
  <si>
    <t>DL25051205</t>
  </si>
  <si>
    <t>DL25131206</t>
  </si>
  <si>
    <t>DL25141207</t>
  </si>
  <si>
    <t>DL25111208</t>
  </si>
  <si>
    <t>DL25811209</t>
  </si>
  <si>
    <t>DL25111210</t>
  </si>
  <si>
    <t>DL25091211</t>
  </si>
  <si>
    <t>DL25051212</t>
  </si>
  <si>
    <t>DL25101213</t>
  </si>
  <si>
    <t>DL25991214</t>
  </si>
  <si>
    <t>DL25141215</t>
  </si>
  <si>
    <t>DL25121216</t>
  </si>
  <si>
    <t>DL25051217</t>
  </si>
  <si>
    <t>DL25981218</t>
  </si>
  <si>
    <t>DL25091219</t>
  </si>
  <si>
    <t>DL25121220</t>
  </si>
  <si>
    <t>DL25161221</t>
  </si>
  <si>
    <t>DL25101222</t>
  </si>
  <si>
    <t>DL25141223</t>
  </si>
  <si>
    <t>DL25071224</t>
  </si>
  <si>
    <t>DL25061225</t>
  </si>
  <si>
    <t>DL25081226</t>
  </si>
  <si>
    <t>DL25081227</t>
  </si>
  <si>
    <t>DL25161228</t>
  </si>
  <si>
    <t>DL25161229</t>
  </si>
  <si>
    <t>DL25161230</t>
  </si>
  <si>
    <t>DL25151231</t>
  </si>
  <si>
    <t>DL25131232</t>
  </si>
  <si>
    <t>DL25071233</t>
  </si>
  <si>
    <t>DL25061234</t>
  </si>
  <si>
    <t>DL25141235</t>
  </si>
  <si>
    <t>DL25151236</t>
  </si>
  <si>
    <t>DL25151237</t>
  </si>
  <si>
    <t>DL25121238</t>
  </si>
  <si>
    <t>DL25141239</t>
  </si>
  <si>
    <t>DL25141240</t>
  </si>
  <si>
    <t>DL25151241</t>
  </si>
  <si>
    <t>DL25121242</t>
  </si>
  <si>
    <t>DL25151243</t>
  </si>
  <si>
    <t>DL25121244</t>
  </si>
  <si>
    <t>DL25091245</t>
  </si>
  <si>
    <t>DL25091246</t>
  </si>
  <si>
    <t>DL25241247</t>
  </si>
  <si>
    <t>DL25161248</t>
  </si>
  <si>
    <t>DL25121249</t>
  </si>
  <si>
    <t>DL25801250</t>
  </si>
  <si>
    <t>DL25111251</t>
  </si>
  <si>
    <t>DL25111252</t>
  </si>
  <si>
    <t>DL25111253</t>
  </si>
  <si>
    <t>DL25101254</t>
  </si>
  <si>
    <t>DL25111255</t>
  </si>
  <si>
    <t>DL25141256</t>
  </si>
  <si>
    <t>DL25141257</t>
  </si>
  <si>
    <t>DL25081258</t>
  </si>
  <si>
    <t>DL25111259</t>
  </si>
  <si>
    <t>DL25101260</t>
  </si>
  <si>
    <t>DL25101261</t>
  </si>
  <si>
    <t>DL25181262</t>
  </si>
  <si>
    <t>DL25101263</t>
  </si>
  <si>
    <t>DL25061264</t>
  </si>
  <si>
    <t>DL25021265</t>
  </si>
  <si>
    <t>DL25981266</t>
  </si>
  <si>
    <t>DL25951267</t>
  </si>
  <si>
    <t>DL25111268</t>
  </si>
  <si>
    <t>DL25071269</t>
  </si>
  <si>
    <t>DL25081270</t>
  </si>
  <si>
    <t>DL25071271</t>
  </si>
  <si>
    <t>DL25101272</t>
  </si>
  <si>
    <t>DL25071273</t>
  </si>
  <si>
    <t>DL25071274</t>
  </si>
  <si>
    <t>DL25151275</t>
  </si>
  <si>
    <t>DL25131276</t>
  </si>
  <si>
    <t>DL25081277</t>
  </si>
  <si>
    <t>DL25951278</t>
  </si>
  <si>
    <t>DL25031279</t>
  </si>
  <si>
    <t>DL25141280</t>
  </si>
  <si>
    <t>DL25061281</t>
  </si>
  <si>
    <t>DL25121282</t>
  </si>
  <si>
    <t>DL25111283</t>
  </si>
  <si>
    <t>DL25081284</t>
  </si>
  <si>
    <t>DL25081285</t>
  </si>
  <si>
    <t>DL25131286</t>
  </si>
  <si>
    <t>DL25111287</t>
  </si>
  <si>
    <t>DL25141288</t>
  </si>
  <si>
    <t>DL25161289</t>
  </si>
  <si>
    <t>DL25121290</t>
  </si>
  <si>
    <t>DL25091291</t>
  </si>
  <si>
    <t>DL25121292</t>
  </si>
  <si>
    <t>DL25141293</t>
  </si>
  <si>
    <t>DL25141294</t>
  </si>
  <si>
    <t>DL25131295</t>
  </si>
  <si>
    <t>DL25091296</t>
  </si>
  <si>
    <t>DL25081297</t>
  </si>
  <si>
    <t>DL25101298</t>
  </si>
  <si>
    <t>DL25921299</t>
  </si>
  <si>
    <t>DL25741300</t>
  </si>
  <si>
    <t>DL25031301</t>
  </si>
  <si>
    <t>DL25111302</t>
  </si>
  <si>
    <t>DL25131303</t>
  </si>
  <si>
    <t>DL25151304</t>
  </si>
  <si>
    <t>DL25761305</t>
  </si>
  <si>
    <t>DL25891306</t>
  </si>
  <si>
    <t>DL25061307</t>
  </si>
  <si>
    <t>DL25121308</t>
  </si>
  <si>
    <t>DL25961309</t>
  </si>
  <si>
    <t>DL25111310</t>
  </si>
  <si>
    <t>DL25161311</t>
  </si>
  <si>
    <t>DL25101312</t>
  </si>
  <si>
    <t>DL25651313</t>
  </si>
  <si>
    <t>DL25051314</t>
  </si>
  <si>
    <t>DL25111315</t>
  </si>
  <si>
    <t>DL25091316</t>
  </si>
  <si>
    <t>DL25131317</t>
  </si>
  <si>
    <t>DL25111318</t>
  </si>
  <si>
    <t>DL25001319</t>
  </si>
  <si>
    <t>DL25081320</t>
  </si>
  <si>
    <t>DL25781321</t>
  </si>
  <si>
    <t>DL25051322</t>
  </si>
  <si>
    <t>DL25081323</t>
  </si>
  <si>
    <t>DL25921324</t>
  </si>
  <si>
    <t>DL25131325</t>
  </si>
  <si>
    <t>DL25081326</t>
  </si>
  <si>
    <t>DL25161327</t>
  </si>
  <si>
    <t>DL25151328</t>
  </si>
  <si>
    <t>DL25101329</t>
  </si>
  <si>
    <t>DL25161330</t>
  </si>
  <si>
    <t>DL25161331</t>
  </si>
  <si>
    <t>DL25161332</t>
  </si>
  <si>
    <t>DL25181333</t>
  </si>
  <si>
    <t>DL25181334</t>
  </si>
  <si>
    <t>DL25131335</t>
  </si>
  <si>
    <t>DL25151336</t>
  </si>
  <si>
    <t>DL25851337</t>
  </si>
  <si>
    <t>DL25891338</t>
  </si>
  <si>
    <t>DL25901339</t>
  </si>
  <si>
    <t>DL25131340</t>
  </si>
  <si>
    <t>DL25871341</t>
  </si>
  <si>
    <t>DL25121342</t>
  </si>
  <si>
    <t>DL25101343</t>
  </si>
  <si>
    <t>DL25121344</t>
  </si>
  <si>
    <t>DL25101345</t>
  </si>
  <si>
    <t>DL25151346</t>
  </si>
  <si>
    <t>DL25111347</t>
  </si>
  <si>
    <t>DL25131348</t>
  </si>
  <si>
    <t>DL25161349</t>
  </si>
  <si>
    <t>DL25181350</t>
  </si>
  <si>
    <t>DL25151351</t>
  </si>
  <si>
    <t>DL25051352</t>
  </si>
  <si>
    <t>DL25111353</t>
  </si>
  <si>
    <t>DL25161354</t>
  </si>
  <si>
    <t>DL25121355</t>
  </si>
  <si>
    <t>DL25161356</t>
  </si>
  <si>
    <t>DL25091357</t>
  </si>
  <si>
    <t>DL25121358</t>
  </si>
  <si>
    <t>DL25081359</t>
  </si>
  <si>
    <t>DL25801360</t>
  </si>
  <si>
    <t>DL25121361</t>
  </si>
  <si>
    <t>DL25741362</t>
  </si>
  <si>
    <t>DL25141363</t>
  </si>
  <si>
    <t>DL25131364</t>
  </si>
  <si>
    <t>DL25131365</t>
  </si>
  <si>
    <t>DL25131366</t>
  </si>
  <si>
    <t>DL25161367</t>
  </si>
  <si>
    <t>DL25151368</t>
  </si>
  <si>
    <t>DL25101369</t>
  </si>
  <si>
    <t>DL25121370</t>
  </si>
  <si>
    <t>DL25121371</t>
  </si>
  <si>
    <t>DL25081372</t>
  </si>
  <si>
    <t>DL25131373</t>
  </si>
  <si>
    <t>DL25101374</t>
  </si>
  <si>
    <t>DL25111375</t>
  </si>
  <si>
    <t>DL25101376</t>
  </si>
  <si>
    <t>DL25111377</t>
  </si>
  <si>
    <t>DL25101378</t>
  </si>
  <si>
    <t>DL25101379</t>
  </si>
  <si>
    <t>DL25101380</t>
  </si>
  <si>
    <t>DL25101381</t>
  </si>
  <si>
    <t>DL25101382</t>
  </si>
  <si>
    <t>DL25101383</t>
  </si>
  <si>
    <t>DL25081384</t>
  </si>
  <si>
    <t>DL25121385</t>
  </si>
  <si>
    <t>DL25121386</t>
  </si>
  <si>
    <t>DL25131388</t>
  </si>
  <si>
    <t>DL25161389</t>
  </si>
  <si>
    <t>DL25081390</t>
  </si>
  <si>
    <t>DL25141391</t>
  </si>
  <si>
    <t>DL25091392</t>
  </si>
  <si>
    <t>DL25131393</t>
  </si>
  <si>
    <t>DL25101394</t>
  </si>
  <si>
    <t>DL25161395</t>
  </si>
  <si>
    <t>DL25011396</t>
  </si>
  <si>
    <t>DL25091397</t>
  </si>
  <si>
    <t>DL25141398</t>
  </si>
  <si>
    <t>DL25131399</t>
  </si>
  <si>
    <t>DL25121400</t>
  </si>
  <si>
    <t>DL25081401</t>
  </si>
  <si>
    <t>DL25101402</t>
  </si>
  <si>
    <t>DL25901403</t>
  </si>
  <si>
    <t>DL25141404</t>
  </si>
  <si>
    <t>DL25851405</t>
  </si>
  <si>
    <t>DL25141406</t>
  </si>
  <si>
    <t>DL25131407</t>
  </si>
  <si>
    <t>DL25101408</t>
  </si>
  <si>
    <t>DL25131409</t>
  </si>
  <si>
    <t>DL25101410</t>
  </si>
  <si>
    <t>DL25141411</t>
  </si>
  <si>
    <t>DL25151412</t>
  </si>
  <si>
    <t>DL25091413</t>
  </si>
  <si>
    <t>DL25111414</t>
  </si>
  <si>
    <t>DL25101415</t>
  </si>
  <si>
    <t>DL25041416</t>
  </si>
  <si>
    <t>DL25171417</t>
  </si>
  <si>
    <t>DL25151418</t>
  </si>
  <si>
    <t>DL25111419</t>
  </si>
  <si>
    <t>DL25111420</t>
  </si>
  <si>
    <t>DL25241421</t>
  </si>
  <si>
    <t>DL25141422</t>
  </si>
  <si>
    <t>DL25671423</t>
  </si>
  <si>
    <t>DL25141424</t>
  </si>
  <si>
    <t>DL25141425</t>
  </si>
  <si>
    <t>DL25021426</t>
  </si>
  <si>
    <t>DL25041427</t>
  </si>
  <si>
    <t>DL25131428</t>
  </si>
  <si>
    <t>DL25631429</t>
  </si>
  <si>
    <t>DL25121430</t>
  </si>
  <si>
    <t>DL25141431</t>
  </si>
  <si>
    <t>DL25131432</t>
  </si>
  <si>
    <t>DL25841433</t>
  </si>
  <si>
    <t>DL25101434</t>
  </si>
  <si>
    <t>DL25131435</t>
  </si>
  <si>
    <t>DL25111436</t>
  </si>
  <si>
    <t>DL25141437</t>
  </si>
  <si>
    <t>DL25121438</t>
  </si>
  <si>
    <t>DL25611439</t>
  </si>
  <si>
    <t>DL25631440</t>
  </si>
  <si>
    <t>DL25041441</t>
  </si>
  <si>
    <t>DL25941442</t>
  </si>
  <si>
    <t>DL25941443</t>
  </si>
  <si>
    <t>DL25091444</t>
  </si>
  <si>
    <t>DL25131445</t>
  </si>
  <si>
    <t>DL25101446</t>
  </si>
  <si>
    <t>DL25131447</t>
  </si>
  <si>
    <t>DL25081448</t>
  </si>
  <si>
    <t>DL25081449</t>
  </si>
  <si>
    <t>DL25031450</t>
  </si>
  <si>
    <t>DL25111451</t>
  </si>
  <si>
    <t>DL25101452</t>
  </si>
  <si>
    <t>DL25121453</t>
  </si>
  <si>
    <t>DL25161454</t>
  </si>
  <si>
    <t>DL25121455</t>
  </si>
  <si>
    <t>DL25081456</t>
  </si>
  <si>
    <t>DL25111457</t>
  </si>
  <si>
    <t>DL25161458</t>
  </si>
  <si>
    <t>DL25101459</t>
  </si>
  <si>
    <t>DL25851460</t>
  </si>
  <si>
    <t>DL25081461</t>
  </si>
  <si>
    <t>DL25111462</t>
  </si>
  <si>
    <t>DL25141463</t>
  </si>
  <si>
    <t>DL25091464</t>
  </si>
  <si>
    <t>DL25071465</t>
  </si>
  <si>
    <t>DL25111466</t>
  </si>
  <si>
    <t>DL25091467</t>
  </si>
  <si>
    <t>DL25161468</t>
  </si>
  <si>
    <t>DL25111469</t>
  </si>
  <si>
    <t>DL25081470</t>
  </si>
  <si>
    <t>DL25151471</t>
  </si>
  <si>
    <t>DL25091472</t>
  </si>
  <si>
    <t>DL25121473</t>
  </si>
  <si>
    <t>DL25101474</t>
  </si>
  <si>
    <t>DL25111475</t>
  </si>
  <si>
    <t>DL25131476</t>
  </si>
  <si>
    <t>DL25101477</t>
  </si>
  <si>
    <t>DL25111478</t>
  </si>
  <si>
    <t>DL25101479</t>
  </si>
  <si>
    <t>DL25121480</t>
  </si>
  <si>
    <t>DL25091481</t>
  </si>
  <si>
    <t>DL25091482</t>
  </si>
  <si>
    <t>DL25091483</t>
  </si>
  <si>
    <t>DL25701484</t>
  </si>
  <si>
    <t>DL25131485</t>
  </si>
  <si>
    <t>DL25041486</t>
  </si>
  <si>
    <t>DL25121487</t>
  </si>
  <si>
    <t>DL25161488</t>
  </si>
  <si>
    <t>DL25111489</t>
  </si>
  <si>
    <t>DL25011490</t>
  </si>
  <si>
    <t>DL25111491</t>
  </si>
  <si>
    <t>DL25141492</t>
  </si>
  <si>
    <t>DL25141493</t>
  </si>
  <si>
    <t>DL25061494</t>
  </si>
  <si>
    <t>DL25811495</t>
  </si>
  <si>
    <t>DL25121496</t>
  </si>
  <si>
    <t>DL25151497</t>
  </si>
  <si>
    <t>DL25121498</t>
  </si>
  <si>
    <t>DL25071499</t>
  </si>
  <si>
    <t>DL25151500</t>
  </si>
  <si>
    <t>DL25641501</t>
  </si>
  <si>
    <t>DL25631502</t>
  </si>
  <si>
    <t>DL25121503</t>
  </si>
  <si>
    <t>DL25151504</t>
  </si>
  <si>
    <t>DL25101505</t>
  </si>
  <si>
    <t>DL25181506</t>
  </si>
  <si>
    <t>DL25141507</t>
  </si>
  <si>
    <t>DL25141508</t>
  </si>
  <si>
    <t>DL25141509</t>
  </si>
  <si>
    <t>DL25111510</t>
  </si>
  <si>
    <t>DL25121511</t>
  </si>
  <si>
    <t>DL25101512</t>
  </si>
  <si>
    <t>DL25091513</t>
  </si>
  <si>
    <t>DL25091514</t>
  </si>
  <si>
    <t>DL25711515</t>
  </si>
  <si>
    <t>DL25131516</t>
  </si>
  <si>
    <t>DL25151517</t>
  </si>
  <si>
    <t>DL25141518</t>
  </si>
  <si>
    <t>DL25111519</t>
  </si>
  <si>
    <t>DL25141520</t>
  </si>
  <si>
    <t>DL25121521</t>
  </si>
  <si>
    <t>DL25241522</t>
  </si>
  <si>
    <t>DL25121523</t>
  </si>
  <si>
    <t>DL25161524</t>
  </si>
  <si>
    <t>DL25141525</t>
  </si>
  <si>
    <t>DL25151526</t>
  </si>
  <si>
    <t>DL25131527</t>
  </si>
  <si>
    <t>DL25111528</t>
  </si>
  <si>
    <t>DL25071529</t>
  </si>
  <si>
    <t>DL25001530</t>
  </si>
  <si>
    <t>DL25011531</t>
  </si>
  <si>
    <t>DL25621532</t>
  </si>
  <si>
    <t>DL25121533</t>
  </si>
  <si>
    <t>DL25981534</t>
  </si>
  <si>
    <t>DL25091535</t>
  </si>
  <si>
    <t>DL25181536</t>
  </si>
  <si>
    <t>DL25001537</t>
  </si>
  <si>
    <t>DL25161538</t>
  </si>
  <si>
    <t>DL25181539</t>
  </si>
  <si>
    <t>DL25141540</t>
  </si>
  <si>
    <t>DL25681541</t>
  </si>
  <si>
    <t>DL25001542</t>
  </si>
  <si>
    <t>DL25121543</t>
  </si>
  <si>
    <t>DL25171544</t>
  </si>
  <si>
    <t>DL25071545</t>
  </si>
  <si>
    <t>DL25081546</t>
  </si>
  <si>
    <t>DL25141547</t>
  </si>
  <si>
    <t>DL25131548</t>
  </si>
  <si>
    <t>DL25101549</t>
  </si>
  <si>
    <t>DL25101550</t>
  </si>
  <si>
    <t>DL25811551</t>
  </si>
  <si>
    <t>DL25101552</t>
  </si>
  <si>
    <t>DL25081553</t>
  </si>
  <si>
    <t>DL25071554</t>
  </si>
  <si>
    <t>DL25151555</t>
  </si>
  <si>
    <t>DL25121556</t>
  </si>
  <si>
    <t>DL25051557</t>
  </si>
  <si>
    <t>DL25081558</t>
  </si>
  <si>
    <t>DL25171559</t>
  </si>
  <si>
    <t>DL25111560</t>
  </si>
  <si>
    <t>DL25071561</t>
  </si>
  <si>
    <t>DL25101562</t>
  </si>
  <si>
    <t>DL25081563</t>
  </si>
  <si>
    <t>DL25111564</t>
  </si>
  <si>
    <t>DL25091565</t>
  </si>
  <si>
    <t>DL25121566</t>
  </si>
  <si>
    <t>DL25111567</t>
  </si>
  <si>
    <t>DL25131568</t>
  </si>
  <si>
    <t>DL25141569</t>
  </si>
  <si>
    <t>DL25121570</t>
  </si>
  <si>
    <t>DL25161571</t>
  </si>
  <si>
    <t>DL25121572</t>
  </si>
  <si>
    <t>DL25101573</t>
  </si>
  <si>
    <t>DL25091574</t>
  </si>
  <si>
    <t>DL25091575</t>
  </si>
  <si>
    <t>DL25141576</t>
  </si>
  <si>
    <t>DL25111577</t>
  </si>
  <si>
    <t>DL25111578</t>
  </si>
  <si>
    <t>DL25091579</t>
  </si>
  <si>
    <t>DL25141580</t>
  </si>
  <si>
    <t>DL25131581</t>
  </si>
  <si>
    <t>DL25121582</t>
  </si>
  <si>
    <t>Akshat bansal</t>
  </si>
  <si>
    <t>DL25151583</t>
  </si>
  <si>
    <t>Ansh Singh</t>
  </si>
  <si>
    <t>DL25071584</t>
  </si>
  <si>
    <t>Pranavi Goyal</t>
  </si>
  <si>
    <t>DL25151585</t>
  </si>
  <si>
    <t>ANSH SINGH</t>
  </si>
  <si>
    <t>DL24071584</t>
  </si>
  <si>
    <t>RUDRA SABHARWAL</t>
  </si>
  <si>
    <t>TANMAY GUPTA</t>
  </si>
  <si>
    <t>ConciseBracket</t>
  </si>
  <si>
    <t>1. Connect to website</t>
  </si>
  <si>
    <t>A .  Player List Import</t>
  </si>
  <si>
    <t>B.  Player Seeding (just tell number, auto sort)</t>
  </si>
  <si>
    <t>2. Use master sheet to create bracket and matches sheet for each category along with player entries for that category</t>
  </si>
  <si>
    <t>3. Draw - Seeding 1 to 16 based on Kler sir rules, feed last tournament entry</t>
  </si>
  <si>
    <t>B. handling of cases whrere top 17 to 32 players picked</t>
  </si>
  <si>
    <t>4. auto generate top 16 and medal winners and display</t>
  </si>
  <si>
    <t>5. auto create certificates</t>
  </si>
  <si>
    <t>6. auto progression of scores, enter should submit user form</t>
  </si>
  <si>
    <t>7. link with live coverage</t>
  </si>
  <si>
    <t>8. In General inputs, give ranges 1 , 2, 3-4, 5-8, 9-16, 17-*,  and handle in code</t>
  </si>
  <si>
    <t>9. Hide all formula,  Protect sheet with password</t>
  </si>
  <si>
    <t>10. Auto score progression in live coverage with smart scoring boards</t>
  </si>
  <si>
    <t xml:space="preserve">11. Create bracket for QF onwards on 1 page. </t>
  </si>
  <si>
    <t>Suggestions</t>
  </si>
  <si>
    <t>score may be printed above the result</t>
  </si>
  <si>
    <t>Review if players playing match in later categories should be placed closer (see ttfi bracket scheme)</t>
  </si>
  <si>
    <t>12. Master switch to read all entries from excel, create draw for each and save all folders for every category and multiple bracket and matches excel sheets per category and upload on website</t>
  </si>
  <si>
    <t xml:space="preserve">13. Make draw smallerby removing bye (remove borders and use mdidle cell </t>
  </si>
  <si>
    <t>17. add button to save scoresheets on the Bracket page as well. ,  also pdf should aut open</t>
  </si>
  <si>
    <t>18. clear bracket may be made more intelligent to not remove the bye progression cases</t>
  </si>
  <si>
    <t xml:space="preserve">19. update software to create bracket of 96 48, etc.  </t>
  </si>
  <si>
    <t>20.  Handle group stage</t>
  </si>
  <si>
    <t>21. Automatic Schedule based on Player Entries sheet</t>
  </si>
  <si>
    <t>Players Per Category</t>
  </si>
  <si>
    <t>Matches in each round per category</t>
  </si>
  <si>
    <t>Time needed for each category (if matches in progression or if matches done round wise, with tables decided by user</t>
  </si>
  <si>
    <t xml:space="preserve">predict tables needed. </t>
  </si>
  <si>
    <t>PQF1</t>
  </si>
  <si>
    <t>PQF2</t>
  </si>
  <si>
    <t>PQF3</t>
  </si>
  <si>
    <t>PQF4</t>
  </si>
  <si>
    <t>PQF5</t>
  </si>
  <si>
    <t>PQF6</t>
  </si>
  <si>
    <t>PQF7</t>
  </si>
  <si>
    <t>PQF8</t>
  </si>
  <si>
    <t>QF1</t>
  </si>
  <si>
    <t>QF2</t>
  </si>
  <si>
    <t>QF3</t>
  </si>
  <si>
    <t>QF4</t>
  </si>
  <si>
    <t>SF1</t>
  </si>
  <si>
    <t>SF2</t>
  </si>
  <si>
    <t>16. when we add progression for Draw, also progress Pdraw - Rejected enhancement</t>
  </si>
  <si>
    <t>15. add save all and save new buttons on bracket page</t>
  </si>
  <si>
    <t>14.  Add entry routine should be very simple   - Add directly in Bracket now, no need to create iBracket again</t>
  </si>
  <si>
    <t>A. Last tournament draw should be entered - Not required for 2025</t>
  </si>
  <si>
    <t>C. Auto push pdf data to website</t>
  </si>
  <si>
    <t>PRIORITY  :  #20, #21, #4, #5</t>
  </si>
  <si>
    <t>Group Stage</t>
  </si>
  <si>
    <t>Enabled</t>
  </si>
  <si>
    <t>each group is an array of addresses, print in a printable format , draw borders on the fly</t>
  </si>
  <si>
    <t xml:space="preserve">For final stage use the seedings to make group winners play each other accordingly. </t>
  </si>
  <si>
    <t>top16 list is already there using createMatches, keep links, but given an option to copy by value when save/finalize medal list button on that sheet is clicked</t>
  </si>
  <si>
    <t>give good icons for medal list to make it impressive</t>
  </si>
  <si>
    <t>AAROHI CHAUDHARY (NewDel)</t>
  </si>
  <si>
    <t>GRACE SUKHIJA (Central)</t>
  </si>
  <si>
    <t>SRAGVI MAINDE (South)</t>
  </si>
  <si>
    <t>JENYA (East)</t>
  </si>
  <si>
    <t>Aradhya Kashyap (North)</t>
  </si>
  <si>
    <t>KAAVYA (SW)</t>
  </si>
  <si>
    <t>ADITI KALRA (East)</t>
  </si>
  <si>
    <t>ARADHYA BUDHIRAJA (NW)</t>
  </si>
  <si>
    <t>HEER VOHRA (NW)</t>
  </si>
  <si>
    <t>Akshita Kashyap (North)</t>
  </si>
  <si>
    <t>ANAYA JINDAL (NW)</t>
  </si>
  <si>
    <t>Amaira Aggarwal (NW)</t>
  </si>
  <si>
    <t>YASHVI DUGGAL (NewDel)</t>
  </si>
  <si>
    <t>MANASVI (SW)</t>
  </si>
  <si>
    <t>DIVYA (NewDel)</t>
  </si>
  <si>
    <t>Privya Barua Das (North)</t>
  </si>
  <si>
    <t>TAISHA MALIK (South)</t>
  </si>
  <si>
    <t>GRECY THOMAS (NewDel)</t>
  </si>
  <si>
    <t>KASHVI (East)</t>
  </si>
  <si>
    <t>Vedanshi Bolishetty (Sha)</t>
  </si>
  <si>
    <t>Points</t>
  </si>
  <si>
    <t>Points Table</t>
  </si>
  <si>
    <t xml:space="preserve">Qualifiers </t>
  </si>
  <si>
    <t>Ideal Group Size</t>
  </si>
  <si>
    <t>Allow +1 group size</t>
  </si>
  <si>
    <t>Group-1</t>
  </si>
  <si>
    <t>Pts</t>
  </si>
  <si>
    <t>Pos</t>
  </si>
  <si>
    <t>Group-2</t>
  </si>
  <si>
    <t>Group-3</t>
  </si>
  <si>
    <t>Group-4</t>
  </si>
  <si>
    <t>0-0</t>
  </si>
  <si>
    <t>Create Group</t>
  </si>
  <si>
    <t>system to enter results</t>
  </si>
  <si>
    <t>Scoresheets</t>
  </si>
  <si>
    <t>automatic final stage draw</t>
  </si>
  <si>
    <t>print groups</t>
  </si>
  <si>
    <t>20. For League Stage</t>
  </si>
  <si>
    <t>call createMatches before calling save scoresheet function, or matches should be updated from within createGroup function or createGroup and createIbracket should have a master wrapper which does all</t>
  </si>
  <si>
    <t>League Group</t>
  </si>
  <si>
    <t>League Group Rank</t>
  </si>
  <si>
    <t>TODO - print winner group-1, and so on in Qualifiers sheet during create groups function</t>
  </si>
  <si>
    <t>Group-1 : Pos 1</t>
  </si>
  <si>
    <t>Group-2 : Pos 1</t>
  </si>
  <si>
    <t>Group-3 : Pos 1</t>
  </si>
  <si>
    <t>Group-4 : Pos 1</t>
  </si>
  <si>
    <t>Women Singles</t>
  </si>
  <si>
    <t>Disha</t>
  </si>
  <si>
    <t>Anuradha Arora</t>
  </si>
  <si>
    <t>Kartika Yadav</t>
  </si>
  <si>
    <t>Poonam</t>
  </si>
  <si>
    <t>Manisha Sharma</t>
  </si>
  <si>
    <t>Richa Sharma</t>
  </si>
  <si>
    <t>Gungun Sahu</t>
  </si>
  <si>
    <t>Shrishti Jaiswal</t>
  </si>
  <si>
    <t>Gayatri Vashisht</t>
  </si>
  <si>
    <t>Jamini Goel</t>
  </si>
  <si>
    <t>Dimple Bhagia</t>
  </si>
  <si>
    <t>Mradula Pastor</t>
  </si>
  <si>
    <t>Brindha G</t>
  </si>
  <si>
    <t>Ujwala Gaikwad</t>
  </si>
  <si>
    <t>Urmila Bapat</t>
  </si>
  <si>
    <t>Adwita Bhatia</t>
  </si>
  <si>
    <t>Men Singles</t>
  </si>
  <si>
    <t>Ashish Kumar Jaiswal</t>
  </si>
  <si>
    <t>Ashutosh Singh</t>
  </si>
  <si>
    <t>Badal Kumar</t>
  </si>
  <si>
    <t>Md. Izazuddin</t>
  </si>
  <si>
    <t>Prakhar Rastogi</t>
  </si>
  <si>
    <t>Dheeraj</t>
  </si>
  <si>
    <t>Vivek Banka</t>
  </si>
  <si>
    <t>Puneet Singh</t>
  </si>
  <si>
    <t>Mohit Singh</t>
  </si>
  <si>
    <t>Deepak Gupta</t>
  </si>
  <si>
    <t>Chetan Pant</t>
  </si>
  <si>
    <t>Ayush Parashar</t>
  </si>
  <si>
    <t>Mohit Daksh</t>
  </si>
  <si>
    <t>Gaurav Agrawal</t>
  </si>
  <si>
    <t>Rohan singh</t>
  </si>
  <si>
    <t>Rajat karn</t>
  </si>
  <si>
    <t>Mayank Malik</t>
  </si>
  <si>
    <t>mukul</t>
  </si>
  <si>
    <t>Mahendra Mundru</t>
  </si>
  <si>
    <t>ARUN BAKHETIA</t>
  </si>
  <si>
    <t>Subrat Raj Verma</t>
  </si>
  <si>
    <t>Rahul Chaudhary</t>
  </si>
  <si>
    <t>Arvind Chaudhary</t>
  </si>
  <si>
    <t>Aniket Mathankar</t>
  </si>
  <si>
    <t>Sujeet Singh</t>
  </si>
  <si>
    <t>Mohammad Fayaz</t>
  </si>
  <si>
    <t>Ashwani Kumar Verma</t>
  </si>
  <si>
    <t>Ashim Bhagri</t>
  </si>
  <si>
    <t>Ishrat Pratap Singh</t>
  </si>
  <si>
    <t>HARSHIT ARORA</t>
  </si>
  <si>
    <t>Tushar Batra</t>
  </si>
  <si>
    <t>Akshay Singh</t>
  </si>
  <si>
    <t>Tarun Agarwal</t>
  </si>
  <si>
    <t>Mohit Budhiraja</t>
  </si>
  <si>
    <t>ARPAN SAXENA</t>
  </si>
  <si>
    <t>Shiv Narayan Dhiman</t>
  </si>
  <si>
    <t>Manish Barthwal</t>
  </si>
  <si>
    <t>Jaskirat Singh</t>
  </si>
  <si>
    <t>CA Sunmeet Singh</t>
  </si>
  <si>
    <t>Manuraj Jain</t>
  </si>
  <si>
    <t>Shashank Jain</t>
  </si>
  <si>
    <t>Saurabh vakil</t>
  </si>
  <si>
    <t>PRINCE KHANEJA</t>
  </si>
  <si>
    <t>SUBHASH KUMAR</t>
  </si>
  <si>
    <t>Pranav Saxena</t>
  </si>
  <si>
    <t>Shivang</t>
  </si>
  <si>
    <t>Hrushekesh Pochu</t>
  </si>
  <si>
    <t>Jibon Jyoti Changkakoti</t>
  </si>
  <si>
    <t>Anchit Kumar Sharma</t>
  </si>
  <si>
    <t>IBRAHIM KHANDIYA</t>
  </si>
  <si>
    <t>Ankur Singh</t>
  </si>
  <si>
    <t>Manik Sharma</t>
  </si>
  <si>
    <t>Siddhartha Vibhu Pharswan</t>
  </si>
  <si>
    <t>Ashwin Taparia</t>
  </si>
  <si>
    <t>Men Singles 40+</t>
  </si>
  <si>
    <t>Dr Ashish Chopra</t>
  </si>
  <si>
    <t>Dr Ranjan Kumar</t>
  </si>
  <si>
    <t>Sanjeev Sharma</t>
  </si>
  <si>
    <t>VIJAY BHATIA</t>
  </si>
  <si>
    <t>Guruvansh Singh</t>
  </si>
  <si>
    <t>Pushpendra kumar</t>
  </si>
  <si>
    <t>Biswendra singh</t>
  </si>
  <si>
    <t>SUMIT NAGPAL</t>
  </si>
  <si>
    <t>Manoj Gurung</t>
  </si>
  <si>
    <t>Kingshuk Sanyal</t>
  </si>
  <si>
    <t>Ashish Kumar Jha</t>
  </si>
  <si>
    <t>SIDDHARTH KHAITAN</t>
  </si>
  <si>
    <t>Gaurav Dwivedi</t>
  </si>
  <si>
    <t>Jawahar Vashisht</t>
  </si>
  <si>
    <t>Abhishek Pathak</t>
  </si>
  <si>
    <t>Neeraj Meghran</t>
  </si>
  <si>
    <t>RK Seth</t>
  </si>
  <si>
    <t>MAnuraj Jain</t>
  </si>
  <si>
    <t>Jitendra Khatri</t>
  </si>
  <si>
    <t>Rachit Agarwal</t>
  </si>
  <si>
    <t>ABIJIT SINGHA</t>
  </si>
  <si>
    <t>Ankur Baruah</t>
  </si>
  <si>
    <t>Men Doubles</t>
  </si>
  <si>
    <t>Men Doubles 40+</t>
  </si>
  <si>
    <t>Ashish Kumar/Md.Izazuddin</t>
  </si>
  <si>
    <t>Ankit Aggarwal/Varun Sharma</t>
  </si>
  <si>
    <t>Rajat karn/Biswender Singh</t>
  </si>
  <si>
    <t>Shashank Jain/Rohan Singh</t>
  </si>
  <si>
    <t>Ashutosh Singh/Badal</t>
  </si>
  <si>
    <t>Dr Ranjan Kumar/Dr Ashish Chopra</t>
  </si>
  <si>
    <t>Ashish Kumar Jaiswal/Sanjeev Sharma</t>
  </si>
  <si>
    <t>Rana Tarun Jung/Surender Singh Rawat</t>
  </si>
  <si>
    <t>Pushpendra kumar/Deepak Gupta</t>
  </si>
  <si>
    <t>Abhishek Pathak/Jawahar Vashisht</t>
  </si>
  <si>
    <t>Biswendra singh/Shaleen Vats</t>
  </si>
  <si>
    <t>Hemant Dagar/Manuraj Jain</t>
  </si>
  <si>
    <t>Mixed Doubles</t>
  </si>
  <si>
    <t>Disha/Mayank</t>
  </si>
  <si>
    <t>ARUN BAKHETIA/Brinda G</t>
  </si>
  <si>
    <t>Richa Sharma/Varun Sharma</t>
  </si>
  <si>
    <t>Subrat Raj Verma/Shrishti Jaiswal</t>
  </si>
  <si>
    <t>Arvind Chaudhary/Gungun Sahu</t>
  </si>
  <si>
    <t>Mradula Pastor/Bharat Kumar</t>
  </si>
  <si>
    <t>…..0</t>
  </si>
  <si>
    <t>TEAM ENTRIES</t>
  </si>
  <si>
    <t>DRDO</t>
  </si>
  <si>
    <t>CAPGEMINI IT INDIA PVT LTD</t>
  </si>
  <si>
    <t>MINISTRY OF FINANCE</t>
  </si>
  <si>
    <t>VINCULUCM CAPITAL PARTNERS</t>
  </si>
  <si>
    <t>STAG GLOBAL TEAM</t>
  </si>
  <si>
    <t>ROOTERS</t>
  </si>
  <si>
    <t>Vishal Raj</t>
  </si>
  <si>
    <t>Deepak Tuli</t>
  </si>
  <si>
    <t>Yatendra Gaur</t>
  </si>
  <si>
    <t>Abhishek</t>
  </si>
  <si>
    <t>Shreyan Mnjumder</t>
  </si>
  <si>
    <t>Piyush Dua</t>
  </si>
  <si>
    <t>Piyush</t>
  </si>
  <si>
    <t>Dr Updesh Sharma</t>
  </si>
  <si>
    <t>Karan Varshney</t>
  </si>
  <si>
    <t>Gaurav Sharma</t>
  </si>
  <si>
    <t>Vijay Kumar</t>
  </si>
  <si>
    <t>Subrat Raj Verma/Vishal Raj</t>
  </si>
  <si>
    <t>Arvind Choudhary/Rahul Chaudhary</t>
  </si>
  <si>
    <t>Piyush Dua/Shreyan Majumder</t>
  </si>
  <si>
    <t>Karan Bohra/Apoorv Jain</t>
  </si>
  <si>
    <t>Ruchi Arora/Pankaj Kumar</t>
  </si>
  <si>
    <t>UP POLICE TEAM</t>
  </si>
  <si>
    <t>CHUPPS</t>
  </si>
  <si>
    <t>Harshit Garg</t>
  </si>
  <si>
    <t>Utkarsh Rai</t>
  </si>
  <si>
    <t>Bharat Kumar Mehta</t>
  </si>
  <si>
    <t>Nitin Singhal</t>
  </si>
  <si>
    <t>Viraj Agrawal</t>
  </si>
  <si>
    <t>Anshuman Krishanu</t>
  </si>
  <si>
    <t>Sapan Gupta</t>
  </si>
  <si>
    <t>Jitendra Singh</t>
  </si>
  <si>
    <t>Ruchi Arora</t>
  </si>
  <si>
    <t>Rushvi Patel</t>
  </si>
  <si>
    <t>Ashish</t>
  </si>
  <si>
    <t>CLYNOX</t>
  </si>
  <si>
    <t>Hitachi</t>
  </si>
  <si>
    <t xml:space="preserve">Rodio </t>
  </si>
  <si>
    <t>HCL</t>
  </si>
  <si>
    <t xml:space="preserve">SnP </t>
  </si>
  <si>
    <t>Defence</t>
  </si>
  <si>
    <t>Consultant</t>
  </si>
  <si>
    <t>SHI</t>
  </si>
  <si>
    <t xml:space="preserve">Genpact </t>
  </si>
  <si>
    <t>TCS</t>
  </si>
  <si>
    <t>Indian oil</t>
  </si>
  <si>
    <t>Drdo</t>
  </si>
  <si>
    <t>Global logic</t>
  </si>
  <si>
    <t xml:space="preserve">IBM </t>
  </si>
  <si>
    <t>MI</t>
  </si>
  <si>
    <t>LSI</t>
  </si>
  <si>
    <t>JIIT</t>
  </si>
  <si>
    <t xml:space="preserve">Concur IP </t>
  </si>
  <si>
    <t xml:space="preserve">ONGC </t>
  </si>
  <si>
    <t>Adidas</t>
  </si>
  <si>
    <t>Google</t>
  </si>
  <si>
    <t>IOCL</t>
  </si>
  <si>
    <t>UPPolice</t>
  </si>
  <si>
    <t>Sapient</t>
  </si>
  <si>
    <t>Capgemini</t>
  </si>
  <si>
    <t>Ascogent</t>
  </si>
  <si>
    <t>CGST</t>
  </si>
  <si>
    <t>YES BANK</t>
  </si>
  <si>
    <t>Vinculum</t>
  </si>
  <si>
    <t>AD Interactive</t>
  </si>
  <si>
    <t>E&amp;Y</t>
  </si>
  <si>
    <t>Amex</t>
  </si>
  <si>
    <t>LIC</t>
  </si>
  <si>
    <t>Dreaming C</t>
  </si>
  <si>
    <t>Nagarro</t>
  </si>
  <si>
    <t>TSYS</t>
  </si>
  <si>
    <t>SAEL</t>
  </si>
  <si>
    <t>Barclays</t>
  </si>
  <si>
    <t>MoneyClub</t>
  </si>
  <si>
    <t>MINDLANCE</t>
  </si>
  <si>
    <t>Rudra shares</t>
  </si>
  <si>
    <t>BARCLAYS</t>
  </si>
  <si>
    <t>Microsoft</t>
  </si>
  <si>
    <t>RoundCircle</t>
  </si>
  <si>
    <t>Maruti</t>
  </si>
  <si>
    <t>Technip</t>
  </si>
  <si>
    <t>LTIMINDTREE</t>
  </si>
  <si>
    <t>Blooming H</t>
  </si>
  <si>
    <t>ClearWater</t>
  </si>
  <si>
    <t>Sunmeet A</t>
  </si>
  <si>
    <t>Coforge</t>
  </si>
  <si>
    <t>mlzs</t>
  </si>
  <si>
    <t>Eminence</t>
  </si>
  <si>
    <t>Chaine</t>
  </si>
  <si>
    <t>Wipro</t>
  </si>
  <si>
    <t>DBS</t>
  </si>
  <si>
    <t>Rooter</t>
  </si>
  <si>
    <t>Paypay</t>
  </si>
  <si>
    <t>OMNI</t>
  </si>
  <si>
    <t>Ajay Kumar Gond</t>
  </si>
  <si>
    <t>Surya Kumar Patel</t>
  </si>
  <si>
    <t>Optum</t>
  </si>
  <si>
    <t>UPPOLICE</t>
  </si>
  <si>
    <t>BHEL</t>
  </si>
  <si>
    <t>TATA</t>
  </si>
  <si>
    <t>SALES F</t>
  </si>
  <si>
    <t>ARDY</t>
  </si>
  <si>
    <t>ARICENT</t>
  </si>
  <si>
    <t>SIGMA</t>
  </si>
  <si>
    <t>AML</t>
  </si>
  <si>
    <t>DEXIAN</t>
  </si>
  <si>
    <t>INDIAN OIL</t>
  </si>
  <si>
    <t>GS LAB</t>
  </si>
  <si>
    <t>MARINE</t>
  </si>
  <si>
    <t>VVDN</t>
  </si>
  <si>
    <t>STAG</t>
  </si>
  <si>
    <t>RODIO</t>
  </si>
  <si>
    <t>Ashish/Abheesh</t>
  </si>
  <si>
    <t>Ajay Kumar Gond/Surya Patel</t>
  </si>
  <si>
    <t>Clynox</t>
  </si>
  <si>
    <t xml:space="preserve">Optum </t>
  </si>
  <si>
    <t>QuantBox</t>
  </si>
  <si>
    <t>IBM</t>
  </si>
  <si>
    <t>CARE&amp;CURE</t>
  </si>
  <si>
    <t>DR KUMAR</t>
  </si>
  <si>
    <t>invenioLSI</t>
  </si>
  <si>
    <t>Ericsson</t>
  </si>
  <si>
    <t>SAPIENT</t>
  </si>
  <si>
    <t>CAPGEMINI</t>
  </si>
  <si>
    <t>VANTAGE</t>
  </si>
  <si>
    <t>ORACLE</t>
  </si>
  <si>
    <t>VINCULUM</t>
  </si>
  <si>
    <t>Dreaming Child</t>
  </si>
  <si>
    <t>MAHINDRA</t>
  </si>
  <si>
    <t>BONSS</t>
  </si>
  <si>
    <t>Global Craft</t>
  </si>
  <si>
    <t>PWDB&amp;R</t>
  </si>
  <si>
    <t>NUVOCO</t>
  </si>
  <si>
    <t>DXC</t>
  </si>
  <si>
    <t>MODIBOND</t>
  </si>
  <si>
    <t>MONEYCLUB</t>
  </si>
  <si>
    <t>BAJAJ</t>
  </si>
  <si>
    <t>TECHNIP</t>
  </si>
  <si>
    <t>SAFESIGHT</t>
  </si>
  <si>
    <t>HAVELLS</t>
  </si>
  <si>
    <t>EMINENCE</t>
  </si>
  <si>
    <t>ADEMAR</t>
  </si>
  <si>
    <t>AAN VINTAGE</t>
  </si>
  <si>
    <t xml:space="preserve">POWERGRID </t>
  </si>
  <si>
    <t>SALESFORCE</t>
  </si>
  <si>
    <t>ADIDAS</t>
  </si>
  <si>
    <t>ROOTER</t>
  </si>
  <si>
    <t>HSAd</t>
  </si>
  <si>
    <t>STAG GLOBAL CORPORATE CHAMPIONSHIP</t>
  </si>
  <si>
    <t>Powered by STAG GLOBAL</t>
  </si>
  <si>
    <t>At Noida Indoor Stadium, Sec 21A</t>
  </si>
  <si>
    <t>22-23rd March 2025</t>
  </si>
  <si>
    <t>Organized by STAG Global</t>
  </si>
  <si>
    <t>Deepak Garg</t>
  </si>
  <si>
    <t>bye1</t>
  </si>
  <si>
    <t>bye2</t>
  </si>
  <si>
    <t>bye3</t>
  </si>
  <si>
    <t>bye4</t>
  </si>
  <si>
    <t>_</t>
  </si>
  <si>
    <t>bye5</t>
  </si>
  <si>
    <t>bye6</t>
  </si>
  <si>
    <t>bye7</t>
  </si>
  <si>
    <t>bye8</t>
  </si>
  <si>
    <t>Westel</t>
  </si>
  <si>
    <t>bye2 (_)</t>
  </si>
  <si>
    <t>bye1 (_)</t>
  </si>
  <si>
    <t>Sapna/Ashish</t>
  </si>
  <si>
    <t>ITTA</t>
  </si>
  <si>
    <t>M4</t>
  </si>
  <si>
    <t>M5</t>
  </si>
  <si>
    <t>M6</t>
  </si>
  <si>
    <t>Abheesh</t>
  </si>
  <si>
    <t>20. Print of League Group Stage -&gt; Add Save button, and page setup should be such that league sheet should print completely till end of group and then next page</t>
  </si>
  <si>
    <t>21.  No header when league brackets are saved manually</t>
  </si>
  <si>
    <t>22.  Posting Draw - Header needs to be left aligned (gets cut when not complete)</t>
  </si>
  <si>
    <t>23.  createiBracket should automatically handle league stage</t>
  </si>
  <si>
    <t>25.  Draws when 4 groups and 2 qualifiers from each group, the knockout stage put players of same group in same half</t>
  </si>
  <si>
    <t xml:space="preserve">24. Save functionality for group stage </t>
  </si>
  <si>
    <t>M7</t>
  </si>
  <si>
    <t>C:\ashish\Backup\Desktop\Other\ITTF\TournamentSoftware\DrawSoftware\DilliLabsTournamentSoftware</t>
  </si>
  <si>
    <t>Ashish Kumar/Md.Izazuddin (OMNI)</t>
  </si>
  <si>
    <t>Arvind Choudhary/Rahul Chaudhary (UPPOLICE)</t>
  </si>
  <si>
    <t>Ankit Aggarwal/Varun Sharma (SALESFORCE)</t>
  </si>
  <si>
    <t>Ashutosh Singh/Badal (OMNI)</t>
  </si>
  <si>
    <t>Rajat karn/Biswender Singh (CAPGEMINI)</t>
  </si>
  <si>
    <t>Shashank Jain/Rohan Singh (ADIDAS)</t>
  </si>
  <si>
    <t>Ashish/Abheesh (CLYNOX)</t>
  </si>
  <si>
    <t>Pushpendra kumar/Deepak Gupta (DRDO)</t>
  </si>
  <si>
    <t>Subrat Raj Verma/Vishal Raj (UPPOLICE)</t>
  </si>
  <si>
    <t>Piyush Dua/Shreyan Majumder (DBS)</t>
  </si>
  <si>
    <t>Karan Bohra/Apoorv Jain (ROOTER)</t>
  </si>
  <si>
    <t>Ajay Kumar Gond/Surya Patel (Optum)</t>
  </si>
  <si>
    <t>Category: Men Doubles</t>
  </si>
  <si>
    <t>Group-1 : Pos 2</t>
  </si>
  <si>
    <t>Group-2 : Pos 2</t>
  </si>
  <si>
    <t>Group-3 : Pos 2</t>
  </si>
  <si>
    <t>Group-4 : Pos 2</t>
  </si>
  <si>
    <t>27.  Groups were printed from 2nd group onwards in scoresheet, fixed</t>
  </si>
  <si>
    <t>28. always separate out players of same group evenly during bracket creation</t>
  </si>
  <si>
    <t>Tournament iBracket Generated</t>
  </si>
  <si>
    <t>2-1</t>
  </si>
  <si>
    <t>Ashish Kumar/Md.Izazuddin (OMNI) (Group-1)</t>
  </si>
  <si>
    <t>Ankit Aggarwal/Varun Sharma (SALESFORCE) (Group-2)</t>
  </si>
  <si>
    <t>Rajat karn/Biswender Singh (CAPGEMINI) (Group-3)</t>
  </si>
  <si>
    <t>Subrat Raj Verma/Vishal Raj (UPPOLICE) (Group-4)</t>
  </si>
  <si>
    <t>Arvind Choudhary/Rahul Chaudhary (UPPOLICE) (Group-1)</t>
  </si>
  <si>
    <t>Ashutosh Singh/Badal (OMNI) (Group-2)</t>
  </si>
  <si>
    <t>Shashank Jain/Rohan Singh (ADIDAS) (Group-3)</t>
  </si>
  <si>
    <t>Piyush Dua/Shreyan Majumder (DBS) (Group-4)</t>
  </si>
  <si>
    <t>25A  - For group stage case,  actually set the adjustmentAfter limit to number of groups (so that seed1 are appropriately placed and rest distributed in other halves,  check this for K,J group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</si>
</sst>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General;;"/>
    <numFmt numFmtId="165" formatCode="[$-F400]h:mm:ss\ AM/PM"/>
    <numFmt numFmtId="166" formatCode=";;"/>
  </numFmts>
  <fonts count="31" x14ac:knownFonts="1">
    <font>
      <sz val="11"/>
      <color theme="1"/>
      <name val="Calibri"/>
      <family val="2"/>
      <scheme val="minor"/>
    </font>
    <font>
      <b/>
      <sz val="11"/>
      <color theme="1"/>
      <name val="Calibri"/>
      <family val="2"/>
      <scheme val="minor"/>
    </font>
    <font>
      <b/>
      <sz val="14"/>
      <color theme="1"/>
      <name val="Calibri"/>
      <family val="2"/>
      <scheme val="minor"/>
    </font>
    <font>
      <sz val="10"/>
      <name val="Arial"/>
      <family val="2"/>
    </font>
    <font>
      <sz val="16"/>
      <color theme="1"/>
      <name val="Calibri"/>
      <family val="2"/>
      <scheme val="minor"/>
    </font>
    <font>
      <sz val="18"/>
      <color theme="1"/>
      <name val="Calibri"/>
      <family val="2"/>
      <scheme val="minor"/>
    </font>
    <font>
      <sz val="16"/>
      <color rgb="FF000000"/>
      <name val="Calibri"/>
      <family val="2"/>
    </font>
    <font>
      <sz val="14"/>
      <color rgb="FF000000"/>
      <name val="Calibri"/>
      <family val="2"/>
    </font>
    <font>
      <b/>
      <sz val="16"/>
      <color theme="1"/>
      <name val="Calibri"/>
      <family val="2"/>
      <scheme val="minor"/>
    </font>
    <font>
      <b/>
      <sz val="12"/>
      <color theme="1"/>
      <name val="Calibri"/>
      <family val="2"/>
      <scheme val="minor"/>
    </font>
    <font>
      <sz val="14"/>
      <color theme="1"/>
      <name val="Calibri"/>
      <family val="2"/>
      <scheme val="minor"/>
    </font>
    <font>
      <sz val="12"/>
      <color theme="1"/>
      <name val="Calibri"/>
      <family val="2"/>
      <scheme val="minor"/>
    </font>
    <font>
      <sz val="8"/>
      <name val="Calibri"/>
      <family val="2"/>
      <scheme val="minor"/>
    </font>
    <font>
      <sz val="13"/>
      <color theme="1"/>
      <name val="Calibri"/>
      <family val="2"/>
      <scheme val="minor"/>
    </font>
    <font>
      <b/>
      <sz val="13"/>
      <color theme="1"/>
      <name val="Calibri"/>
      <family val="2"/>
      <scheme val="minor"/>
    </font>
    <font>
      <sz val="11"/>
      <color theme="1"/>
      <name val="Calibri"/>
      <family val="2"/>
      <scheme val="minor"/>
    </font>
    <font>
      <sz val="12"/>
      <color rgb="FF000000"/>
      <name val="Calibri"/>
      <family val="2"/>
      <scheme val="minor"/>
    </font>
    <font>
      <u/>
      <sz val="13"/>
      <color theme="1"/>
      <name val="Calibri"/>
      <family val="2"/>
      <scheme val="minor"/>
    </font>
    <font>
      <sz val="15"/>
      <color rgb="FF000000"/>
      <name val="Calibri"/>
      <family val="2"/>
    </font>
    <font>
      <u/>
      <sz val="11"/>
      <color theme="10"/>
      <name val="Calibri"/>
      <family val="2"/>
      <scheme val="minor"/>
    </font>
    <font>
      <sz val="10"/>
      <color rgb="FF000000"/>
      <name val="Calibri"/>
      <family val="2"/>
      <scheme val="minor"/>
    </font>
    <font>
      <sz val="16"/>
      <name val="Calibri"/>
      <family val="2"/>
      <scheme val="minor"/>
    </font>
    <font>
      <b/>
      <sz val="14"/>
      <color theme="0"/>
      <name val="Calibri"/>
      <family val="2"/>
      <scheme val="minor"/>
    </font>
    <font>
      <sz val="11"/>
      <color rgb="FF000000"/>
      <name val="Calibri"/>
      <family val="2"/>
    </font>
    <font>
      <sz val="11"/>
      <color rgb="FFFF0000"/>
      <name val="Calibri"/>
      <family val="2"/>
      <scheme val="minor"/>
    </font>
    <font>
      <sz val="11"/>
      <color rgb="FF00B050"/>
      <name val="Calibri"/>
      <family val="2"/>
      <scheme val="minor"/>
    </font>
    <font>
      <sz val="11"/>
      <color rgb="FFFFC000"/>
      <name val="Calibri"/>
      <family val="2"/>
      <scheme val="minor"/>
    </font>
    <font>
      <b/>
      <sz val="11"/>
      <color rgb="FF00B050"/>
      <name val="Calibri"/>
      <family val="2"/>
      <scheme val="minor"/>
    </font>
    <font>
      <sz val="14"/>
      <color rgb="FF969696"/>
      <name val="Calibri"/>
      <family val="2"/>
      <scheme val="minor"/>
    </font>
    <font>
      <b/>
      <u/>
      <sz val="14"/>
      <color theme="1"/>
      <name val="Calibri"/>
      <family val="2"/>
      <scheme val="minor"/>
    </font>
    <font>
      <sz val="8"/>
      <name val="Segoe UI"/>
      <family val="2"/>
    </font>
  </fonts>
  <fills count="23">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rgb="FFFFC000"/>
        <bgColor indexed="64"/>
      </patternFill>
    </fill>
    <fill>
      <patternFill patternType="solid">
        <fgColor rgb="FFFFF2CC"/>
        <bgColor indexed="64"/>
      </patternFill>
    </fill>
    <fill>
      <patternFill patternType="solid">
        <fgColor theme="4" tint="0.79998168889431442"/>
        <bgColor indexed="64"/>
      </patternFill>
    </fill>
    <fill>
      <patternFill patternType="solid">
        <fgColor rgb="FFFFE699"/>
        <bgColor indexed="64"/>
      </patternFill>
    </fill>
    <fill>
      <patternFill patternType="solid">
        <fgColor rgb="FFE2EFDA"/>
        <bgColor indexed="64"/>
      </patternFill>
    </fill>
    <fill>
      <patternFill patternType="solid">
        <fgColor rgb="FFC6E0B4"/>
        <bgColor indexed="64"/>
      </patternFill>
    </fill>
    <fill>
      <patternFill patternType="solid">
        <fgColor theme="4"/>
        <bgColor theme="4"/>
      </patternFill>
    </fill>
    <fill>
      <patternFill patternType="solid">
        <fgColor rgb="FFDDEBF7"/>
        <bgColor indexed="64"/>
      </patternFill>
    </fill>
    <fill>
      <patternFill patternType="solid">
        <fgColor rgb="FFA9D08E"/>
        <bgColor indexed="64"/>
      </patternFill>
    </fill>
    <fill>
      <patternFill patternType="solid">
        <fgColor rgb="FFF2F2F2"/>
        <bgColor indexed="64"/>
      </patternFill>
    </fill>
    <fill>
      <patternFill patternType="solid">
        <fgColor rgb="FF969696"/>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B0F0"/>
      </bottom>
      <diagonal/>
    </border>
    <border>
      <left/>
      <right/>
      <top style="thin">
        <color rgb="FF00B0F0"/>
      </top>
      <bottom/>
      <diagonal/>
    </border>
    <border>
      <left style="thin">
        <color rgb="FF00B0F0"/>
      </left>
      <right/>
      <top/>
      <bottom/>
      <diagonal/>
    </border>
    <border>
      <left style="thin">
        <color rgb="FF00B0F0"/>
      </left>
      <right/>
      <top style="thin">
        <color rgb="FF00B0F0"/>
      </top>
      <bottom/>
      <diagonal/>
    </border>
    <border>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right style="thin">
        <color rgb="FF00B0F0"/>
      </right>
      <top/>
      <bottom/>
      <diagonal/>
    </border>
    <border>
      <left/>
      <right/>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rgb="FF00B0F0"/>
      </top>
      <bottom style="thin">
        <color rgb="FF00B0F0"/>
      </bottom>
      <diagonal/>
    </border>
    <border>
      <left style="thin">
        <color rgb="FF00B050"/>
      </left>
      <right/>
      <top style="thin">
        <color rgb="FF00B050"/>
      </top>
      <bottom style="thin">
        <color rgb="FF00B050"/>
      </bottom>
      <diagonal/>
    </border>
    <border>
      <left/>
      <right/>
      <top style="thin">
        <color rgb="FF00B050"/>
      </top>
      <bottom style="thin">
        <color rgb="FF00B050"/>
      </bottom>
      <diagonal/>
    </border>
    <border>
      <left style="thin">
        <color rgb="FF00B050"/>
      </left>
      <right/>
      <top/>
      <bottom/>
      <diagonal/>
    </border>
    <border>
      <left/>
      <right style="thin">
        <color rgb="FF00B050"/>
      </right>
      <top style="thin">
        <color rgb="FF00B050"/>
      </top>
      <bottom style="thin">
        <color rgb="FF00B050"/>
      </bottom>
      <diagonal/>
    </border>
    <border>
      <left style="thin">
        <color rgb="FF00B050"/>
      </left>
      <right style="thin">
        <color rgb="FF00B050"/>
      </right>
      <top style="thin">
        <color rgb="FF00B050"/>
      </top>
      <bottom style="thin">
        <color rgb="FF00B050"/>
      </bottom>
      <diagonal/>
    </border>
    <border>
      <left/>
      <right style="thin">
        <color theme="4"/>
      </right>
      <top style="thin">
        <color theme="4"/>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right style="thin">
        <color rgb="FF000000"/>
      </right>
      <top/>
      <bottom/>
      <diagonal/>
    </border>
    <border>
      <left/>
      <right/>
      <top style="thin">
        <color rgb="FF000000"/>
      </top>
      <bottom/>
      <diagonal/>
    </border>
    <border>
      <left style="thin">
        <color rgb="FF000000"/>
      </left>
      <right/>
      <top/>
      <bottom style="thin">
        <color rgb="FF000000"/>
      </bottom>
      <diagonal/>
    </border>
    <border>
      <left/>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
      <left style="thin">
        <color rgb="FF000000"/>
      </left>
      <right/>
      <top/>
      <bottom/>
      <diagonal/>
    </border>
    <border>
      <left style="thin">
        <color theme="4"/>
      </left>
      <right/>
      <top style="thin">
        <color theme="4"/>
      </top>
      <bottom/>
      <diagonal/>
    </border>
    <border>
      <left/>
      <right/>
      <top style="thin">
        <color theme="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indexed="64"/>
      </left>
      <right/>
      <top/>
      <bottom style="thin">
        <color indexed="64"/>
      </bottom>
      <diagonal/>
    </border>
  </borders>
  <cellStyleXfs count="4">
    <xf numFmtId="0" fontId="0" fillId="0" borderId="0"/>
    <xf numFmtId="0" fontId="3" fillId="0" borderId="0"/>
    <xf numFmtId="0" fontId="15" fillId="0" borderId="0"/>
    <xf numFmtId="0" fontId="19" fillId="0" borderId="0" applyNumberFormat="0" applyFill="0" applyBorder="0" applyAlignment="0" applyProtection="0"/>
  </cellStyleXfs>
  <cellXfs count="203">
    <xf numFmtId="0" fontId="0" fillId="0" borderId="0" xfId="0"/>
    <xf numFmtId="0" fontId="1" fillId="0" borderId="0" xfId="0" applyFont="1"/>
    <xf numFmtId="0" fontId="0" fillId="0" borderId="1" xfId="0" applyBorder="1"/>
    <xf numFmtId="0" fontId="0" fillId="4" borderId="0" xfId="0" applyFill="1"/>
    <xf numFmtId="0" fontId="4" fillId="0" borderId="0" xfId="0" applyFont="1"/>
    <xf numFmtId="0" fontId="0" fillId="0" borderId="7" xfId="0" applyBorder="1"/>
    <xf numFmtId="0" fontId="0" fillId="0" borderId="0" xfId="0" applyAlignment="1">
      <alignment horizontal="center"/>
    </xf>
    <xf numFmtId="0" fontId="0" fillId="0" borderId="1" xfId="0" applyBorder="1" applyAlignment="1">
      <alignment horizontal="left"/>
    </xf>
    <xf numFmtId="0" fontId="0" fillId="0" borderId="15" xfId="0" applyBorder="1"/>
    <xf numFmtId="0" fontId="0" fillId="0" borderId="13" xfId="0" applyBorder="1"/>
    <xf numFmtId="0" fontId="10" fillId="0" borderId="0" xfId="0" applyFont="1"/>
    <xf numFmtId="0" fontId="0" fillId="0" borderId="12" xfId="0" applyBorder="1"/>
    <xf numFmtId="0" fontId="0" fillId="0" borderId="19" xfId="0" applyBorder="1"/>
    <xf numFmtId="0" fontId="2" fillId="4" borderId="17" xfId="0" applyFont="1" applyFill="1" applyBorder="1"/>
    <xf numFmtId="0" fontId="10" fillId="3" borderId="21" xfId="0" applyFont="1" applyFill="1" applyBorder="1" applyAlignment="1">
      <alignment horizontal="center"/>
    </xf>
    <xf numFmtId="0" fontId="10" fillId="3" borderId="1" xfId="0" applyFont="1" applyFill="1" applyBorder="1" applyAlignment="1">
      <alignment horizontal="center"/>
    </xf>
    <xf numFmtId="0" fontId="10" fillId="4" borderId="17" xfId="0" applyFont="1" applyFill="1" applyBorder="1"/>
    <xf numFmtId="0" fontId="9" fillId="0" borderId="1" xfId="0" applyFont="1" applyBorder="1" applyAlignment="1" applyProtection="1">
      <alignment wrapText="1"/>
      <protection locked="0"/>
    </xf>
    <xf numFmtId="0" fontId="11" fillId="0" borderId="1" xfId="0" applyFont="1" applyBorder="1" applyAlignment="1" applyProtection="1">
      <alignment wrapText="1"/>
      <protection locked="0"/>
    </xf>
    <xf numFmtId="0" fontId="0" fillId="0" borderId="1" xfId="0" applyBorder="1" applyAlignment="1" applyProtection="1">
      <alignment wrapText="1"/>
      <protection locked="0"/>
    </xf>
    <xf numFmtId="0" fontId="0" fillId="0" borderId="1" xfId="0" applyBorder="1" applyProtection="1">
      <protection locked="0"/>
    </xf>
    <xf numFmtId="0" fontId="0" fillId="0" borderId="0" xfId="0" applyProtection="1">
      <protection locked="0"/>
    </xf>
    <xf numFmtId="0" fontId="10" fillId="7" borderId="21" xfId="0" applyFont="1" applyFill="1" applyBorder="1" applyAlignment="1" applyProtection="1">
      <alignment horizontal="center"/>
      <protection locked="0"/>
    </xf>
    <xf numFmtId="165" fontId="10" fillId="7" borderId="21" xfId="0" applyNumberFormat="1" applyFont="1" applyFill="1" applyBorder="1" applyAlignment="1" applyProtection="1">
      <alignment horizontal="center"/>
      <protection locked="0"/>
    </xf>
    <xf numFmtId="16" fontId="10" fillId="7" borderId="21" xfId="0" applyNumberFormat="1" applyFont="1" applyFill="1" applyBorder="1" applyAlignment="1" applyProtection="1">
      <alignment horizontal="center"/>
      <protection locked="0"/>
    </xf>
    <xf numFmtId="164" fontId="0" fillId="0" borderId="0" xfId="0" applyNumberFormat="1"/>
    <xf numFmtId="0" fontId="0" fillId="0" borderId="1" xfId="0" applyBorder="1" applyAlignment="1" applyProtection="1">
      <alignment horizontal="left"/>
      <protection locked="0"/>
    </xf>
    <xf numFmtId="20" fontId="0" fillId="0" borderId="1" xfId="0" applyNumberFormat="1" applyBorder="1" applyProtection="1">
      <protection locked="0"/>
    </xf>
    <xf numFmtId="15" fontId="0" fillId="0" borderId="1" xfId="0" applyNumberFormat="1" applyBorder="1" applyProtection="1">
      <protection locked="0"/>
    </xf>
    <xf numFmtId="0" fontId="0" fillId="0" borderId="1" xfId="0" applyBorder="1" applyAlignment="1" applyProtection="1">
      <alignment horizontal="right"/>
      <protection locked="0"/>
    </xf>
    <xf numFmtId="0" fontId="1" fillId="0" borderId="1" xfId="0" applyFont="1" applyBorder="1"/>
    <xf numFmtId="0" fontId="1" fillId="0" borderId="0" xfId="0" applyFont="1" applyAlignment="1">
      <alignment horizontal="center"/>
    </xf>
    <xf numFmtId="0" fontId="1" fillId="0" borderId="1" xfId="0" applyFont="1" applyBorder="1" applyAlignment="1">
      <alignment horizontal="left"/>
    </xf>
    <xf numFmtId="0" fontId="11" fillId="0" borderId="0" xfId="0" applyFont="1"/>
    <xf numFmtId="0" fontId="11" fillId="0" borderId="0" xfId="0" applyFont="1" applyAlignment="1">
      <alignment horizontal="center"/>
    </xf>
    <xf numFmtId="14" fontId="0" fillId="0" borderId="0" xfId="0" applyNumberFormat="1"/>
    <xf numFmtId="0" fontId="0" fillId="0" borderId="1" xfId="0" applyBorder="1" applyAlignment="1">
      <alignment wrapText="1"/>
    </xf>
    <xf numFmtId="0" fontId="16" fillId="0" borderId="0" xfId="0" applyFont="1" applyAlignment="1">
      <alignment horizontal="center"/>
    </xf>
    <xf numFmtId="0" fontId="16" fillId="0" borderId="23" xfId="0" applyFont="1" applyBorder="1"/>
    <xf numFmtId="0" fontId="16" fillId="0" borderId="25" xfId="0" applyFont="1" applyBorder="1"/>
    <xf numFmtId="0" fontId="11" fillId="0" borderId="26" xfId="0" applyFont="1" applyBorder="1"/>
    <xf numFmtId="0" fontId="11" fillId="0" borderId="28" xfId="0" applyFont="1" applyBorder="1"/>
    <xf numFmtId="0" fontId="11" fillId="0" borderId="29" xfId="0" applyFont="1" applyBorder="1"/>
    <xf numFmtId="0" fontId="11" fillId="0" borderId="23" xfId="0" applyFont="1" applyBorder="1"/>
    <xf numFmtId="0" fontId="11" fillId="0" borderId="25" xfId="0" applyFont="1" applyBorder="1"/>
    <xf numFmtId="0" fontId="11" fillId="0" borderId="27" xfId="0" applyFont="1" applyBorder="1"/>
    <xf numFmtId="15" fontId="0" fillId="0" borderId="0" xfId="0" applyNumberFormat="1"/>
    <xf numFmtId="0" fontId="4" fillId="14" borderId="22" xfId="0" applyFont="1" applyFill="1" applyBorder="1" applyProtection="1">
      <protection locked="0"/>
    </xf>
    <xf numFmtId="0" fontId="4" fillId="14" borderId="0" xfId="0" applyFont="1" applyFill="1" applyProtection="1">
      <protection locked="0"/>
    </xf>
    <xf numFmtId="0" fontId="4" fillId="2" borderId="1" xfId="0" applyFont="1" applyFill="1" applyBorder="1" applyAlignment="1" applyProtection="1">
      <alignment horizontal="center"/>
      <protection locked="0"/>
    </xf>
    <xf numFmtId="0" fontId="8" fillId="0" borderId="0" xfId="0" applyFont="1"/>
    <xf numFmtId="0" fontId="4" fillId="13" borderId="0" xfId="0" applyFont="1" applyFill="1" applyAlignment="1">
      <alignment horizontal="left"/>
    </xf>
    <xf numFmtId="0" fontId="4" fillId="14" borderId="0" xfId="0" applyFont="1" applyFill="1" applyAlignment="1">
      <alignment horizontal="left"/>
    </xf>
    <xf numFmtId="0" fontId="4" fillId="13" borderId="0" xfId="0" applyFont="1" applyFill="1"/>
    <xf numFmtId="0" fontId="13" fillId="0" borderId="0" xfId="0" applyFont="1" applyProtection="1">
      <protection locked="0"/>
    </xf>
    <xf numFmtId="0" fontId="13" fillId="0" borderId="0" xfId="0" applyFont="1" applyAlignment="1" applyProtection="1">
      <alignment horizontal="center"/>
      <protection locked="0"/>
    </xf>
    <xf numFmtId="0" fontId="13" fillId="0" borderId="0" xfId="0" applyFont="1" applyAlignment="1" applyProtection="1">
      <alignment vertical="center"/>
      <protection locked="0"/>
    </xf>
    <xf numFmtId="0" fontId="13" fillId="0" borderId="0" xfId="0" applyFont="1" applyAlignment="1" applyProtection="1">
      <alignment horizontal="right" vertical="center"/>
      <protection locked="0"/>
    </xf>
    <xf numFmtId="0" fontId="14" fillId="0" borderId="0" xfId="0" applyFont="1" applyAlignment="1" applyProtection="1">
      <alignment vertical="center"/>
      <protection locked="0"/>
    </xf>
    <xf numFmtId="0" fontId="13" fillId="0" borderId="0" xfId="0" applyFont="1" applyAlignment="1" applyProtection="1">
      <alignment horizontal="center" vertical="center"/>
      <protection locked="0"/>
    </xf>
    <xf numFmtId="0" fontId="14" fillId="0" borderId="0" xfId="0" applyFont="1" applyAlignment="1" applyProtection="1">
      <alignment horizontal="center" vertical="center"/>
      <protection locked="0"/>
    </xf>
    <xf numFmtId="0" fontId="14" fillId="0" borderId="1" xfId="0" applyFont="1" applyBorder="1" applyAlignment="1" applyProtection="1">
      <alignment horizontal="center" vertical="center"/>
      <protection locked="0"/>
    </xf>
    <xf numFmtId="0" fontId="10" fillId="0" borderId="0" xfId="0" applyFont="1" applyAlignment="1" applyProtection="1">
      <alignment vertical="center"/>
      <protection locked="0"/>
    </xf>
    <xf numFmtId="0" fontId="10" fillId="0" borderId="1" xfId="0" applyFont="1" applyBorder="1" applyAlignment="1" applyProtection="1">
      <alignment horizontal="left" vertical="center"/>
      <protection locked="0"/>
    </xf>
    <xf numFmtId="0" fontId="17" fillId="0" borderId="0" xfId="0" applyFont="1" applyAlignment="1" applyProtection="1">
      <alignment vertical="center"/>
      <protection locked="0"/>
    </xf>
    <xf numFmtId="0" fontId="10" fillId="0" borderId="0" xfId="0" applyFont="1" applyAlignment="1" applyProtection="1">
      <alignment horizontal="left" vertical="center"/>
      <protection locked="0"/>
    </xf>
    <xf numFmtId="0" fontId="10" fillId="0" borderId="0" xfId="0" applyFont="1" applyAlignment="1" applyProtection="1">
      <alignment horizontal="right" vertical="center"/>
      <protection locked="0"/>
    </xf>
    <xf numFmtId="0" fontId="17" fillId="0" borderId="0" xfId="0" applyFont="1" applyProtection="1">
      <protection locked="0"/>
    </xf>
    <xf numFmtId="0" fontId="8" fillId="2" borderId="3" xfId="0" applyFont="1" applyFill="1" applyBorder="1" applyAlignment="1">
      <alignment horizontal="center"/>
    </xf>
    <xf numFmtId="0" fontId="19" fillId="0" borderId="1" xfId="3" applyBorder="1" applyAlignment="1">
      <alignment wrapText="1"/>
    </xf>
    <xf numFmtId="0" fontId="20" fillId="0" borderId="28" xfId="0" applyFont="1" applyBorder="1" applyAlignment="1">
      <alignment horizontal="center"/>
    </xf>
    <xf numFmtId="0" fontId="10" fillId="0" borderId="23" xfId="0" applyFont="1" applyBorder="1" applyAlignment="1" applyProtection="1">
      <alignment horizontal="center" vertical="center"/>
      <protection locked="0"/>
    </xf>
    <xf numFmtId="0" fontId="10" fillId="0" borderId="32" xfId="0" applyFont="1" applyBorder="1" applyAlignment="1" applyProtection="1">
      <alignment horizontal="center" vertical="center"/>
      <protection locked="0"/>
    </xf>
    <xf numFmtId="0" fontId="14" fillId="0" borderId="23" xfId="0" applyFont="1" applyBorder="1" applyAlignment="1" applyProtection="1">
      <alignment horizontal="center" vertical="center"/>
      <protection locked="0"/>
    </xf>
    <xf numFmtId="0" fontId="10" fillId="0" borderId="33" xfId="0" applyFont="1" applyBorder="1" applyAlignment="1" applyProtection="1">
      <alignment horizontal="center" vertical="center"/>
      <protection locked="0"/>
    </xf>
    <xf numFmtId="0" fontId="10" fillId="0" borderId="31" xfId="0" applyFont="1" applyBorder="1" applyAlignment="1" applyProtection="1">
      <alignment horizontal="center" vertical="center"/>
      <protection locked="0"/>
    </xf>
    <xf numFmtId="0" fontId="14" fillId="0" borderId="31" xfId="0" applyFont="1" applyBorder="1" applyAlignment="1" applyProtection="1">
      <alignment horizontal="center" vertical="center"/>
      <protection locked="0"/>
    </xf>
    <xf numFmtId="0" fontId="4" fillId="14" borderId="0" xfId="0" applyFont="1" applyFill="1"/>
    <xf numFmtId="0" fontId="4" fillId="15" borderId="0" xfId="0" applyFont="1" applyFill="1" applyAlignment="1">
      <alignment horizontal="left"/>
    </xf>
    <xf numFmtId="0" fontId="4" fillId="15" borderId="0" xfId="0" applyFont="1" applyFill="1"/>
    <xf numFmtId="0" fontId="4" fillId="16" borderId="0" xfId="0" applyFont="1" applyFill="1" applyAlignment="1">
      <alignment horizontal="left"/>
    </xf>
    <xf numFmtId="0" fontId="4" fillId="16" borderId="0" xfId="0" applyFont="1" applyFill="1"/>
    <xf numFmtId="0" fontId="21" fillId="17" borderId="0" xfId="0" applyFont="1" applyFill="1" applyAlignment="1">
      <alignment horizontal="left"/>
    </xf>
    <xf numFmtId="0" fontId="21" fillId="17" borderId="0" xfId="0" applyFont="1" applyFill="1"/>
    <xf numFmtId="0" fontId="5" fillId="7" borderId="22" xfId="0" applyFont="1" applyFill="1" applyBorder="1" applyProtection="1">
      <protection locked="0"/>
    </xf>
    <xf numFmtId="0" fontId="5" fillId="8" borderId="22" xfId="0" applyFont="1" applyFill="1" applyBorder="1" applyProtection="1">
      <protection locked="0"/>
    </xf>
    <xf numFmtId="0" fontId="5" fillId="4" borderId="22" xfId="0" applyFont="1" applyFill="1" applyBorder="1" applyProtection="1">
      <protection locked="0"/>
    </xf>
    <xf numFmtId="0" fontId="5" fillId="5" borderId="22" xfId="0" applyFont="1" applyFill="1" applyBorder="1" applyProtection="1">
      <protection locked="0"/>
    </xf>
    <xf numFmtId="0" fontId="5" fillId="6" borderId="22" xfId="0" applyFont="1" applyFill="1" applyBorder="1" applyProtection="1">
      <protection locked="0"/>
    </xf>
    <xf numFmtId="0" fontId="4" fillId="9" borderId="22" xfId="0" applyFont="1" applyFill="1" applyBorder="1" applyProtection="1">
      <protection locked="0"/>
    </xf>
    <xf numFmtId="0" fontId="19" fillId="0" borderId="0" xfId="3"/>
    <xf numFmtId="0" fontId="4" fillId="19" borderId="0" xfId="0" applyFont="1" applyFill="1" applyAlignment="1">
      <alignment horizontal="left"/>
    </xf>
    <xf numFmtId="0" fontId="4" fillId="19" borderId="0" xfId="0" applyFont="1" applyFill="1"/>
    <xf numFmtId="0" fontId="22" fillId="18" borderId="34" xfId="0" applyFont="1" applyFill="1" applyBorder="1"/>
    <xf numFmtId="0" fontId="22" fillId="18" borderId="35" xfId="0" applyFont="1" applyFill="1" applyBorder="1"/>
    <xf numFmtId="0" fontId="22" fillId="18" borderId="22" xfId="0" applyFont="1" applyFill="1" applyBorder="1"/>
    <xf numFmtId="0" fontId="4" fillId="0" borderId="34" xfId="0" applyFont="1" applyBorder="1"/>
    <xf numFmtId="0" fontId="4" fillId="0" borderId="35" xfId="0" applyFont="1" applyBorder="1"/>
    <xf numFmtId="0" fontId="5" fillId="7" borderId="22" xfId="0" applyFont="1" applyFill="1" applyBorder="1"/>
    <xf numFmtId="0" fontId="5" fillId="8" borderId="22" xfId="0" applyFont="1" applyFill="1" applyBorder="1"/>
    <xf numFmtId="0" fontId="5" fillId="4" borderId="22" xfId="0" applyFont="1" applyFill="1" applyBorder="1"/>
    <xf numFmtId="0" fontId="5" fillId="5" borderId="22" xfId="0" applyFont="1" applyFill="1" applyBorder="1"/>
    <xf numFmtId="0" fontId="5" fillId="6" borderId="22" xfId="0" applyFont="1" applyFill="1" applyBorder="1"/>
    <xf numFmtId="0" fontId="4" fillId="9" borderId="22" xfId="0" applyFont="1" applyFill="1" applyBorder="1"/>
    <xf numFmtId="0" fontId="4" fillId="14" borderId="22" xfId="0" applyFont="1" applyFill="1" applyBorder="1"/>
    <xf numFmtId="0" fontId="4" fillId="0" borderId="38" xfId="0" applyFont="1" applyBorder="1"/>
    <xf numFmtId="0" fontId="4" fillId="0" borderId="39" xfId="0" applyFont="1" applyBorder="1"/>
    <xf numFmtId="0" fontId="4" fillId="14" borderId="40" xfId="0" applyFont="1" applyFill="1" applyBorder="1"/>
    <xf numFmtId="0" fontId="4" fillId="2" borderId="37" xfId="0" applyFont="1" applyFill="1" applyBorder="1" applyAlignment="1" applyProtection="1">
      <alignment horizontal="center"/>
      <protection locked="0"/>
    </xf>
    <xf numFmtId="0" fontId="0" fillId="0" borderId="36" xfId="0" applyBorder="1"/>
    <xf numFmtId="0" fontId="2" fillId="4" borderId="1" xfId="0" applyFont="1" applyFill="1" applyBorder="1" applyAlignment="1" applyProtection="1">
      <alignment horizontal="right"/>
      <protection locked="0"/>
    </xf>
    <xf numFmtId="0" fontId="11" fillId="0" borderId="24" xfId="0" applyFont="1" applyBorder="1"/>
    <xf numFmtId="0" fontId="25" fillId="0" borderId="0" xfId="0" applyFont="1"/>
    <xf numFmtId="0" fontId="24" fillId="0" borderId="0" xfId="0" applyFont="1"/>
    <xf numFmtId="0" fontId="4" fillId="20" borderId="0" xfId="0" applyFont="1" applyFill="1" applyAlignment="1">
      <alignment horizontal="left"/>
    </xf>
    <xf numFmtId="0" fontId="4" fillId="20" borderId="0" xfId="0" applyFont="1" applyFill="1"/>
    <xf numFmtId="0" fontId="26" fillId="0" borderId="0" xfId="0" applyFont="1"/>
    <xf numFmtId="0" fontId="27" fillId="0" borderId="0" xfId="0" applyFont="1"/>
    <xf numFmtId="0" fontId="16" fillId="0" borderId="31" xfId="0" applyFont="1" applyBorder="1"/>
    <xf numFmtId="0" fontId="11" fillId="0" borderId="31" xfId="0" applyFont="1" applyBorder="1"/>
    <xf numFmtId="0" fontId="0" fillId="0" borderId="0" xfId="0" applyAlignment="1">
      <alignment horizontal="left"/>
    </xf>
    <xf numFmtId="0" fontId="10" fillId="0" borderId="1" xfId="0" applyFont="1" applyBorder="1"/>
    <xf numFmtId="49" fontId="10" fillId="0" borderId="1" xfId="0" applyNumberFormat="1" applyFont="1" applyBorder="1" applyAlignment="1">
      <alignment horizontal="center"/>
    </xf>
    <xf numFmtId="0" fontId="10" fillId="0" borderId="1" xfId="0" applyFont="1" applyBorder="1" applyAlignment="1">
      <alignment horizontal="center"/>
    </xf>
    <xf numFmtId="0" fontId="28" fillId="22" borderId="1" xfId="0" applyFont="1" applyFill="1" applyBorder="1" applyAlignment="1">
      <alignment horizontal="center"/>
    </xf>
    <xf numFmtId="49" fontId="10" fillId="0" borderId="1" xfId="0" applyNumberFormat="1" applyFont="1" applyBorder="1" applyAlignment="1" applyProtection="1">
      <alignment horizontal="center"/>
      <protection locked="0"/>
    </xf>
    <xf numFmtId="0" fontId="10" fillId="21" borderId="1" xfId="0" applyFont="1" applyFill="1" applyBorder="1" applyAlignment="1">
      <alignment horizontal="center"/>
    </xf>
    <xf numFmtId="0" fontId="11" fillId="0" borderId="1" xfId="0" applyFont="1" applyBorder="1"/>
    <xf numFmtId="0" fontId="0" fillId="0" borderId="41" xfId="0" applyBorder="1"/>
    <xf numFmtId="0" fontId="0" fillId="0" borderId="3" xfId="0" applyBorder="1"/>
    <xf numFmtId="0" fontId="10" fillId="0" borderId="0" xfId="0" applyFont="1" applyAlignment="1">
      <alignment wrapText="1"/>
    </xf>
    <xf numFmtId="0" fontId="10" fillId="0" borderId="1" xfId="0" applyFont="1" applyBorder="1" applyAlignment="1">
      <alignment wrapText="1"/>
    </xf>
    <xf numFmtId="0" fontId="29" fillId="0" borderId="0" xfId="0" applyFont="1" applyAlignment="1">
      <alignment wrapText="1"/>
    </xf>
    <xf numFmtId="0" fontId="10" fillId="0" borderId="0" xfId="0" applyFont="1" applyAlignment="1" applyProtection="1">
      <alignment horizontal="center" vertical="center"/>
      <protection locked="0"/>
    </xf>
    <xf numFmtId="0" fontId="0" fillId="0" borderId="0" xfId="0"/>
    <xf numFmtId="0" fontId="10" fillId="11" borderId="10" xfId="0" applyFont="1" applyFill="1" applyBorder="1" applyAlignment="1">
      <alignment horizontal="center" vertical="center"/>
    </xf>
    <xf numFmtId="0" fontId="10" fillId="11" borderId="5" xfId="0" applyFont="1" applyFill="1" applyBorder="1" applyAlignment="1">
      <alignment horizontal="center" vertical="center"/>
    </xf>
    <xf numFmtId="164" fontId="0" fillId="0" borderId="8" xfId="0" applyNumberFormat="1" applyBorder="1" applyAlignment="1">
      <alignment horizontal="center" vertical="center"/>
    </xf>
    <xf numFmtId="164" fontId="0" fillId="0" borderId="7" xfId="0" applyNumberFormat="1" applyBorder="1" applyAlignment="1">
      <alignment horizontal="center" vertical="center"/>
    </xf>
    <xf numFmtId="164" fontId="0" fillId="0" borderId="6" xfId="0" applyNumberFormat="1" applyBorder="1" applyAlignment="1">
      <alignment horizontal="center" vertical="center"/>
    </xf>
    <xf numFmtId="164" fontId="0" fillId="0" borderId="0" xfId="0" applyNumberFormat="1" applyAlignment="1">
      <alignment horizontal="center" vertical="center"/>
    </xf>
    <xf numFmtId="164" fontId="0" fillId="0" borderId="14" xfId="0" applyNumberFormat="1" applyBorder="1" applyAlignment="1">
      <alignment horizontal="center" vertical="center"/>
    </xf>
    <xf numFmtId="0" fontId="0" fillId="0" borderId="16" xfId="0" applyBorder="1" applyAlignment="1">
      <alignment horizontal="center"/>
    </xf>
    <xf numFmtId="0" fontId="8" fillId="2" borderId="30" xfId="0" applyFont="1" applyFill="1" applyBorder="1" applyAlignment="1">
      <alignment horizontal="center"/>
    </xf>
    <xf numFmtId="0" fontId="8" fillId="2" borderId="4" xfId="0" applyFont="1" applyFill="1" applyBorder="1" applyAlignment="1">
      <alignment horizontal="center"/>
    </xf>
    <xf numFmtId="0" fontId="8" fillId="10" borderId="8" xfId="0" applyFont="1" applyFill="1" applyBorder="1" applyAlignment="1">
      <alignment horizontal="center" vertical="center" wrapText="1"/>
    </xf>
    <xf numFmtId="0" fontId="8" fillId="10" borderId="6"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8" fillId="10" borderId="10" xfId="0" applyFont="1" applyFill="1" applyBorder="1" applyAlignment="1">
      <alignment horizontal="center" vertical="center" wrapText="1"/>
    </xf>
    <xf numFmtId="0" fontId="8" fillId="10" borderId="5"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10" fillId="11" borderId="7" xfId="0" applyFont="1" applyFill="1" applyBorder="1" applyAlignment="1">
      <alignment horizontal="center" vertical="center"/>
    </xf>
    <xf numFmtId="0" fontId="10" fillId="11" borderId="0" xfId="0" applyFont="1" applyFill="1" applyAlignment="1">
      <alignment horizontal="center" vertical="center"/>
    </xf>
    <xf numFmtId="0" fontId="10" fillId="11" borderId="12" xfId="0" applyFont="1" applyFill="1" applyBorder="1" applyAlignment="1">
      <alignment horizontal="center" vertical="center"/>
    </xf>
    <xf numFmtId="0" fontId="10" fillId="11" borderId="8"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7" xfId="0" applyFont="1" applyFill="1" applyBorder="1" applyAlignment="1">
      <alignment horizontal="center" vertical="center" wrapText="1"/>
    </xf>
    <xf numFmtId="0" fontId="10" fillId="11" borderId="0" xfId="0" applyFont="1" applyFill="1" applyAlignment="1">
      <alignment horizontal="center" vertical="center" wrapText="1"/>
    </xf>
    <xf numFmtId="0" fontId="10" fillId="11" borderId="12" xfId="0" applyFont="1" applyFill="1" applyBorder="1" applyAlignment="1">
      <alignment horizontal="center" vertical="center" wrapText="1"/>
    </xf>
    <xf numFmtId="0" fontId="2" fillId="12" borderId="17" xfId="0" applyFont="1" applyFill="1" applyBorder="1" applyAlignment="1">
      <alignment horizontal="center"/>
    </xf>
    <xf numFmtId="0" fontId="2" fillId="12" borderId="18" xfId="0" applyFont="1" applyFill="1" applyBorder="1" applyAlignment="1">
      <alignment horizontal="center"/>
    </xf>
    <xf numFmtId="0" fontId="0" fillId="0" borderId="0" xfId="0" applyAlignment="1">
      <alignment horizontal="center"/>
    </xf>
    <xf numFmtId="0" fontId="10" fillId="4" borderId="18" xfId="0" applyFont="1" applyFill="1" applyBorder="1" applyAlignment="1">
      <alignment horizontal="center"/>
    </xf>
    <xf numFmtId="0" fontId="10" fillId="4" borderId="20" xfId="0" applyFont="1" applyFill="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0" borderId="12" xfId="0" applyBorder="1" applyAlignment="1">
      <alignment horizontal="center"/>
    </xf>
    <xf numFmtId="0" fontId="2" fillId="4" borderId="10" xfId="0" applyFont="1" applyFill="1" applyBorder="1" applyAlignment="1">
      <alignment horizontal="center"/>
    </xf>
    <xf numFmtId="0" fontId="2" fillId="4" borderId="5" xfId="0" applyFont="1" applyFill="1" applyBorder="1" applyAlignment="1">
      <alignment horizontal="center"/>
    </xf>
    <xf numFmtId="0" fontId="2" fillId="4" borderId="11" xfId="0" applyFont="1" applyFill="1" applyBorder="1" applyAlignment="1">
      <alignment horizontal="center"/>
    </xf>
    <xf numFmtId="0" fontId="2" fillId="4" borderId="18" xfId="0" applyFont="1" applyFill="1" applyBorder="1" applyAlignment="1">
      <alignment horizontal="center"/>
    </xf>
    <xf numFmtId="0" fontId="2" fillId="4" borderId="20" xfId="0" applyFont="1" applyFill="1" applyBorder="1" applyAlignment="1">
      <alignment horizontal="center"/>
    </xf>
    <xf numFmtId="0" fontId="2"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wrapText="1"/>
    </xf>
    <xf numFmtId="0" fontId="0" fillId="0" borderId="2" xfId="0" applyBorder="1" applyAlignment="1">
      <alignment horizontal="center"/>
    </xf>
    <xf numFmtId="0" fontId="11" fillId="0" borderId="24" xfId="0" applyFont="1" applyBorder="1" applyAlignment="1">
      <alignment horizontal="left"/>
    </xf>
    <xf numFmtId="0" fontId="11" fillId="0" borderId="24" xfId="0" applyFont="1" applyBorder="1" applyAlignment="1">
      <alignment horizontal="center"/>
    </xf>
    <xf numFmtId="0" fontId="11" fillId="0" borderId="0" xfId="0" applyFont="1"/>
    <xf numFmtId="0" fontId="0" fillId="0" borderId="24" xfId="0" applyBorder="1" applyAlignment="1">
      <alignment horizontal="left"/>
    </xf>
    <xf numFmtId="0" fontId="0" fillId="0" borderId="24" xfId="0" applyBorder="1" applyAlignment="1">
      <alignment horizontal="center"/>
    </xf>
    <xf numFmtId="0" fontId="2" fillId="0" borderId="0" xfId="0" applyFont="1" applyAlignment="1">
      <alignment horizontal="center" wrapText="1"/>
    </xf>
    <xf numFmtId="0" fontId="17"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4" fillId="0" borderId="1" xfId="0" applyFont="1"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166" fontId="10" fillId="0" borderId="1" xfId="0" applyNumberFormat="1" applyFont="1" applyBorder="1" applyAlignment="1" applyProtection="1">
      <alignment horizontal="left" vertical="center" wrapText="1"/>
      <protection locked="0"/>
    </xf>
    <xf numFmtId="166" fontId="10" fillId="0" borderId="3" xfId="0" applyNumberFormat="1" applyFont="1" applyBorder="1" applyAlignment="1" applyProtection="1">
      <alignment horizontal="left" vertical="center" wrapText="1"/>
      <protection locked="0"/>
    </xf>
    <xf numFmtId="166" fontId="10" fillId="0" borderId="30" xfId="0" applyNumberFormat="1" applyFont="1" applyBorder="1" applyAlignment="1" applyProtection="1">
      <alignment horizontal="left" vertical="center" wrapText="1"/>
      <protection locked="0"/>
    </xf>
    <xf numFmtId="0" fontId="1" fillId="0" borderId="1" xfId="0" applyFont="1" applyBorder="1" applyAlignment="1">
      <alignment horizontal="center" vertical="center"/>
    </xf>
    <xf numFmtId="0" fontId="1" fillId="2" borderId="13" xfId="0" applyFont="1" applyFill="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1" xfId="0" applyFont="1" applyBorder="1" applyAlignment="1">
      <alignment horizontal="center"/>
    </xf>
    <xf numFmtId="0" fontId="20" fillId="0" borderId="0" xfId="0" applyFont="1" applyBorder="1" applyAlignment="1">
      <alignment horizontal="center"/>
    </xf>
    <xf numFmtId="0" fontId="11" fillId="0" borderId="0" xfId="0" applyFont="1" applyBorder="1" applyAlignment="1">
      <alignment horizontal="center"/>
    </xf>
    <xf numFmtId="0" fontId="11" fillId="0" borderId="0" xfId="0" applyFont="1" applyBorder="1" applyAlignment="1">
      <alignment horizontal="left"/>
    </xf>
    <xf numFmtId="0" fontId="11" fillId="0" borderId="0" xfId="0" applyFont="1" applyBorder="1"/>
    <xf numFmtId="0" fontId="0" fillId="0" borderId="0" xfId="0" applyBorder="1" applyAlignment="1">
      <alignment horizontal="center"/>
    </xf>
    <xf numFmtId="0" fontId="0" fillId="0" borderId="0" xfId="0" applyBorder="1" applyAlignment="1">
      <alignment horizontal="left"/>
    </xf>
    <xf numFmtId="0" fontId="0" fillId="0" borderId="0" xfId="0" applyFont="1"/>
  </cellXfs>
  <cellStyles count="4">
    <cellStyle name="Hyperlink" xfId="3" builtinId="8"/>
    <cellStyle name="Normal" xfId="0" builtinId="0"/>
    <cellStyle name="Normal 2" xfId="1" xr:uid="{05ADB71F-7BC7-4D9B-BDC6-9D1E5EFF70EC}"/>
    <cellStyle name="Normal 4 2" xfId="2" xr:uid="{2BACDE48-2632-4AE6-8257-5125AAE8593A}"/>
  </cellStyles>
  <dxfs count="18">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numFmt numFmtId="0" formatCode="General"/>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6"/>
        <color theme="1"/>
        <name val="Calibri"/>
        <family val="2"/>
        <scheme val="minor"/>
      </font>
      <fill>
        <patternFill patternType="solid">
          <fgColor indexed="64"/>
          <bgColor theme="6" tint="0.79998168889431442"/>
        </patternFill>
      </fill>
      <protection locked="1" hidden="0"/>
    </dxf>
    <dxf>
      <font>
        <strike val="0"/>
        <outline val="0"/>
        <shadow val="0"/>
        <u val="none"/>
        <vertAlign val="baseline"/>
        <sz val="16"/>
        <color theme="1"/>
        <name val="Calibri"/>
        <family val="2"/>
        <scheme val="minor"/>
      </font>
      <fill>
        <patternFill patternType="solid">
          <fgColor indexed="64"/>
          <bgColor theme="6" tint="0.79998168889431442"/>
        </patternFill>
      </fill>
      <protection locked="1" hidden="0"/>
    </dxf>
    <dxf>
      <font>
        <strike val="0"/>
        <outline val="0"/>
        <shadow val="0"/>
        <u val="none"/>
        <vertAlign val="baseline"/>
        <sz val="16"/>
        <color theme="1"/>
        <name val="Calibri"/>
        <family val="2"/>
        <scheme val="minor"/>
      </font>
      <alignment horizontal="left" vertical="bottom" textRotation="0" wrapText="0" indent="0" justifyLastLine="0" shrinkToFit="0" readingOrder="0"/>
      <protection locked="1" hidden="0"/>
    </dxf>
    <dxf>
      <font>
        <strike val="0"/>
        <outline val="0"/>
        <shadow val="0"/>
        <u val="none"/>
        <vertAlign val="baseline"/>
        <sz val="16"/>
        <color theme="1"/>
        <name val="Calibri"/>
        <family val="2"/>
        <scheme val="minor"/>
      </font>
      <fill>
        <patternFill patternType="solid">
          <fgColor indexed="64"/>
          <bgColor theme="5" tint="0.79998168889431442"/>
        </patternFill>
      </fill>
      <alignment horizontal="left" vertical="bottom" textRotation="0" wrapText="0" indent="0" justifyLastLine="0" shrinkToFit="0" readingOrder="0"/>
      <protection locked="1" hidden="0"/>
    </dxf>
    <dxf>
      <font>
        <strike val="0"/>
        <outline val="0"/>
        <shadow val="0"/>
        <u val="none"/>
        <vertAlign val="baseline"/>
        <sz val="16"/>
        <color theme="1"/>
        <name val="Calibri"/>
        <family val="2"/>
        <scheme val="minor"/>
      </font>
      <protection locked="1" hidden="0"/>
    </dxf>
    <dxf>
      <font>
        <b/>
        <i val="0"/>
        <strike val="0"/>
        <condense val="0"/>
        <extend val="0"/>
        <outline val="0"/>
        <shadow val="0"/>
        <u val="none"/>
        <vertAlign val="baseline"/>
        <sz val="16"/>
        <color theme="1"/>
        <name val="Calibri"/>
        <family val="2"/>
        <scheme val="minor"/>
      </font>
      <protection locked="1" hidden="0"/>
    </dxf>
    <dxf>
      <font>
        <strike val="0"/>
        <outline val="0"/>
        <shadow val="0"/>
        <u val="none"/>
        <vertAlign val="baseline"/>
        <sz val="16"/>
        <color theme="1"/>
        <name val="Calibri"/>
        <family val="2"/>
        <scheme val="minor"/>
      </font>
      <protection locked="0" hidden="0"/>
    </dxf>
    <dxf>
      <font>
        <strike val="0"/>
        <outline val="0"/>
        <shadow val="0"/>
        <u val="none"/>
        <vertAlign val="baseline"/>
        <sz val="16"/>
        <color theme="1"/>
        <name val="Calibri"/>
        <family val="2"/>
        <scheme val="minor"/>
      </font>
      <numFmt numFmtId="0" formatCode="General"/>
    </dxf>
    <dxf>
      <font>
        <strike val="0"/>
        <outline val="0"/>
        <shadow val="0"/>
        <u val="none"/>
        <vertAlign val="baseline"/>
        <sz val="16"/>
        <color theme="1"/>
        <name val="Calibri"/>
        <family val="2"/>
        <scheme val="minor"/>
      </font>
      <numFmt numFmtId="0" formatCode="General"/>
    </dxf>
    <dxf>
      <font>
        <strike val="0"/>
        <outline val="0"/>
        <shadow val="0"/>
        <u val="none"/>
        <vertAlign val="baseline"/>
        <sz val="16"/>
        <color theme="1"/>
        <name val="Calibri"/>
        <family val="2"/>
        <scheme val="minor"/>
      </font>
      <protection locked="1" hidden="0"/>
    </dxf>
    <dxf>
      <font>
        <strike val="0"/>
        <outline val="0"/>
        <shadow val="0"/>
        <u val="none"/>
        <vertAlign val="baseline"/>
        <sz val="16"/>
        <color theme="1"/>
        <name val="Calibri"/>
        <family val="2"/>
        <scheme val="minor"/>
      </font>
    </dxf>
    <dxf>
      <font>
        <strike val="0"/>
        <outline val="0"/>
        <shadow val="0"/>
        <u val="none"/>
        <vertAlign val="baseline"/>
        <sz val="14"/>
        <color theme="1"/>
        <name val="Calibri"/>
        <family val="2"/>
        <scheme val="minor"/>
      </font>
    </dxf>
  </dxfs>
  <tableStyles count="0" defaultTableStyle="TableStyleMedium2" defaultPivotStyle="PivotStyleLight16"/>
  <colors>
    <mruColors>
      <color rgb="FF0EE2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checked="Checked" lockText="1" noThreeD="1"/>
</file>

<file path=xl/ctrlProps/ctrlProp117.xml><?xml version="1.0" encoding="utf-8"?>
<formControlPr xmlns="http://schemas.microsoft.com/office/spreadsheetml/2009/9/main" objectType="CheckBox" checked="Checked" lockText="1" noThreeD="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9</xdr:row>
          <xdr:rowOff>45720</xdr:rowOff>
        </xdr:from>
        <xdr:to>
          <xdr:col>5</xdr:col>
          <xdr:colOff>1821180</xdr:colOff>
          <xdr:row>10</xdr:row>
          <xdr:rowOff>38100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000-000035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500" b="0" i="0" u="none" strike="noStrike" baseline="0">
                  <a:solidFill>
                    <a:srgbClr val="000000"/>
                  </a:solidFill>
                  <a:latin typeface="Calibri"/>
                  <a:ea typeface="Calibri"/>
                  <a:cs typeface="Calibri"/>
                </a:rPr>
                <a:t>Create iBracket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10</xdr:row>
          <xdr:rowOff>160020</xdr:rowOff>
        </xdr:from>
        <xdr:to>
          <xdr:col>5</xdr:col>
          <xdr:colOff>1821180</xdr:colOff>
          <xdr:row>11</xdr:row>
          <xdr:rowOff>152400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0" i="0" u="none" strike="noStrike" baseline="0">
                  <a:solidFill>
                    <a:srgbClr val="000000"/>
                  </a:solidFill>
                  <a:latin typeface="Calibri"/>
                  <a:ea typeface="Calibri"/>
                  <a:cs typeface="Calibri"/>
                </a:rPr>
                <a:t>Save Bracket/SS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167640</xdr:colOff>
          <xdr:row>20</xdr:row>
          <xdr:rowOff>38100</xdr:rowOff>
        </xdr:from>
        <xdr:to>
          <xdr:col>8</xdr:col>
          <xdr:colOff>312420</xdr:colOff>
          <xdr:row>21</xdr:row>
          <xdr:rowOff>60960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500" b="0" i="0" u="none" strike="noStrike" baseline="0">
                  <a:solidFill>
                    <a:srgbClr val="000000"/>
                  </a:solidFill>
                  <a:latin typeface="Calibri"/>
                  <a:ea typeface="Calibri"/>
                  <a:cs typeface="Calibri"/>
                </a:rPr>
                <a:t>Copy Workbook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21</xdr:row>
          <xdr:rowOff>228600</xdr:rowOff>
        </xdr:from>
        <xdr:to>
          <xdr:col>8</xdr:col>
          <xdr:colOff>320040</xdr:colOff>
          <xdr:row>22</xdr:row>
          <xdr:rowOff>205740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Publish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403860</xdr:colOff>
          <xdr:row>24</xdr:row>
          <xdr:rowOff>167640</xdr:rowOff>
        </xdr:from>
        <xdr:to>
          <xdr:col>9</xdr:col>
          <xdr:colOff>365760</xdr:colOff>
          <xdr:row>25</xdr:row>
          <xdr:rowOff>190500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500" b="0" i="0" u="none" strike="noStrike" baseline="0">
                  <a:solidFill>
                    <a:srgbClr val="000000"/>
                  </a:solidFill>
                  <a:latin typeface="Calibri"/>
                  <a:ea typeface="Calibri"/>
                  <a:cs typeface="Calibri"/>
                </a:rPr>
                <a:t>Import DSTT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24</xdr:row>
          <xdr:rowOff>160020</xdr:rowOff>
        </xdr:from>
        <xdr:to>
          <xdr:col>10</xdr:col>
          <xdr:colOff>137160</xdr:colOff>
          <xdr:row>25</xdr:row>
          <xdr:rowOff>182880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000-000055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Import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175260</xdr:colOff>
          <xdr:row>24</xdr:row>
          <xdr:rowOff>190500</xdr:rowOff>
        </xdr:from>
        <xdr:to>
          <xdr:col>8</xdr:col>
          <xdr:colOff>320040</xdr:colOff>
          <xdr:row>25</xdr:row>
          <xdr:rowOff>213360</xdr:rowOff>
        </xdr:to>
        <xdr:sp macro="" textlink="">
          <xdr:nvSpPr>
            <xdr:cNvPr id="2134" name="Button 86" hidden="1">
              <a:extLst>
                <a:ext uri="{63B3BB69-23CF-44E3-9099-C40C66FF867C}">
                  <a14:compatExt spid="_x0000_s2134"/>
                </a:ext>
                <a:ext uri="{FF2B5EF4-FFF2-40B4-BE49-F238E27FC236}">
                  <a16:creationId xmlns:a16="http://schemas.microsoft.com/office/drawing/2014/main" id="{00000000-0008-0000-0000-000056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500" b="0" i="0" u="none" strike="noStrike" baseline="0">
                  <a:solidFill>
                    <a:srgbClr val="000000"/>
                  </a:solidFill>
                  <a:latin typeface="Calibri"/>
                  <a:ea typeface="Calibri"/>
                  <a:cs typeface="Calibri"/>
                </a:rPr>
                <a:t>Import Rankings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1310640</xdr:colOff>
          <xdr:row>19</xdr:row>
          <xdr:rowOff>251460</xdr:rowOff>
        </xdr:from>
        <xdr:to>
          <xdr:col>9</xdr:col>
          <xdr:colOff>1272540</xdr:colOff>
          <xdr:row>21</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500" b="0" i="0" u="none" strike="noStrike" baseline="0">
                  <a:solidFill>
                    <a:srgbClr val="000000"/>
                  </a:solidFill>
                  <a:latin typeface="Calibri"/>
                  <a:ea typeface="Calibri"/>
                  <a:cs typeface="Calibri"/>
                </a:rPr>
                <a:t>Auto Place till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6</xdr:row>
          <xdr:rowOff>198120</xdr:rowOff>
        </xdr:from>
        <xdr:to>
          <xdr:col>5</xdr:col>
          <xdr:colOff>1805940</xdr:colOff>
          <xdr:row>7</xdr:row>
          <xdr:rowOff>182880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Auto 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114300</xdr:rowOff>
        </xdr:from>
        <xdr:to>
          <xdr:col>5</xdr:col>
          <xdr:colOff>1798320</xdr:colOff>
          <xdr:row>6</xdr:row>
          <xdr:rowOff>99060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Clear 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7</xdr:row>
          <xdr:rowOff>259080</xdr:rowOff>
        </xdr:from>
        <xdr:to>
          <xdr:col>5</xdr:col>
          <xdr:colOff>1821180</xdr:colOff>
          <xdr:row>8</xdr:row>
          <xdr:rowOff>266700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000-000038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Save Seeding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114300</xdr:colOff>
          <xdr:row>1</xdr:row>
          <xdr:rowOff>0</xdr:rowOff>
        </xdr:to>
        <xdr:sp macro="" textlink="">
          <xdr:nvSpPr>
            <xdr:cNvPr id="423034" name="Button 122" hidden="1">
              <a:extLst>
                <a:ext uri="{63B3BB69-23CF-44E3-9099-C40C66FF867C}">
                  <a14:compatExt spid="_x0000_s423034"/>
                </a:ext>
                <a:ext uri="{FF2B5EF4-FFF2-40B4-BE49-F238E27FC236}">
                  <a16:creationId xmlns:a16="http://schemas.microsoft.com/office/drawing/2014/main" id="{00000000-0008-0000-0100-00007A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0</xdr:rowOff>
        </xdr:from>
        <xdr:to>
          <xdr:col>8</xdr:col>
          <xdr:colOff>0</xdr:colOff>
          <xdr:row>1</xdr:row>
          <xdr:rowOff>0</xdr:rowOff>
        </xdr:to>
        <xdr:sp macro="" textlink="">
          <xdr:nvSpPr>
            <xdr:cNvPr id="423035" name="Button 123" hidden="1">
              <a:extLst>
                <a:ext uri="{63B3BB69-23CF-44E3-9099-C40C66FF867C}">
                  <a14:compatExt spid="_x0000_s423035"/>
                </a:ext>
                <a:ext uri="{FF2B5EF4-FFF2-40B4-BE49-F238E27FC236}">
                  <a16:creationId xmlns:a16="http://schemas.microsoft.com/office/drawing/2014/main" id="{00000000-0008-0000-0100-00007B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236220</xdr:colOff>
          <xdr:row>1</xdr:row>
          <xdr:rowOff>0</xdr:rowOff>
        </xdr:to>
        <xdr:sp macro="" textlink="">
          <xdr:nvSpPr>
            <xdr:cNvPr id="423036" name="Button 124" hidden="1">
              <a:extLst>
                <a:ext uri="{63B3BB69-23CF-44E3-9099-C40C66FF867C}">
                  <a14:compatExt spid="_x0000_s423036"/>
                </a:ext>
                <a:ext uri="{FF2B5EF4-FFF2-40B4-BE49-F238E27FC236}">
                  <a16:creationId xmlns:a16="http://schemas.microsoft.com/office/drawing/2014/main" id="{00000000-0008-0000-0100-00007C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114300</xdr:colOff>
          <xdr:row>1</xdr:row>
          <xdr:rowOff>0</xdr:rowOff>
        </xdr:to>
        <xdr:sp macro="" textlink="">
          <xdr:nvSpPr>
            <xdr:cNvPr id="423037" name="Button 125" hidden="1">
              <a:extLst>
                <a:ext uri="{63B3BB69-23CF-44E3-9099-C40C66FF867C}">
                  <a14:compatExt spid="_x0000_s423037"/>
                </a:ext>
                <a:ext uri="{FF2B5EF4-FFF2-40B4-BE49-F238E27FC236}">
                  <a16:creationId xmlns:a16="http://schemas.microsoft.com/office/drawing/2014/main" id="{00000000-0008-0000-0100-00007D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0</xdr:rowOff>
        </xdr:from>
        <xdr:to>
          <xdr:col>8</xdr:col>
          <xdr:colOff>0</xdr:colOff>
          <xdr:row>1</xdr:row>
          <xdr:rowOff>0</xdr:rowOff>
        </xdr:to>
        <xdr:sp macro="" textlink="">
          <xdr:nvSpPr>
            <xdr:cNvPr id="423038" name="Button 126" hidden="1">
              <a:extLst>
                <a:ext uri="{63B3BB69-23CF-44E3-9099-C40C66FF867C}">
                  <a14:compatExt spid="_x0000_s423038"/>
                </a:ext>
                <a:ext uri="{FF2B5EF4-FFF2-40B4-BE49-F238E27FC236}">
                  <a16:creationId xmlns:a16="http://schemas.microsoft.com/office/drawing/2014/main" id="{00000000-0008-0000-0100-00007E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236220</xdr:colOff>
          <xdr:row>1</xdr:row>
          <xdr:rowOff>0</xdr:rowOff>
        </xdr:to>
        <xdr:sp macro="" textlink="">
          <xdr:nvSpPr>
            <xdr:cNvPr id="423039" name="Button 127" hidden="1">
              <a:extLst>
                <a:ext uri="{63B3BB69-23CF-44E3-9099-C40C66FF867C}">
                  <a14:compatExt spid="_x0000_s423039"/>
                </a:ext>
                <a:ext uri="{FF2B5EF4-FFF2-40B4-BE49-F238E27FC236}">
                  <a16:creationId xmlns:a16="http://schemas.microsoft.com/office/drawing/2014/main" id="{00000000-0008-0000-0100-00007F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114300</xdr:colOff>
          <xdr:row>1</xdr:row>
          <xdr:rowOff>0</xdr:rowOff>
        </xdr:to>
        <xdr:sp macro="" textlink="">
          <xdr:nvSpPr>
            <xdr:cNvPr id="423040" name="Button 128" hidden="1">
              <a:extLst>
                <a:ext uri="{63B3BB69-23CF-44E3-9099-C40C66FF867C}">
                  <a14:compatExt spid="_x0000_s423040"/>
                </a:ext>
                <a:ext uri="{FF2B5EF4-FFF2-40B4-BE49-F238E27FC236}">
                  <a16:creationId xmlns:a16="http://schemas.microsoft.com/office/drawing/2014/main" id="{00000000-0008-0000-0100-000080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0</xdr:rowOff>
        </xdr:from>
        <xdr:to>
          <xdr:col>8</xdr:col>
          <xdr:colOff>0</xdr:colOff>
          <xdr:row>1</xdr:row>
          <xdr:rowOff>0</xdr:rowOff>
        </xdr:to>
        <xdr:sp macro="" textlink="">
          <xdr:nvSpPr>
            <xdr:cNvPr id="423041" name="Button 129" hidden="1">
              <a:extLst>
                <a:ext uri="{63B3BB69-23CF-44E3-9099-C40C66FF867C}">
                  <a14:compatExt spid="_x0000_s423041"/>
                </a:ext>
                <a:ext uri="{FF2B5EF4-FFF2-40B4-BE49-F238E27FC236}">
                  <a16:creationId xmlns:a16="http://schemas.microsoft.com/office/drawing/2014/main" id="{00000000-0008-0000-0100-000081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236220</xdr:colOff>
          <xdr:row>1</xdr:row>
          <xdr:rowOff>0</xdr:rowOff>
        </xdr:to>
        <xdr:sp macro="" textlink="">
          <xdr:nvSpPr>
            <xdr:cNvPr id="423042" name="Button 130" hidden="1">
              <a:extLst>
                <a:ext uri="{63B3BB69-23CF-44E3-9099-C40C66FF867C}">
                  <a14:compatExt spid="_x0000_s423042"/>
                </a:ext>
                <a:ext uri="{FF2B5EF4-FFF2-40B4-BE49-F238E27FC236}">
                  <a16:creationId xmlns:a16="http://schemas.microsoft.com/office/drawing/2014/main" id="{00000000-0008-0000-0100-000082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236220</xdr:colOff>
          <xdr:row>1</xdr:row>
          <xdr:rowOff>0</xdr:rowOff>
        </xdr:to>
        <xdr:sp macro="" textlink="">
          <xdr:nvSpPr>
            <xdr:cNvPr id="423043" name="Button 131" hidden="1">
              <a:extLst>
                <a:ext uri="{63B3BB69-23CF-44E3-9099-C40C66FF867C}">
                  <a14:compatExt spid="_x0000_s423043"/>
                </a:ext>
                <a:ext uri="{FF2B5EF4-FFF2-40B4-BE49-F238E27FC236}">
                  <a16:creationId xmlns:a16="http://schemas.microsoft.com/office/drawing/2014/main" id="{00000000-0008-0000-0100-000083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0</xdr:row>
          <xdr:rowOff>0</xdr:rowOff>
        </xdr:from>
        <xdr:to>
          <xdr:col>8</xdr:col>
          <xdr:colOff>0</xdr:colOff>
          <xdr:row>1</xdr:row>
          <xdr:rowOff>0</xdr:rowOff>
        </xdr:to>
        <xdr:sp macro="" textlink="">
          <xdr:nvSpPr>
            <xdr:cNvPr id="423044" name="Button 132" hidden="1">
              <a:extLst>
                <a:ext uri="{63B3BB69-23CF-44E3-9099-C40C66FF867C}">
                  <a14:compatExt spid="_x0000_s423044"/>
                </a:ext>
                <a:ext uri="{FF2B5EF4-FFF2-40B4-BE49-F238E27FC236}">
                  <a16:creationId xmlns:a16="http://schemas.microsoft.com/office/drawing/2014/main" id="{00000000-0008-0000-0100-000084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11</xdr:col>
          <xdr:colOff>251460</xdr:colOff>
          <xdr:row>1</xdr:row>
          <xdr:rowOff>0</xdr:rowOff>
        </xdr:to>
        <xdr:sp macro="" textlink="">
          <xdr:nvSpPr>
            <xdr:cNvPr id="423045" name="Button 133" hidden="1">
              <a:extLst>
                <a:ext uri="{63B3BB69-23CF-44E3-9099-C40C66FF867C}">
                  <a14:compatExt spid="_x0000_s423045"/>
                </a:ext>
                <a:ext uri="{FF2B5EF4-FFF2-40B4-BE49-F238E27FC236}">
                  <a16:creationId xmlns:a16="http://schemas.microsoft.com/office/drawing/2014/main" id="{00000000-0008-0000-0100-000085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289560</xdr:colOff>
          <xdr:row>1</xdr:row>
          <xdr:rowOff>0</xdr:rowOff>
        </xdr:to>
        <xdr:sp macro="" textlink="">
          <xdr:nvSpPr>
            <xdr:cNvPr id="423046" name="Button 134" hidden="1">
              <a:extLst>
                <a:ext uri="{63B3BB69-23CF-44E3-9099-C40C66FF867C}">
                  <a14:compatExt spid="_x0000_s423046"/>
                </a:ext>
                <a:ext uri="{FF2B5EF4-FFF2-40B4-BE49-F238E27FC236}">
                  <a16:creationId xmlns:a16="http://schemas.microsoft.com/office/drawing/2014/main" id="{00000000-0008-0000-0100-000086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289560</xdr:colOff>
          <xdr:row>0</xdr:row>
          <xdr:rowOff>0</xdr:rowOff>
        </xdr:from>
        <xdr:to>
          <xdr:col>8</xdr:col>
          <xdr:colOff>0</xdr:colOff>
          <xdr:row>1</xdr:row>
          <xdr:rowOff>0</xdr:rowOff>
        </xdr:to>
        <xdr:sp macro="" textlink="">
          <xdr:nvSpPr>
            <xdr:cNvPr id="423047" name="Button 135" hidden="1">
              <a:extLst>
                <a:ext uri="{63B3BB69-23CF-44E3-9099-C40C66FF867C}">
                  <a14:compatExt spid="_x0000_s423047"/>
                </a:ext>
                <a:ext uri="{FF2B5EF4-FFF2-40B4-BE49-F238E27FC236}">
                  <a16:creationId xmlns:a16="http://schemas.microsoft.com/office/drawing/2014/main" id="{00000000-0008-0000-0100-000087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11</xdr:col>
          <xdr:colOff>350520</xdr:colOff>
          <xdr:row>1</xdr:row>
          <xdr:rowOff>0</xdr:rowOff>
        </xdr:to>
        <xdr:sp macro="" textlink="">
          <xdr:nvSpPr>
            <xdr:cNvPr id="423048" name="Button 136" hidden="1">
              <a:extLst>
                <a:ext uri="{63B3BB69-23CF-44E3-9099-C40C66FF867C}">
                  <a14:compatExt spid="_x0000_s423048"/>
                </a:ext>
                <a:ext uri="{FF2B5EF4-FFF2-40B4-BE49-F238E27FC236}">
                  <a16:creationId xmlns:a16="http://schemas.microsoft.com/office/drawing/2014/main" id="{00000000-0008-0000-0100-000088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152400</xdr:colOff>
          <xdr:row>1</xdr:row>
          <xdr:rowOff>0</xdr:rowOff>
        </xdr:to>
        <xdr:sp macro="" textlink="">
          <xdr:nvSpPr>
            <xdr:cNvPr id="423049" name="Button 137" hidden="1">
              <a:extLst>
                <a:ext uri="{63B3BB69-23CF-44E3-9099-C40C66FF867C}">
                  <a14:compatExt spid="_x0000_s423049"/>
                </a:ext>
                <a:ext uri="{FF2B5EF4-FFF2-40B4-BE49-F238E27FC236}">
                  <a16:creationId xmlns:a16="http://schemas.microsoft.com/office/drawing/2014/main" id="{00000000-0008-0000-0100-000089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0</xdr:rowOff>
        </xdr:from>
        <xdr:to>
          <xdr:col>8</xdr:col>
          <xdr:colOff>0</xdr:colOff>
          <xdr:row>1</xdr:row>
          <xdr:rowOff>0</xdr:rowOff>
        </xdr:to>
        <xdr:sp macro="" textlink="">
          <xdr:nvSpPr>
            <xdr:cNvPr id="423050" name="Button 138" hidden="1">
              <a:extLst>
                <a:ext uri="{63B3BB69-23CF-44E3-9099-C40C66FF867C}">
                  <a14:compatExt spid="_x0000_s423050"/>
                </a:ext>
                <a:ext uri="{FF2B5EF4-FFF2-40B4-BE49-F238E27FC236}">
                  <a16:creationId xmlns:a16="http://schemas.microsoft.com/office/drawing/2014/main" id="{00000000-0008-0000-0100-00008A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11</xdr:col>
          <xdr:colOff>487680</xdr:colOff>
          <xdr:row>1</xdr:row>
          <xdr:rowOff>0</xdr:rowOff>
        </xdr:to>
        <xdr:sp macro="" textlink="">
          <xdr:nvSpPr>
            <xdr:cNvPr id="423051" name="Button 139" hidden="1">
              <a:extLst>
                <a:ext uri="{63B3BB69-23CF-44E3-9099-C40C66FF867C}">
                  <a14:compatExt spid="_x0000_s423051"/>
                </a:ext>
                <a:ext uri="{FF2B5EF4-FFF2-40B4-BE49-F238E27FC236}">
                  <a16:creationId xmlns:a16="http://schemas.microsoft.com/office/drawing/2014/main" id="{00000000-0008-0000-0100-00008B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152400</xdr:colOff>
          <xdr:row>1</xdr:row>
          <xdr:rowOff>0</xdr:rowOff>
        </xdr:to>
        <xdr:sp macro="" textlink="">
          <xdr:nvSpPr>
            <xdr:cNvPr id="423052" name="Button 140" hidden="1">
              <a:extLst>
                <a:ext uri="{63B3BB69-23CF-44E3-9099-C40C66FF867C}">
                  <a14:compatExt spid="_x0000_s423052"/>
                </a:ext>
                <a:ext uri="{FF2B5EF4-FFF2-40B4-BE49-F238E27FC236}">
                  <a16:creationId xmlns:a16="http://schemas.microsoft.com/office/drawing/2014/main" id="{00000000-0008-0000-0100-00008C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0</xdr:rowOff>
        </xdr:from>
        <xdr:to>
          <xdr:col>8</xdr:col>
          <xdr:colOff>0</xdr:colOff>
          <xdr:row>1</xdr:row>
          <xdr:rowOff>0</xdr:rowOff>
        </xdr:to>
        <xdr:sp macro="" textlink="">
          <xdr:nvSpPr>
            <xdr:cNvPr id="423053" name="Button 141" hidden="1">
              <a:extLst>
                <a:ext uri="{63B3BB69-23CF-44E3-9099-C40C66FF867C}">
                  <a14:compatExt spid="_x0000_s423053"/>
                </a:ext>
                <a:ext uri="{FF2B5EF4-FFF2-40B4-BE49-F238E27FC236}">
                  <a16:creationId xmlns:a16="http://schemas.microsoft.com/office/drawing/2014/main" id="{00000000-0008-0000-0100-00008D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11</xdr:col>
          <xdr:colOff>487680</xdr:colOff>
          <xdr:row>1</xdr:row>
          <xdr:rowOff>0</xdr:rowOff>
        </xdr:to>
        <xdr:sp macro="" textlink="">
          <xdr:nvSpPr>
            <xdr:cNvPr id="423054" name="Button 142" hidden="1">
              <a:extLst>
                <a:ext uri="{63B3BB69-23CF-44E3-9099-C40C66FF867C}">
                  <a14:compatExt spid="_x0000_s423054"/>
                </a:ext>
                <a:ext uri="{FF2B5EF4-FFF2-40B4-BE49-F238E27FC236}">
                  <a16:creationId xmlns:a16="http://schemas.microsoft.com/office/drawing/2014/main" id="{00000000-0008-0000-0100-00008E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152400</xdr:colOff>
          <xdr:row>1</xdr:row>
          <xdr:rowOff>0</xdr:rowOff>
        </xdr:to>
        <xdr:sp macro="" textlink="">
          <xdr:nvSpPr>
            <xdr:cNvPr id="423055" name="Button 143" hidden="1">
              <a:extLst>
                <a:ext uri="{63B3BB69-23CF-44E3-9099-C40C66FF867C}">
                  <a14:compatExt spid="_x0000_s423055"/>
                </a:ext>
                <a:ext uri="{FF2B5EF4-FFF2-40B4-BE49-F238E27FC236}">
                  <a16:creationId xmlns:a16="http://schemas.microsoft.com/office/drawing/2014/main" id="{00000000-0008-0000-0100-00008F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0</xdr:rowOff>
        </xdr:from>
        <xdr:to>
          <xdr:col>8</xdr:col>
          <xdr:colOff>0</xdr:colOff>
          <xdr:row>1</xdr:row>
          <xdr:rowOff>0</xdr:rowOff>
        </xdr:to>
        <xdr:sp macro="" textlink="">
          <xdr:nvSpPr>
            <xdr:cNvPr id="423056" name="Button 144" hidden="1">
              <a:extLst>
                <a:ext uri="{63B3BB69-23CF-44E3-9099-C40C66FF867C}">
                  <a14:compatExt spid="_x0000_s423056"/>
                </a:ext>
                <a:ext uri="{FF2B5EF4-FFF2-40B4-BE49-F238E27FC236}">
                  <a16:creationId xmlns:a16="http://schemas.microsoft.com/office/drawing/2014/main" id="{00000000-0008-0000-0100-000090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11</xdr:col>
          <xdr:colOff>487680</xdr:colOff>
          <xdr:row>1</xdr:row>
          <xdr:rowOff>0</xdr:rowOff>
        </xdr:to>
        <xdr:sp macro="" textlink="">
          <xdr:nvSpPr>
            <xdr:cNvPr id="423057" name="Button 145" hidden="1">
              <a:extLst>
                <a:ext uri="{63B3BB69-23CF-44E3-9099-C40C66FF867C}">
                  <a14:compatExt spid="_x0000_s423057"/>
                </a:ext>
                <a:ext uri="{FF2B5EF4-FFF2-40B4-BE49-F238E27FC236}">
                  <a16:creationId xmlns:a16="http://schemas.microsoft.com/office/drawing/2014/main" id="{00000000-0008-0000-0100-000091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182880</xdr:colOff>
          <xdr:row>1</xdr:row>
          <xdr:rowOff>0</xdr:rowOff>
        </xdr:to>
        <xdr:sp macro="" textlink="">
          <xdr:nvSpPr>
            <xdr:cNvPr id="423058" name="Button 146" hidden="1">
              <a:extLst>
                <a:ext uri="{63B3BB69-23CF-44E3-9099-C40C66FF867C}">
                  <a14:compatExt spid="_x0000_s423058"/>
                </a:ext>
                <a:ext uri="{FF2B5EF4-FFF2-40B4-BE49-F238E27FC236}">
                  <a16:creationId xmlns:a16="http://schemas.microsoft.com/office/drawing/2014/main" id="{00000000-0008-0000-0100-000092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182880</xdr:colOff>
          <xdr:row>0</xdr:row>
          <xdr:rowOff>0</xdr:rowOff>
        </xdr:from>
        <xdr:to>
          <xdr:col>8</xdr:col>
          <xdr:colOff>0</xdr:colOff>
          <xdr:row>1</xdr:row>
          <xdr:rowOff>0</xdr:rowOff>
        </xdr:to>
        <xdr:sp macro="" textlink="">
          <xdr:nvSpPr>
            <xdr:cNvPr id="423059" name="Button 147" hidden="1">
              <a:extLst>
                <a:ext uri="{63B3BB69-23CF-44E3-9099-C40C66FF867C}">
                  <a14:compatExt spid="_x0000_s423059"/>
                </a:ext>
                <a:ext uri="{FF2B5EF4-FFF2-40B4-BE49-F238E27FC236}">
                  <a16:creationId xmlns:a16="http://schemas.microsoft.com/office/drawing/2014/main" id="{00000000-0008-0000-0100-000093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304800</xdr:colOff>
          <xdr:row>1</xdr:row>
          <xdr:rowOff>0</xdr:rowOff>
        </xdr:to>
        <xdr:sp macro="" textlink="">
          <xdr:nvSpPr>
            <xdr:cNvPr id="423060" name="Button 148" hidden="1">
              <a:extLst>
                <a:ext uri="{63B3BB69-23CF-44E3-9099-C40C66FF867C}">
                  <a14:compatExt spid="_x0000_s423060"/>
                </a:ext>
                <a:ext uri="{FF2B5EF4-FFF2-40B4-BE49-F238E27FC236}">
                  <a16:creationId xmlns:a16="http://schemas.microsoft.com/office/drawing/2014/main" id="{00000000-0008-0000-0100-000094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388620</xdr:colOff>
          <xdr:row>1</xdr:row>
          <xdr:rowOff>0</xdr:rowOff>
        </xdr:to>
        <xdr:sp macro="" textlink="">
          <xdr:nvSpPr>
            <xdr:cNvPr id="423061" name="Button 149" hidden="1">
              <a:extLst>
                <a:ext uri="{63B3BB69-23CF-44E3-9099-C40C66FF867C}">
                  <a14:compatExt spid="_x0000_s423061"/>
                </a:ext>
                <a:ext uri="{FF2B5EF4-FFF2-40B4-BE49-F238E27FC236}">
                  <a16:creationId xmlns:a16="http://schemas.microsoft.com/office/drawing/2014/main" id="{00000000-0008-0000-0100-000095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0</xdr:row>
          <xdr:rowOff>0</xdr:rowOff>
        </xdr:from>
        <xdr:to>
          <xdr:col>8</xdr:col>
          <xdr:colOff>0</xdr:colOff>
          <xdr:row>1</xdr:row>
          <xdr:rowOff>0</xdr:rowOff>
        </xdr:to>
        <xdr:sp macro="" textlink="">
          <xdr:nvSpPr>
            <xdr:cNvPr id="423062" name="Button 150" hidden="1">
              <a:extLst>
                <a:ext uri="{63B3BB69-23CF-44E3-9099-C40C66FF867C}">
                  <a14:compatExt spid="_x0000_s423062"/>
                </a:ext>
                <a:ext uri="{FF2B5EF4-FFF2-40B4-BE49-F238E27FC236}">
                  <a16:creationId xmlns:a16="http://schemas.microsoft.com/office/drawing/2014/main" id="{00000000-0008-0000-0100-000096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106680</xdr:colOff>
          <xdr:row>1</xdr:row>
          <xdr:rowOff>0</xdr:rowOff>
        </xdr:to>
        <xdr:sp macro="" textlink="">
          <xdr:nvSpPr>
            <xdr:cNvPr id="423063" name="Button 151" hidden="1">
              <a:extLst>
                <a:ext uri="{63B3BB69-23CF-44E3-9099-C40C66FF867C}">
                  <a14:compatExt spid="_x0000_s423063"/>
                </a:ext>
                <a:ext uri="{FF2B5EF4-FFF2-40B4-BE49-F238E27FC236}">
                  <a16:creationId xmlns:a16="http://schemas.microsoft.com/office/drawing/2014/main" id="{00000000-0008-0000-0100-000097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388620</xdr:colOff>
          <xdr:row>1</xdr:row>
          <xdr:rowOff>0</xdr:rowOff>
        </xdr:to>
        <xdr:sp macro="" textlink="">
          <xdr:nvSpPr>
            <xdr:cNvPr id="423064" name="Button 152" hidden="1">
              <a:extLst>
                <a:ext uri="{63B3BB69-23CF-44E3-9099-C40C66FF867C}">
                  <a14:compatExt spid="_x0000_s423064"/>
                </a:ext>
                <a:ext uri="{FF2B5EF4-FFF2-40B4-BE49-F238E27FC236}">
                  <a16:creationId xmlns:a16="http://schemas.microsoft.com/office/drawing/2014/main" id="{00000000-0008-0000-0100-000098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0</xdr:row>
          <xdr:rowOff>0</xdr:rowOff>
        </xdr:from>
        <xdr:to>
          <xdr:col>8</xdr:col>
          <xdr:colOff>0</xdr:colOff>
          <xdr:row>1</xdr:row>
          <xdr:rowOff>0</xdr:rowOff>
        </xdr:to>
        <xdr:sp macro="" textlink="">
          <xdr:nvSpPr>
            <xdr:cNvPr id="423065" name="Button 153" hidden="1">
              <a:extLst>
                <a:ext uri="{63B3BB69-23CF-44E3-9099-C40C66FF867C}">
                  <a14:compatExt spid="_x0000_s423065"/>
                </a:ext>
                <a:ext uri="{FF2B5EF4-FFF2-40B4-BE49-F238E27FC236}">
                  <a16:creationId xmlns:a16="http://schemas.microsoft.com/office/drawing/2014/main" id="{00000000-0008-0000-0100-000099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106680</xdr:colOff>
          <xdr:row>1</xdr:row>
          <xdr:rowOff>0</xdr:rowOff>
        </xdr:to>
        <xdr:sp macro="" textlink="">
          <xdr:nvSpPr>
            <xdr:cNvPr id="423066" name="Button 154" hidden="1">
              <a:extLst>
                <a:ext uri="{63B3BB69-23CF-44E3-9099-C40C66FF867C}">
                  <a14:compatExt spid="_x0000_s423066"/>
                </a:ext>
                <a:ext uri="{FF2B5EF4-FFF2-40B4-BE49-F238E27FC236}">
                  <a16:creationId xmlns:a16="http://schemas.microsoft.com/office/drawing/2014/main" id="{00000000-0008-0000-0100-00009A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388620</xdr:colOff>
          <xdr:row>1</xdr:row>
          <xdr:rowOff>0</xdr:rowOff>
        </xdr:to>
        <xdr:sp macro="" textlink="">
          <xdr:nvSpPr>
            <xdr:cNvPr id="423067" name="Button 155" hidden="1">
              <a:extLst>
                <a:ext uri="{63B3BB69-23CF-44E3-9099-C40C66FF867C}">
                  <a14:compatExt spid="_x0000_s423067"/>
                </a:ext>
                <a:ext uri="{FF2B5EF4-FFF2-40B4-BE49-F238E27FC236}">
                  <a16:creationId xmlns:a16="http://schemas.microsoft.com/office/drawing/2014/main" id="{00000000-0008-0000-0100-00009B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0</xdr:row>
          <xdr:rowOff>0</xdr:rowOff>
        </xdr:from>
        <xdr:to>
          <xdr:col>8</xdr:col>
          <xdr:colOff>0</xdr:colOff>
          <xdr:row>1</xdr:row>
          <xdr:rowOff>0</xdr:rowOff>
        </xdr:to>
        <xdr:sp macro="" textlink="">
          <xdr:nvSpPr>
            <xdr:cNvPr id="423068" name="Button 156" hidden="1">
              <a:extLst>
                <a:ext uri="{63B3BB69-23CF-44E3-9099-C40C66FF867C}">
                  <a14:compatExt spid="_x0000_s423068"/>
                </a:ext>
                <a:ext uri="{FF2B5EF4-FFF2-40B4-BE49-F238E27FC236}">
                  <a16:creationId xmlns:a16="http://schemas.microsoft.com/office/drawing/2014/main" id="{00000000-0008-0000-0100-00009C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106680</xdr:colOff>
          <xdr:row>1</xdr:row>
          <xdr:rowOff>0</xdr:rowOff>
        </xdr:to>
        <xdr:sp macro="" textlink="">
          <xdr:nvSpPr>
            <xdr:cNvPr id="423069" name="Button 157" hidden="1">
              <a:extLst>
                <a:ext uri="{63B3BB69-23CF-44E3-9099-C40C66FF867C}">
                  <a14:compatExt spid="_x0000_s423069"/>
                </a:ext>
                <a:ext uri="{FF2B5EF4-FFF2-40B4-BE49-F238E27FC236}">
                  <a16:creationId xmlns:a16="http://schemas.microsoft.com/office/drawing/2014/main" id="{00000000-0008-0000-0100-00009D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167640</xdr:colOff>
          <xdr:row>1</xdr:row>
          <xdr:rowOff>0</xdr:rowOff>
        </xdr:to>
        <xdr:sp macro="" textlink="">
          <xdr:nvSpPr>
            <xdr:cNvPr id="423070" name="Button 158" hidden="1">
              <a:extLst>
                <a:ext uri="{63B3BB69-23CF-44E3-9099-C40C66FF867C}">
                  <a14:compatExt spid="_x0000_s423070"/>
                </a:ext>
                <a:ext uri="{FF2B5EF4-FFF2-40B4-BE49-F238E27FC236}">
                  <a16:creationId xmlns:a16="http://schemas.microsoft.com/office/drawing/2014/main" id="{00000000-0008-0000-0100-00009E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167640</xdr:colOff>
          <xdr:row>0</xdr:row>
          <xdr:rowOff>0</xdr:rowOff>
        </xdr:from>
        <xdr:to>
          <xdr:col>8</xdr:col>
          <xdr:colOff>0</xdr:colOff>
          <xdr:row>1</xdr:row>
          <xdr:rowOff>0</xdr:rowOff>
        </xdr:to>
        <xdr:sp macro="" textlink="">
          <xdr:nvSpPr>
            <xdr:cNvPr id="423071" name="Button 159" hidden="1">
              <a:extLst>
                <a:ext uri="{63B3BB69-23CF-44E3-9099-C40C66FF867C}">
                  <a14:compatExt spid="_x0000_s423071"/>
                </a:ext>
                <a:ext uri="{FF2B5EF4-FFF2-40B4-BE49-F238E27FC236}">
                  <a16:creationId xmlns:a16="http://schemas.microsoft.com/office/drawing/2014/main" id="{00000000-0008-0000-0100-00009F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320040</xdr:colOff>
          <xdr:row>1</xdr:row>
          <xdr:rowOff>0</xdr:rowOff>
        </xdr:to>
        <xdr:sp macro="" textlink="">
          <xdr:nvSpPr>
            <xdr:cNvPr id="423072" name="Button 160" hidden="1">
              <a:extLst>
                <a:ext uri="{63B3BB69-23CF-44E3-9099-C40C66FF867C}">
                  <a14:compatExt spid="_x0000_s423072"/>
                </a:ext>
                <a:ext uri="{FF2B5EF4-FFF2-40B4-BE49-F238E27FC236}">
                  <a16:creationId xmlns:a16="http://schemas.microsoft.com/office/drawing/2014/main" id="{00000000-0008-0000-0100-0000A0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167640</xdr:colOff>
          <xdr:row>1</xdr:row>
          <xdr:rowOff>0</xdr:rowOff>
        </xdr:to>
        <xdr:sp macro="" textlink="">
          <xdr:nvSpPr>
            <xdr:cNvPr id="423073" name="Button 161" hidden="1">
              <a:extLst>
                <a:ext uri="{63B3BB69-23CF-44E3-9099-C40C66FF867C}">
                  <a14:compatExt spid="_x0000_s423073"/>
                </a:ext>
                <a:ext uri="{FF2B5EF4-FFF2-40B4-BE49-F238E27FC236}">
                  <a16:creationId xmlns:a16="http://schemas.microsoft.com/office/drawing/2014/main" id="{00000000-0008-0000-0100-0000A1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167640</xdr:colOff>
          <xdr:row>0</xdr:row>
          <xdr:rowOff>0</xdr:rowOff>
        </xdr:from>
        <xdr:to>
          <xdr:col>8</xdr:col>
          <xdr:colOff>0</xdr:colOff>
          <xdr:row>1</xdr:row>
          <xdr:rowOff>0</xdr:rowOff>
        </xdr:to>
        <xdr:sp macro="" textlink="">
          <xdr:nvSpPr>
            <xdr:cNvPr id="423074" name="Button 162" hidden="1">
              <a:extLst>
                <a:ext uri="{63B3BB69-23CF-44E3-9099-C40C66FF867C}">
                  <a14:compatExt spid="_x0000_s423074"/>
                </a:ext>
                <a:ext uri="{FF2B5EF4-FFF2-40B4-BE49-F238E27FC236}">
                  <a16:creationId xmlns:a16="http://schemas.microsoft.com/office/drawing/2014/main" id="{00000000-0008-0000-0100-0000A2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320040</xdr:colOff>
          <xdr:row>1</xdr:row>
          <xdr:rowOff>0</xdr:rowOff>
        </xdr:to>
        <xdr:sp macro="" textlink="">
          <xdr:nvSpPr>
            <xdr:cNvPr id="423075" name="Button 163" hidden="1">
              <a:extLst>
                <a:ext uri="{63B3BB69-23CF-44E3-9099-C40C66FF867C}">
                  <a14:compatExt spid="_x0000_s423075"/>
                </a:ext>
                <a:ext uri="{FF2B5EF4-FFF2-40B4-BE49-F238E27FC236}">
                  <a16:creationId xmlns:a16="http://schemas.microsoft.com/office/drawing/2014/main" id="{00000000-0008-0000-0100-0000A3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167640</xdr:colOff>
          <xdr:row>1</xdr:row>
          <xdr:rowOff>0</xdr:rowOff>
        </xdr:to>
        <xdr:sp macro="" textlink="">
          <xdr:nvSpPr>
            <xdr:cNvPr id="423076" name="Button 164" hidden="1">
              <a:extLst>
                <a:ext uri="{63B3BB69-23CF-44E3-9099-C40C66FF867C}">
                  <a14:compatExt spid="_x0000_s423076"/>
                </a:ext>
                <a:ext uri="{FF2B5EF4-FFF2-40B4-BE49-F238E27FC236}">
                  <a16:creationId xmlns:a16="http://schemas.microsoft.com/office/drawing/2014/main" id="{00000000-0008-0000-0100-0000A4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167640</xdr:colOff>
          <xdr:row>0</xdr:row>
          <xdr:rowOff>0</xdr:rowOff>
        </xdr:from>
        <xdr:to>
          <xdr:col>8</xdr:col>
          <xdr:colOff>0</xdr:colOff>
          <xdr:row>1</xdr:row>
          <xdr:rowOff>0</xdr:rowOff>
        </xdr:to>
        <xdr:sp macro="" textlink="">
          <xdr:nvSpPr>
            <xdr:cNvPr id="423077" name="Button 165" hidden="1">
              <a:extLst>
                <a:ext uri="{63B3BB69-23CF-44E3-9099-C40C66FF867C}">
                  <a14:compatExt spid="_x0000_s423077"/>
                </a:ext>
                <a:ext uri="{FF2B5EF4-FFF2-40B4-BE49-F238E27FC236}">
                  <a16:creationId xmlns:a16="http://schemas.microsoft.com/office/drawing/2014/main" id="{00000000-0008-0000-0100-0000A5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320040</xdr:colOff>
          <xdr:row>1</xdr:row>
          <xdr:rowOff>0</xdr:rowOff>
        </xdr:to>
        <xdr:sp macro="" textlink="">
          <xdr:nvSpPr>
            <xdr:cNvPr id="423078" name="Button 166" hidden="1">
              <a:extLst>
                <a:ext uri="{63B3BB69-23CF-44E3-9099-C40C66FF867C}">
                  <a14:compatExt spid="_x0000_s423078"/>
                </a:ext>
                <a:ext uri="{FF2B5EF4-FFF2-40B4-BE49-F238E27FC236}">
                  <a16:creationId xmlns:a16="http://schemas.microsoft.com/office/drawing/2014/main" id="{00000000-0008-0000-0100-0000A6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167640</xdr:colOff>
          <xdr:row>1</xdr:row>
          <xdr:rowOff>0</xdr:rowOff>
        </xdr:to>
        <xdr:sp macro="" textlink="">
          <xdr:nvSpPr>
            <xdr:cNvPr id="423079" name="Button 167" hidden="1">
              <a:extLst>
                <a:ext uri="{63B3BB69-23CF-44E3-9099-C40C66FF867C}">
                  <a14:compatExt spid="_x0000_s423079"/>
                </a:ext>
                <a:ext uri="{FF2B5EF4-FFF2-40B4-BE49-F238E27FC236}">
                  <a16:creationId xmlns:a16="http://schemas.microsoft.com/office/drawing/2014/main" id="{00000000-0008-0000-0100-0000A7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167640</xdr:colOff>
          <xdr:row>0</xdr:row>
          <xdr:rowOff>0</xdr:rowOff>
        </xdr:from>
        <xdr:to>
          <xdr:col>8</xdr:col>
          <xdr:colOff>0</xdr:colOff>
          <xdr:row>1</xdr:row>
          <xdr:rowOff>0</xdr:rowOff>
        </xdr:to>
        <xdr:sp macro="" textlink="">
          <xdr:nvSpPr>
            <xdr:cNvPr id="423080" name="Button 168" hidden="1">
              <a:extLst>
                <a:ext uri="{63B3BB69-23CF-44E3-9099-C40C66FF867C}">
                  <a14:compatExt spid="_x0000_s423080"/>
                </a:ext>
                <a:ext uri="{FF2B5EF4-FFF2-40B4-BE49-F238E27FC236}">
                  <a16:creationId xmlns:a16="http://schemas.microsoft.com/office/drawing/2014/main" id="{00000000-0008-0000-0100-0000A8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320040</xdr:colOff>
          <xdr:row>1</xdr:row>
          <xdr:rowOff>0</xdr:rowOff>
        </xdr:to>
        <xdr:sp macro="" textlink="">
          <xdr:nvSpPr>
            <xdr:cNvPr id="423081" name="Button 169" hidden="1">
              <a:extLst>
                <a:ext uri="{63B3BB69-23CF-44E3-9099-C40C66FF867C}">
                  <a14:compatExt spid="_x0000_s423081"/>
                </a:ext>
                <a:ext uri="{FF2B5EF4-FFF2-40B4-BE49-F238E27FC236}">
                  <a16:creationId xmlns:a16="http://schemas.microsoft.com/office/drawing/2014/main" id="{00000000-0008-0000-0100-0000A9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274320</xdr:colOff>
          <xdr:row>1</xdr:row>
          <xdr:rowOff>0</xdr:rowOff>
        </xdr:to>
        <xdr:sp macro="" textlink="">
          <xdr:nvSpPr>
            <xdr:cNvPr id="423082" name="Button 170" hidden="1">
              <a:extLst>
                <a:ext uri="{63B3BB69-23CF-44E3-9099-C40C66FF867C}">
                  <a14:compatExt spid="_x0000_s423082"/>
                </a:ext>
                <a:ext uri="{FF2B5EF4-FFF2-40B4-BE49-F238E27FC236}">
                  <a16:creationId xmlns:a16="http://schemas.microsoft.com/office/drawing/2014/main" id="{00000000-0008-0000-0100-0000AA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274320</xdr:colOff>
          <xdr:row>0</xdr:row>
          <xdr:rowOff>0</xdr:rowOff>
        </xdr:from>
        <xdr:to>
          <xdr:col>8</xdr:col>
          <xdr:colOff>0</xdr:colOff>
          <xdr:row>1</xdr:row>
          <xdr:rowOff>0</xdr:rowOff>
        </xdr:to>
        <xdr:sp macro="" textlink="">
          <xdr:nvSpPr>
            <xdr:cNvPr id="423083" name="Button 171" hidden="1">
              <a:extLst>
                <a:ext uri="{63B3BB69-23CF-44E3-9099-C40C66FF867C}">
                  <a14:compatExt spid="_x0000_s423083"/>
                </a:ext>
                <a:ext uri="{FF2B5EF4-FFF2-40B4-BE49-F238E27FC236}">
                  <a16:creationId xmlns:a16="http://schemas.microsoft.com/office/drawing/2014/main" id="{00000000-0008-0000-0100-0000AB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220980</xdr:colOff>
          <xdr:row>1</xdr:row>
          <xdr:rowOff>0</xdr:rowOff>
        </xdr:to>
        <xdr:sp macro="" textlink="">
          <xdr:nvSpPr>
            <xdr:cNvPr id="423084" name="Button 172" hidden="1">
              <a:extLst>
                <a:ext uri="{63B3BB69-23CF-44E3-9099-C40C66FF867C}">
                  <a14:compatExt spid="_x0000_s423084"/>
                </a:ext>
                <a:ext uri="{FF2B5EF4-FFF2-40B4-BE49-F238E27FC236}">
                  <a16:creationId xmlns:a16="http://schemas.microsoft.com/office/drawing/2014/main" id="{00000000-0008-0000-0100-0000AC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274320</xdr:colOff>
          <xdr:row>1</xdr:row>
          <xdr:rowOff>0</xdr:rowOff>
        </xdr:to>
        <xdr:sp macro="" textlink="">
          <xdr:nvSpPr>
            <xdr:cNvPr id="423085" name="Button 173" hidden="1">
              <a:extLst>
                <a:ext uri="{63B3BB69-23CF-44E3-9099-C40C66FF867C}">
                  <a14:compatExt spid="_x0000_s423085"/>
                </a:ext>
                <a:ext uri="{FF2B5EF4-FFF2-40B4-BE49-F238E27FC236}">
                  <a16:creationId xmlns:a16="http://schemas.microsoft.com/office/drawing/2014/main" id="{00000000-0008-0000-0100-0000AD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274320</xdr:colOff>
          <xdr:row>0</xdr:row>
          <xdr:rowOff>0</xdr:rowOff>
        </xdr:from>
        <xdr:to>
          <xdr:col>8</xdr:col>
          <xdr:colOff>0</xdr:colOff>
          <xdr:row>1</xdr:row>
          <xdr:rowOff>0</xdr:rowOff>
        </xdr:to>
        <xdr:sp macro="" textlink="">
          <xdr:nvSpPr>
            <xdr:cNvPr id="423086" name="Button 174" hidden="1">
              <a:extLst>
                <a:ext uri="{63B3BB69-23CF-44E3-9099-C40C66FF867C}">
                  <a14:compatExt spid="_x0000_s423086"/>
                </a:ext>
                <a:ext uri="{FF2B5EF4-FFF2-40B4-BE49-F238E27FC236}">
                  <a16:creationId xmlns:a16="http://schemas.microsoft.com/office/drawing/2014/main" id="{00000000-0008-0000-0100-0000AE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220980</xdr:colOff>
          <xdr:row>1</xdr:row>
          <xdr:rowOff>0</xdr:rowOff>
        </xdr:to>
        <xdr:sp macro="" textlink="">
          <xdr:nvSpPr>
            <xdr:cNvPr id="423087" name="Button 175" hidden="1">
              <a:extLst>
                <a:ext uri="{63B3BB69-23CF-44E3-9099-C40C66FF867C}">
                  <a14:compatExt spid="_x0000_s423087"/>
                </a:ext>
                <a:ext uri="{FF2B5EF4-FFF2-40B4-BE49-F238E27FC236}">
                  <a16:creationId xmlns:a16="http://schemas.microsoft.com/office/drawing/2014/main" id="{00000000-0008-0000-0100-0000AF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274320</xdr:colOff>
          <xdr:row>1</xdr:row>
          <xdr:rowOff>0</xdr:rowOff>
        </xdr:to>
        <xdr:sp macro="" textlink="">
          <xdr:nvSpPr>
            <xdr:cNvPr id="423088" name="Button 176" hidden="1">
              <a:extLst>
                <a:ext uri="{63B3BB69-23CF-44E3-9099-C40C66FF867C}">
                  <a14:compatExt spid="_x0000_s423088"/>
                </a:ext>
                <a:ext uri="{FF2B5EF4-FFF2-40B4-BE49-F238E27FC236}">
                  <a16:creationId xmlns:a16="http://schemas.microsoft.com/office/drawing/2014/main" id="{00000000-0008-0000-0100-0000B0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274320</xdr:colOff>
          <xdr:row>0</xdr:row>
          <xdr:rowOff>0</xdr:rowOff>
        </xdr:from>
        <xdr:to>
          <xdr:col>8</xdr:col>
          <xdr:colOff>0</xdr:colOff>
          <xdr:row>1</xdr:row>
          <xdr:rowOff>0</xdr:rowOff>
        </xdr:to>
        <xdr:sp macro="" textlink="">
          <xdr:nvSpPr>
            <xdr:cNvPr id="423089" name="Button 177" hidden="1">
              <a:extLst>
                <a:ext uri="{63B3BB69-23CF-44E3-9099-C40C66FF867C}">
                  <a14:compatExt spid="_x0000_s423089"/>
                </a:ext>
                <a:ext uri="{FF2B5EF4-FFF2-40B4-BE49-F238E27FC236}">
                  <a16:creationId xmlns:a16="http://schemas.microsoft.com/office/drawing/2014/main" id="{00000000-0008-0000-0100-0000B1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220980</xdr:colOff>
          <xdr:row>1</xdr:row>
          <xdr:rowOff>0</xdr:rowOff>
        </xdr:to>
        <xdr:sp macro="" textlink="">
          <xdr:nvSpPr>
            <xdr:cNvPr id="423090" name="Button 178" hidden="1">
              <a:extLst>
                <a:ext uri="{63B3BB69-23CF-44E3-9099-C40C66FF867C}">
                  <a14:compatExt spid="_x0000_s423090"/>
                </a:ext>
                <a:ext uri="{FF2B5EF4-FFF2-40B4-BE49-F238E27FC236}">
                  <a16:creationId xmlns:a16="http://schemas.microsoft.com/office/drawing/2014/main" id="{00000000-0008-0000-0100-0000B27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274320</xdr:colOff>
          <xdr:row>1</xdr:row>
          <xdr:rowOff>0</xdr:rowOff>
        </xdr:to>
        <xdr:sp macro="" textlink="">
          <xdr:nvSpPr>
            <xdr:cNvPr id="423091" name="Button 179" hidden="1">
              <a:extLst>
                <a:ext uri="{63B3BB69-23CF-44E3-9099-C40C66FF867C}">
                  <a14:compatExt spid="_x0000_s423091"/>
                </a:ext>
                <a:ext uri="{FF2B5EF4-FFF2-40B4-BE49-F238E27FC236}">
                  <a16:creationId xmlns:a16="http://schemas.microsoft.com/office/drawing/2014/main" id="{40F9B6E9-EAB6-53DC-2F58-915A04A415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274320</xdr:colOff>
          <xdr:row>0</xdr:row>
          <xdr:rowOff>0</xdr:rowOff>
        </xdr:from>
        <xdr:to>
          <xdr:col>8</xdr:col>
          <xdr:colOff>0</xdr:colOff>
          <xdr:row>1</xdr:row>
          <xdr:rowOff>0</xdr:rowOff>
        </xdr:to>
        <xdr:sp macro="" textlink="">
          <xdr:nvSpPr>
            <xdr:cNvPr id="423092" name="Button 180" hidden="1">
              <a:extLst>
                <a:ext uri="{63B3BB69-23CF-44E3-9099-C40C66FF867C}">
                  <a14:compatExt spid="_x0000_s423092"/>
                </a:ext>
                <a:ext uri="{FF2B5EF4-FFF2-40B4-BE49-F238E27FC236}">
                  <a16:creationId xmlns:a16="http://schemas.microsoft.com/office/drawing/2014/main" id="{32F5C0E4-F141-3360-C876-10A820338FF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220980</xdr:colOff>
          <xdr:row>1</xdr:row>
          <xdr:rowOff>0</xdr:rowOff>
        </xdr:to>
        <xdr:sp macro="" textlink="">
          <xdr:nvSpPr>
            <xdr:cNvPr id="423093" name="Button 181" hidden="1">
              <a:extLst>
                <a:ext uri="{63B3BB69-23CF-44E3-9099-C40C66FF867C}">
                  <a14:compatExt spid="_x0000_s423093"/>
                </a:ext>
                <a:ext uri="{FF2B5EF4-FFF2-40B4-BE49-F238E27FC236}">
                  <a16:creationId xmlns:a16="http://schemas.microsoft.com/office/drawing/2014/main" id="{88816BF4-EBA4-CFFB-9583-2E6086D08F4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274320</xdr:colOff>
          <xdr:row>1</xdr:row>
          <xdr:rowOff>0</xdr:rowOff>
        </xdr:to>
        <xdr:sp macro="" textlink="">
          <xdr:nvSpPr>
            <xdr:cNvPr id="423094" name="Button 182" hidden="1">
              <a:extLst>
                <a:ext uri="{63B3BB69-23CF-44E3-9099-C40C66FF867C}">
                  <a14:compatExt spid="_x0000_s423094"/>
                </a:ext>
                <a:ext uri="{FF2B5EF4-FFF2-40B4-BE49-F238E27FC236}">
                  <a16:creationId xmlns:a16="http://schemas.microsoft.com/office/drawing/2014/main" id="{D47BA579-3655-F897-ABB8-99A2ABD6D4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274320</xdr:colOff>
          <xdr:row>0</xdr:row>
          <xdr:rowOff>0</xdr:rowOff>
        </xdr:from>
        <xdr:to>
          <xdr:col>8</xdr:col>
          <xdr:colOff>0</xdr:colOff>
          <xdr:row>1</xdr:row>
          <xdr:rowOff>0</xdr:rowOff>
        </xdr:to>
        <xdr:sp macro="" textlink="">
          <xdr:nvSpPr>
            <xdr:cNvPr id="423095" name="Button 183" hidden="1">
              <a:extLst>
                <a:ext uri="{63B3BB69-23CF-44E3-9099-C40C66FF867C}">
                  <a14:compatExt spid="_x0000_s423095"/>
                </a:ext>
                <a:ext uri="{FF2B5EF4-FFF2-40B4-BE49-F238E27FC236}">
                  <a16:creationId xmlns:a16="http://schemas.microsoft.com/office/drawing/2014/main" id="{423FFE11-3E20-48E4-8682-AD5B8A8D4D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220980</xdr:colOff>
          <xdr:row>1</xdr:row>
          <xdr:rowOff>0</xdr:rowOff>
        </xdr:to>
        <xdr:sp macro="" textlink="">
          <xdr:nvSpPr>
            <xdr:cNvPr id="423096" name="Button 184" hidden="1">
              <a:extLst>
                <a:ext uri="{63B3BB69-23CF-44E3-9099-C40C66FF867C}">
                  <a14:compatExt spid="_x0000_s423096"/>
                </a:ext>
                <a:ext uri="{FF2B5EF4-FFF2-40B4-BE49-F238E27FC236}">
                  <a16:creationId xmlns:a16="http://schemas.microsoft.com/office/drawing/2014/main" id="{1731D36A-ACBA-19C9-DB30-CE4B67CCE2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274320</xdr:colOff>
          <xdr:row>1</xdr:row>
          <xdr:rowOff>0</xdr:rowOff>
        </xdr:to>
        <xdr:sp macro="" textlink="">
          <xdr:nvSpPr>
            <xdr:cNvPr id="423097" name="Button 185" hidden="1">
              <a:extLst>
                <a:ext uri="{63B3BB69-23CF-44E3-9099-C40C66FF867C}">
                  <a14:compatExt spid="_x0000_s423097"/>
                </a:ext>
                <a:ext uri="{FF2B5EF4-FFF2-40B4-BE49-F238E27FC236}">
                  <a16:creationId xmlns:a16="http://schemas.microsoft.com/office/drawing/2014/main" id="{72AED9D8-0145-2C55-A6A8-B789F765707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274320</xdr:colOff>
          <xdr:row>0</xdr:row>
          <xdr:rowOff>0</xdr:rowOff>
        </xdr:from>
        <xdr:to>
          <xdr:col>8</xdr:col>
          <xdr:colOff>0</xdr:colOff>
          <xdr:row>1</xdr:row>
          <xdr:rowOff>0</xdr:rowOff>
        </xdr:to>
        <xdr:sp macro="" textlink="">
          <xdr:nvSpPr>
            <xdr:cNvPr id="423098" name="Button 186" hidden="1">
              <a:extLst>
                <a:ext uri="{63B3BB69-23CF-44E3-9099-C40C66FF867C}">
                  <a14:compatExt spid="_x0000_s423098"/>
                </a:ext>
                <a:ext uri="{FF2B5EF4-FFF2-40B4-BE49-F238E27FC236}">
                  <a16:creationId xmlns:a16="http://schemas.microsoft.com/office/drawing/2014/main" id="{33998138-3A6E-5CD5-1940-8AC8B2428E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Calculate Qualifiers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12</xdr:col>
          <xdr:colOff>220980</xdr:colOff>
          <xdr:row>1</xdr:row>
          <xdr:rowOff>0</xdr:rowOff>
        </xdr:to>
        <xdr:sp macro="" textlink="">
          <xdr:nvSpPr>
            <xdr:cNvPr id="423099" name="Button 187" hidden="1">
              <a:extLst>
                <a:ext uri="{63B3BB69-23CF-44E3-9099-C40C66FF867C}">
                  <a14:compatExt spid="_x0000_s423099"/>
                </a:ext>
                <a:ext uri="{FF2B5EF4-FFF2-40B4-BE49-F238E27FC236}">
                  <a16:creationId xmlns:a16="http://schemas.microsoft.com/office/drawing/2014/main" id="{34D2FFBC-EE03-4519-E1D2-9328F0986D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0</xdr:rowOff>
        </xdr:from>
        <xdr:to>
          <xdr:col>4</xdr:col>
          <xdr:colOff>0</xdr:colOff>
          <xdr:row>7</xdr:row>
          <xdr:rowOff>0</xdr:rowOff>
        </xdr:to>
        <xdr:sp macro="" textlink="">
          <xdr:nvSpPr>
            <xdr:cNvPr id="462068" name="Button 2292" hidden="1">
              <a:extLst>
                <a:ext uri="{63B3BB69-23CF-44E3-9099-C40C66FF867C}">
                  <a14:compatExt spid="_x0000_s462068"/>
                </a:ext>
                <a:ext uri="{FF2B5EF4-FFF2-40B4-BE49-F238E27FC236}">
                  <a16:creationId xmlns:a16="http://schemas.microsoft.com/office/drawing/2014/main" id="{416E1198-5E44-DDF0-9879-E12D5BE997D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462069" name="Button 2293" hidden="1">
              <a:extLst>
                <a:ext uri="{63B3BB69-23CF-44E3-9099-C40C66FF867C}">
                  <a14:compatExt spid="_x0000_s462069"/>
                </a:ext>
                <a:ext uri="{FF2B5EF4-FFF2-40B4-BE49-F238E27FC236}">
                  <a16:creationId xmlns:a16="http://schemas.microsoft.com/office/drawing/2014/main" id="{6370870D-B417-7B8C-D9BD-780522FB25A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462070" name="Button 2294" hidden="1">
              <a:extLst>
                <a:ext uri="{63B3BB69-23CF-44E3-9099-C40C66FF867C}">
                  <a14:compatExt spid="_x0000_s462070"/>
                </a:ext>
                <a:ext uri="{FF2B5EF4-FFF2-40B4-BE49-F238E27FC236}">
                  <a16:creationId xmlns:a16="http://schemas.microsoft.com/office/drawing/2014/main" id="{CDC83B6F-CFAE-B525-406A-7083DD1CE3D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462071" name="Button 2295" hidden="1">
              <a:extLst>
                <a:ext uri="{63B3BB69-23CF-44E3-9099-C40C66FF867C}">
                  <a14:compatExt spid="_x0000_s462071"/>
                </a:ext>
                <a:ext uri="{FF2B5EF4-FFF2-40B4-BE49-F238E27FC236}">
                  <a16:creationId xmlns:a16="http://schemas.microsoft.com/office/drawing/2014/main" id="{02A96249-7525-040B-AFB5-B2F6245DB4A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8</xdr:row>
          <xdr:rowOff>0</xdr:rowOff>
        </xdr:from>
        <xdr:to>
          <xdr:col>7</xdr:col>
          <xdr:colOff>0</xdr:colOff>
          <xdr:row>9</xdr:row>
          <xdr:rowOff>0</xdr:rowOff>
        </xdr:to>
        <xdr:sp macro="" textlink="">
          <xdr:nvSpPr>
            <xdr:cNvPr id="462072" name="Button 2296" hidden="1">
              <a:extLst>
                <a:ext uri="{63B3BB69-23CF-44E3-9099-C40C66FF867C}">
                  <a14:compatExt spid="_x0000_s462072"/>
                </a:ext>
                <a:ext uri="{FF2B5EF4-FFF2-40B4-BE49-F238E27FC236}">
                  <a16:creationId xmlns:a16="http://schemas.microsoft.com/office/drawing/2014/main" id="{4A0C0D7C-7CA1-A2E2-AA9A-0D78247C89F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16</xdr:row>
          <xdr:rowOff>0</xdr:rowOff>
        </xdr:from>
        <xdr:to>
          <xdr:col>7</xdr:col>
          <xdr:colOff>0</xdr:colOff>
          <xdr:row>17</xdr:row>
          <xdr:rowOff>0</xdr:rowOff>
        </xdr:to>
        <xdr:sp macro="" textlink="">
          <xdr:nvSpPr>
            <xdr:cNvPr id="462073" name="Button 2297" hidden="1">
              <a:extLst>
                <a:ext uri="{63B3BB69-23CF-44E3-9099-C40C66FF867C}">
                  <a14:compatExt spid="_x0000_s462073"/>
                </a:ext>
                <a:ext uri="{FF2B5EF4-FFF2-40B4-BE49-F238E27FC236}">
                  <a16:creationId xmlns:a16="http://schemas.microsoft.com/office/drawing/2014/main" id="{D1292C74-5310-4EA6-C2BF-5B0FC5476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12</xdr:row>
          <xdr:rowOff>0</xdr:rowOff>
        </xdr:from>
        <xdr:to>
          <xdr:col>10</xdr:col>
          <xdr:colOff>0</xdr:colOff>
          <xdr:row>13</xdr:row>
          <xdr:rowOff>0</xdr:rowOff>
        </xdr:to>
        <xdr:sp macro="" textlink="">
          <xdr:nvSpPr>
            <xdr:cNvPr id="462074" name="Button 2298" hidden="1">
              <a:extLst>
                <a:ext uri="{63B3BB69-23CF-44E3-9099-C40C66FF867C}">
                  <a14:compatExt spid="_x0000_s462074"/>
                </a:ext>
                <a:ext uri="{FF2B5EF4-FFF2-40B4-BE49-F238E27FC236}">
                  <a16:creationId xmlns:a16="http://schemas.microsoft.com/office/drawing/2014/main" id="{7FD3AE48-E9BD-B8B7-E236-BBD158399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182880</xdr:colOff>
          <xdr:row>2</xdr:row>
          <xdr:rowOff>0</xdr:rowOff>
        </xdr:to>
        <xdr:sp macro="" textlink="">
          <xdr:nvSpPr>
            <xdr:cNvPr id="462075" name="Button 2299" hidden="1">
              <a:extLst>
                <a:ext uri="{63B3BB69-23CF-44E3-9099-C40C66FF867C}">
                  <a14:compatExt spid="_x0000_s462075"/>
                </a:ext>
                <a:ext uri="{FF2B5EF4-FFF2-40B4-BE49-F238E27FC236}">
                  <a16:creationId xmlns:a16="http://schemas.microsoft.com/office/drawing/2014/main" id="{C1680491-354A-D39F-8732-5581FF7243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Swap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0</xdr:row>
          <xdr:rowOff>0</xdr:rowOff>
        </xdr:from>
        <xdr:to>
          <xdr:col>8</xdr:col>
          <xdr:colOff>1036320</xdr:colOff>
          <xdr:row>2</xdr:row>
          <xdr:rowOff>0</xdr:rowOff>
        </xdr:to>
        <xdr:sp macro="" textlink="">
          <xdr:nvSpPr>
            <xdr:cNvPr id="462076" name="Button 2300" hidden="1">
              <a:extLst>
                <a:ext uri="{63B3BB69-23CF-44E3-9099-C40C66FF867C}">
                  <a14:compatExt spid="_x0000_s462076"/>
                </a:ext>
                <a:ext uri="{FF2B5EF4-FFF2-40B4-BE49-F238E27FC236}">
                  <a16:creationId xmlns:a16="http://schemas.microsoft.com/office/drawing/2014/main" id="{88230653-86EF-FAE9-BB62-1B3325DB03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 Bracket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1036320</xdr:colOff>
          <xdr:row>0</xdr:row>
          <xdr:rowOff>0</xdr:rowOff>
        </xdr:from>
        <xdr:to>
          <xdr:col>10</xdr:col>
          <xdr:colOff>0</xdr:colOff>
          <xdr:row>2</xdr:row>
          <xdr:rowOff>0</xdr:rowOff>
        </xdr:to>
        <xdr:sp macro="" textlink="">
          <xdr:nvSpPr>
            <xdr:cNvPr id="462077" name="Button 2301" hidden="1">
              <a:extLst>
                <a:ext uri="{63B3BB69-23CF-44E3-9099-C40C66FF867C}">
                  <a14:compatExt spid="_x0000_s462077"/>
                </a:ext>
                <a:ext uri="{FF2B5EF4-FFF2-40B4-BE49-F238E27FC236}">
                  <a16:creationId xmlns:a16="http://schemas.microsoft.com/office/drawing/2014/main" id="{F445F1EA-FEAA-503B-D3F7-D235EFC79C0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182880</xdr:colOff>
          <xdr:row>2</xdr:row>
          <xdr:rowOff>0</xdr:rowOff>
        </xdr:to>
        <xdr:sp macro="" textlink="">
          <xdr:nvSpPr>
            <xdr:cNvPr id="462078" name="Button 2302" hidden="1">
              <a:extLst>
                <a:ext uri="{63B3BB69-23CF-44E3-9099-C40C66FF867C}">
                  <a14:compatExt spid="_x0000_s462078"/>
                </a:ext>
                <a:ext uri="{FF2B5EF4-FFF2-40B4-BE49-F238E27FC236}">
                  <a16:creationId xmlns:a16="http://schemas.microsoft.com/office/drawing/2014/main" id="{EA6AA2D3-82A3-37D6-82D5-D54137EF52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New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0</xdr:row>
          <xdr:rowOff>0</xdr:rowOff>
        </xdr:from>
        <xdr:to>
          <xdr:col>11</xdr:col>
          <xdr:colOff>1036320</xdr:colOff>
          <xdr:row>2</xdr:row>
          <xdr:rowOff>0</xdr:rowOff>
        </xdr:to>
        <xdr:sp macro="" textlink="">
          <xdr:nvSpPr>
            <xdr:cNvPr id="462079" name="Button 2303" hidden="1">
              <a:extLst>
                <a:ext uri="{63B3BB69-23CF-44E3-9099-C40C66FF867C}">
                  <a14:compatExt spid="_x0000_s462079"/>
                </a:ext>
                <a:ext uri="{FF2B5EF4-FFF2-40B4-BE49-F238E27FC236}">
                  <a16:creationId xmlns:a16="http://schemas.microsoft.com/office/drawing/2014/main" id="{DD550DA9-C54B-7F86-34B3-DA96569DF9C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All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1036320</xdr:colOff>
          <xdr:row>0</xdr:row>
          <xdr:rowOff>0</xdr:rowOff>
        </xdr:from>
        <xdr:to>
          <xdr:col>13</xdr:col>
          <xdr:colOff>0</xdr:colOff>
          <xdr:row>2</xdr:row>
          <xdr:rowOff>0</xdr:rowOff>
        </xdr:to>
        <xdr:sp macro="" textlink="">
          <xdr:nvSpPr>
            <xdr:cNvPr id="462080" name="Button 2304" hidden="1">
              <a:extLst>
                <a:ext uri="{63B3BB69-23CF-44E3-9099-C40C66FF867C}">
                  <a14:compatExt spid="_x0000_s462080"/>
                </a:ext>
                <a:ext uri="{FF2B5EF4-FFF2-40B4-BE49-F238E27FC236}">
                  <a16:creationId xmlns:a16="http://schemas.microsoft.com/office/drawing/2014/main" id="{5ACFA48F-6C99-26ED-4A29-9B53900276A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Merit List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198120</xdr:colOff>
          <xdr:row>2</xdr:row>
          <xdr:rowOff>0</xdr:rowOff>
        </xdr:to>
        <xdr:sp macro="" textlink="">
          <xdr:nvSpPr>
            <xdr:cNvPr id="225143" name="Button 887" hidden="1">
              <a:extLst>
                <a:ext uri="{63B3BB69-23CF-44E3-9099-C40C66FF867C}">
                  <a14:compatExt spid="_x0000_s225143"/>
                </a:ext>
                <a:ext uri="{FF2B5EF4-FFF2-40B4-BE49-F238E27FC236}">
                  <a16:creationId xmlns:a16="http://schemas.microsoft.com/office/drawing/2014/main" id="{D251CEED-BAD5-42A7-199A-4AE9F664AA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198120</xdr:colOff>
          <xdr:row>1</xdr:row>
          <xdr:rowOff>0</xdr:rowOff>
        </xdr:from>
        <xdr:to>
          <xdr:col>20</xdr:col>
          <xdr:colOff>0</xdr:colOff>
          <xdr:row>2</xdr:row>
          <xdr:rowOff>0</xdr:rowOff>
        </xdr:to>
        <xdr:sp macro="" textlink="">
          <xdr:nvSpPr>
            <xdr:cNvPr id="225144" name="Button 888" hidden="1">
              <a:extLst>
                <a:ext uri="{63B3BB69-23CF-44E3-9099-C40C66FF867C}">
                  <a14:compatExt spid="_x0000_s225144"/>
                </a:ext>
                <a:ext uri="{FF2B5EF4-FFF2-40B4-BE49-F238E27FC236}">
                  <a16:creationId xmlns:a16="http://schemas.microsoft.com/office/drawing/2014/main" id="{390B9722-B30E-341E-AE40-F288AD4C11C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1043940</xdr:colOff>
          <xdr:row>4</xdr:row>
          <xdr:rowOff>0</xdr:rowOff>
        </xdr:to>
        <xdr:sp macro="" textlink="">
          <xdr:nvSpPr>
            <xdr:cNvPr id="477635" name="Button 41411" hidden="1">
              <a:extLst>
                <a:ext uri="{63B3BB69-23CF-44E3-9099-C40C66FF867C}">
                  <a14:compatExt spid="_x0000_s477635"/>
                </a:ext>
                <a:ext uri="{FF2B5EF4-FFF2-40B4-BE49-F238E27FC236}">
                  <a16:creationId xmlns:a16="http://schemas.microsoft.com/office/drawing/2014/main" id="{1910541F-E91D-1244-E4F9-0F9387FE83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 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1043940</xdr:colOff>
          <xdr:row>3</xdr:row>
          <xdr:rowOff>0</xdr:rowOff>
        </xdr:from>
        <xdr:to>
          <xdr:col>5</xdr:col>
          <xdr:colOff>320040</xdr:colOff>
          <xdr:row>4</xdr:row>
          <xdr:rowOff>0</xdr:rowOff>
        </xdr:to>
        <xdr:sp macro="" textlink="">
          <xdr:nvSpPr>
            <xdr:cNvPr id="477636" name="Button 41412" hidden="1">
              <a:extLst>
                <a:ext uri="{63B3BB69-23CF-44E3-9099-C40C66FF867C}">
                  <a14:compatExt spid="_x0000_s477636"/>
                </a:ext>
                <a:ext uri="{FF2B5EF4-FFF2-40B4-BE49-F238E27FC236}">
                  <a16:creationId xmlns:a16="http://schemas.microsoft.com/office/drawing/2014/main" id="{0BE5CED3-AD64-5023-42AC-77D60A40EDA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xdr:colOff>
          <xdr:row>3</xdr:row>
          <xdr:rowOff>0</xdr:rowOff>
        </xdr:from>
        <xdr:to>
          <xdr:col>8</xdr:col>
          <xdr:colOff>0</xdr:colOff>
          <xdr:row>4</xdr:row>
          <xdr:rowOff>0</xdr:rowOff>
        </xdr:to>
        <xdr:sp macro="" textlink="">
          <xdr:nvSpPr>
            <xdr:cNvPr id="477637" name="Button 41413" hidden="1">
              <a:extLst>
                <a:ext uri="{63B3BB69-23CF-44E3-9099-C40C66FF867C}">
                  <a14:compatExt spid="_x0000_s477637"/>
                </a:ext>
                <a:ext uri="{FF2B5EF4-FFF2-40B4-BE49-F238E27FC236}">
                  <a16:creationId xmlns:a16="http://schemas.microsoft.com/office/drawing/2014/main" id="{61ED15CD-1FCD-A0F4-41CA-6583259204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0</xdr:rowOff>
        </xdr:from>
        <xdr:to>
          <xdr:col>11</xdr:col>
          <xdr:colOff>289560</xdr:colOff>
          <xdr:row>4</xdr:row>
          <xdr:rowOff>0</xdr:rowOff>
        </xdr:to>
        <xdr:sp macro="" textlink="">
          <xdr:nvSpPr>
            <xdr:cNvPr id="477638" name="Button 41414" hidden="1">
              <a:extLst>
                <a:ext uri="{63B3BB69-23CF-44E3-9099-C40C66FF867C}">
                  <a14:compatExt spid="_x0000_s477638"/>
                </a:ext>
                <a:ext uri="{FF2B5EF4-FFF2-40B4-BE49-F238E27FC236}">
                  <a16:creationId xmlns:a16="http://schemas.microsoft.com/office/drawing/2014/main" id="{129EFDDA-D05E-B4EA-4869-7FA8DB7CC5E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3</xdr:row>
          <xdr:rowOff>0</xdr:rowOff>
        </xdr:from>
        <xdr:to>
          <xdr:col>13</xdr:col>
          <xdr:colOff>129540</xdr:colOff>
          <xdr:row>4</xdr:row>
          <xdr:rowOff>0</xdr:rowOff>
        </xdr:to>
        <xdr:sp macro="" textlink="">
          <xdr:nvSpPr>
            <xdr:cNvPr id="477639" name="Button 41415" hidden="1">
              <a:extLst>
                <a:ext uri="{63B3BB69-23CF-44E3-9099-C40C66FF867C}">
                  <a14:compatExt spid="_x0000_s477639"/>
                </a:ext>
                <a:ext uri="{FF2B5EF4-FFF2-40B4-BE49-F238E27FC236}">
                  <a16:creationId xmlns:a16="http://schemas.microsoft.com/office/drawing/2014/main" id="{33F2D8B5-114E-87D5-CDFB-153A0DB0C2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9</xdr:col>
          <xdr:colOff>45720</xdr:colOff>
          <xdr:row>6</xdr:row>
          <xdr:rowOff>30480</xdr:rowOff>
        </xdr:to>
        <xdr:sp macro="" textlink="">
          <xdr:nvSpPr>
            <xdr:cNvPr id="477640" name="Check Box 41416" hidden="1">
              <a:extLst>
                <a:ext uri="{63B3BB69-23CF-44E3-9099-C40C66FF867C}">
                  <a14:compatExt spid="_x0000_s477640"/>
                </a:ext>
                <a:ext uri="{FF2B5EF4-FFF2-40B4-BE49-F238E27FC236}">
                  <a16:creationId xmlns:a16="http://schemas.microsoft.com/office/drawing/2014/main" id="{02420E90-5069-40E7-B845-38D15049D2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45720</xdr:colOff>
          <xdr:row>7</xdr:row>
          <xdr:rowOff>30480</xdr:rowOff>
        </xdr:to>
        <xdr:sp macro="" textlink="">
          <xdr:nvSpPr>
            <xdr:cNvPr id="477641" name="Check Box 41417" hidden="1">
              <a:extLst>
                <a:ext uri="{63B3BB69-23CF-44E3-9099-C40C66FF867C}">
                  <a14:compatExt spid="_x0000_s477641"/>
                </a:ext>
                <a:ext uri="{FF2B5EF4-FFF2-40B4-BE49-F238E27FC236}">
                  <a16:creationId xmlns:a16="http://schemas.microsoft.com/office/drawing/2014/main" id="{B22E0A9D-5DD6-8F6E-84E5-D520EFF716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45720</xdr:colOff>
          <xdr:row>8</xdr:row>
          <xdr:rowOff>30480</xdr:rowOff>
        </xdr:to>
        <xdr:sp macro="" textlink="">
          <xdr:nvSpPr>
            <xdr:cNvPr id="477642" name="Check Box 41418" hidden="1">
              <a:extLst>
                <a:ext uri="{63B3BB69-23CF-44E3-9099-C40C66FF867C}">
                  <a14:compatExt spid="_x0000_s477642"/>
                </a:ext>
                <a:ext uri="{FF2B5EF4-FFF2-40B4-BE49-F238E27FC236}">
                  <a16:creationId xmlns:a16="http://schemas.microsoft.com/office/drawing/2014/main" id="{9085FCC6-2EE1-8B57-0FA2-D5C3D20B5F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45720</xdr:colOff>
          <xdr:row>9</xdr:row>
          <xdr:rowOff>30480</xdr:rowOff>
        </xdr:to>
        <xdr:sp macro="" textlink="">
          <xdr:nvSpPr>
            <xdr:cNvPr id="477643" name="Check Box 41419" hidden="1">
              <a:extLst>
                <a:ext uri="{63B3BB69-23CF-44E3-9099-C40C66FF867C}">
                  <a14:compatExt spid="_x0000_s477643"/>
                </a:ext>
                <a:ext uri="{FF2B5EF4-FFF2-40B4-BE49-F238E27FC236}">
                  <a16:creationId xmlns:a16="http://schemas.microsoft.com/office/drawing/2014/main" id="{2A6988A1-CC5F-0408-3722-7AF4DF46D24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45720</xdr:colOff>
          <xdr:row>10</xdr:row>
          <xdr:rowOff>30480</xdr:rowOff>
        </xdr:to>
        <xdr:sp macro="" textlink="">
          <xdr:nvSpPr>
            <xdr:cNvPr id="477644" name="Check Box 41420" hidden="1">
              <a:extLst>
                <a:ext uri="{63B3BB69-23CF-44E3-9099-C40C66FF867C}">
                  <a14:compatExt spid="_x0000_s477644"/>
                </a:ext>
                <a:ext uri="{FF2B5EF4-FFF2-40B4-BE49-F238E27FC236}">
                  <a16:creationId xmlns:a16="http://schemas.microsoft.com/office/drawing/2014/main" id="{09226740-FC48-3211-CC17-C312566019A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9</xdr:col>
          <xdr:colOff>45720</xdr:colOff>
          <xdr:row>11</xdr:row>
          <xdr:rowOff>30480</xdr:rowOff>
        </xdr:to>
        <xdr:sp macro="" textlink="">
          <xdr:nvSpPr>
            <xdr:cNvPr id="477645" name="Check Box 41421" hidden="1">
              <a:extLst>
                <a:ext uri="{63B3BB69-23CF-44E3-9099-C40C66FF867C}">
                  <a14:compatExt spid="_x0000_s477645"/>
                </a:ext>
                <a:ext uri="{FF2B5EF4-FFF2-40B4-BE49-F238E27FC236}">
                  <a16:creationId xmlns:a16="http://schemas.microsoft.com/office/drawing/2014/main" id="{0A4441E9-C397-77EC-8D29-C9602385BF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45720</xdr:colOff>
          <xdr:row>12</xdr:row>
          <xdr:rowOff>30480</xdr:rowOff>
        </xdr:to>
        <xdr:sp macro="" textlink="">
          <xdr:nvSpPr>
            <xdr:cNvPr id="477646" name="Check Box 41422" hidden="1">
              <a:extLst>
                <a:ext uri="{63B3BB69-23CF-44E3-9099-C40C66FF867C}">
                  <a14:compatExt spid="_x0000_s477646"/>
                </a:ext>
                <a:ext uri="{FF2B5EF4-FFF2-40B4-BE49-F238E27FC236}">
                  <a16:creationId xmlns:a16="http://schemas.microsoft.com/office/drawing/2014/main" id="{2873E91A-A4D5-6866-BC64-879AA4C9053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45720</xdr:colOff>
          <xdr:row>13</xdr:row>
          <xdr:rowOff>30480</xdr:rowOff>
        </xdr:to>
        <xdr:sp macro="" textlink="">
          <xdr:nvSpPr>
            <xdr:cNvPr id="477647" name="Check Box 41423" hidden="1">
              <a:extLst>
                <a:ext uri="{63B3BB69-23CF-44E3-9099-C40C66FF867C}">
                  <a14:compatExt spid="_x0000_s477647"/>
                </a:ext>
                <a:ext uri="{FF2B5EF4-FFF2-40B4-BE49-F238E27FC236}">
                  <a16:creationId xmlns:a16="http://schemas.microsoft.com/office/drawing/2014/main" id="{98B41D64-9F24-590D-E2B8-E04AAF71876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45720</xdr:colOff>
          <xdr:row>14</xdr:row>
          <xdr:rowOff>30480</xdr:rowOff>
        </xdr:to>
        <xdr:sp macro="" textlink="">
          <xdr:nvSpPr>
            <xdr:cNvPr id="477648" name="Check Box 41424" hidden="1">
              <a:extLst>
                <a:ext uri="{63B3BB69-23CF-44E3-9099-C40C66FF867C}">
                  <a14:compatExt spid="_x0000_s477648"/>
                </a:ext>
                <a:ext uri="{FF2B5EF4-FFF2-40B4-BE49-F238E27FC236}">
                  <a16:creationId xmlns:a16="http://schemas.microsoft.com/office/drawing/2014/main" id="{1E1DC91C-08A2-CE38-E3E8-276DD1627E2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9</xdr:col>
          <xdr:colOff>45720</xdr:colOff>
          <xdr:row>15</xdr:row>
          <xdr:rowOff>30480</xdr:rowOff>
        </xdr:to>
        <xdr:sp macro="" textlink="">
          <xdr:nvSpPr>
            <xdr:cNvPr id="477649" name="Check Box 41425" hidden="1">
              <a:extLst>
                <a:ext uri="{63B3BB69-23CF-44E3-9099-C40C66FF867C}">
                  <a14:compatExt spid="_x0000_s477649"/>
                </a:ext>
                <a:ext uri="{FF2B5EF4-FFF2-40B4-BE49-F238E27FC236}">
                  <a16:creationId xmlns:a16="http://schemas.microsoft.com/office/drawing/2014/main" id="{1CB43692-95B1-B31B-D188-2FFF118CCA3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45720</xdr:colOff>
          <xdr:row>16</xdr:row>
          <xdr:rowOff>30480</xdr:rowOff>
        </xdr:to>
        <xdr:sp macro="" textlink="">
          <xdr:nvSpPr>
            <xdr:cNvPr id="477650" name="Check Box 41426" hidden="1">
              <a:extLst>
                <a:ext uri="{63B3BB69-23CF-44E3-9099-C40C66FF867C}">
                  <a14:compatExt spid="_x0000_s477650"/>
                </a:ext>
                <a:ext uri="{FF2B5EF4-FFF2-40B4-BE49-F238E27FC236}">
                  <a16:creationId xmlns:a16="http://schemas.microsoft.com/office/drawing/2014/main" id="{CB5FEEA0-5362-CFD3-3448-4C99A7206B9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45720</xdr:colOff>
          <xdr:row>17</xdr:row>
          <xdr:rowOff>30480</xdr:rowOff>
        </xdr:to>
        <xdr:sp macro="" textlink="">
          <xdr:nvSpPr>
            <xdr:cNvPr id="477651" name="Check Box 41427" hidden="1">
              <a:extLst>
                <a:ext uri="{63B3BB69-23CF-44E3-9099-C40C66FF867C}">
                  <a14:compatExt spid="_x0000_s477651"/>
                </a:ext>
                <a:ext uri="{FF2B5EF4-FFF2-40B4-BE49-F238E27FC236}">
                  <a16:creationId xmlns:a16="http://schemas.microsoft.com/office/drawing/2014/main" id="{10491F78-5057-ED16-8149-2ECAC493DD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45720</xdr:colOff>
          <xdr:row>18</xdr:row>
          <xdr:rowOff>30480</xdr:rowOff>
        </xdr:to>
        <xdr:sp macro="" textlink="">
          <xdr:nvSpPr>
            <xdr:cNvPr id="477652" name="Check Box 41428" hidden="1">
              <a:extLst>
                <a:ext uri="{63B3BB69-23CF-44E3-9099-C40C66FF867C}">
                  <a14:compatExt spid="_x0000_s477652"/>
                </a:ext>
                <a:ext uri="{FF2B5EF4-FFF2-40B4-BE49-F238E27FC236}">
                  <a16:creationId xmlns:a16="http://schemas.microsoft.com/office/drawing/2014/main" id="{6C6FE808-CE38-9CDA-788F-4535E110F7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9</xdr:col>
          <xdr:colOff>45720</xdr:colOff>
          <xdr:row>19</xdr:row>
          <xdr:rowOff>30480</xdr:rowOff>
        </xdr:to>
        <xdr:sp macro="" textlink="">
          <xdr:nvSpPr>
            <xdr:cNvPr id="477653" name="Check Box 41429" hidden="1">
              <a:extLst>
                <a:ext uri="{63B3BB69-23CF-44E3-9099-C40C66FF867C}">
                  <a14:compatExt spid="_x0000_s477653"/>
                </a:ext>
                <a:ext uri="{FF2B5EF4-FFF2-40B4-BE49-F238E27FC236}">
                  <a16:creationId xmlns:a16="http://schemas.microsoft.com/office/drawing/2014/main" id="{459132CC-B085-8725-AF90-4174500592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45720</xdr:colOff>
          <xdr:row>20</xdr:row>
          <xdr:rowOff>30480</xdr:rowOff>
        </xdr:to>
        <xdr:sp macro="" textlink="">
          <xdr:nvSpPr>
            <xdr:cNvPr id="477654" name="Check Box 41430" hidden="1">
              <a:extLst>
                <a:ext uri="{63B3BB69-23CF-44E3-9099-C40C66FF867C}">
                  <a14:compatExt spid="_x0000_s477654"/>
                </a:ext>
                <a:ext uri="{FF2B5EF4-FFF2-40B4-BE49-F238E27FC236}">
                  <a16:creationId xmlns:a16="http://schemas.microsoft.com/office/drawing/2014/main" id="{EAE19BCD-1675-8783-FDD2-B202BBC625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45720</xdr:colOff>
          <xdr:row>21</xdr:row>
          <xdr:rowOff>30480</xdr:rowOff>
        </xdr:to>
        <xdr:sp macro="" textlink="">
          <xdr:nvSpPr>
            <xdr:cNvPr id="477655" name="Check Box 41431" hidden="1">
              <a:extLst>
                <a:ext uri="{63B3BB69-23CF-44E3-9099-C40C66FF867C}">
                  <a14:compatExt spid="_x0000_s477655"/>
                </a:ext>
                <a:ext uri="{FF2B5EF4-FFF2-40B4-BE49-F238E27FC236}">
                  <a16:creationId xmlns:a16="http://schemas.microsoft.com/office/drawing/2014/main" id="{C6E3CBB0-2431-D923-AD99-F2E7205AA20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45720</xdr:colOff>
          <xdr:row>22</xdr:row>
          <xdr:rowOff>30480</xdr:rowOff>
        </xdr:to>
        <xdr:sp macro="" textlink="">
          <xdr:nvSpPr>
            <xdr:cNvPr id="477656" name="Check Box 41432" hidden="1">
              <a:extLst>
                <a:ext uri="{63B3BB69-23CF-44E3-9099-C40C66FF867C}">
                  <a14:compatExt spid="_x0000_s477656"/>
                </a:ext>
                <a:ext uri="{FF2B5EF4-FFF2-40B4-BE49-F238E27FC236}">
                  <a16:creationId xmlns:a16="http://schemas.microsoft.com/office/drawing/2014/main" id="{DE5FFA7C-CD0D-ACA2-6DAF-715547BC10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45720</xdr:colOff>
          <xdr:row>23</xdr:row>
          <xdr:rowOff>30480</xdr:rowOff>
        </xdr:to>
        <xdr:sp macro="" textlink="">
          <xdr:nvSpPr>
            <xdr:cNvPr id="477657" name="Check Box 41433" hidden="1">
              <a:extLst>
                <a:ext uri="{63B3BB69-23CF-44E3-9099-C40C66FF867C}">
                  <a14:compatExt spid="_x0000_s477657"/>
                </a:ext>
                <a:ext uri="{FF2B5EF4-FFF2-40B4-BE49-F238E27FC236}">
                  <a16:creationId xmlns:a16="http://schemas.microsoft.com/office/drawing/2014/main" id="{73C3EEA1-426C-7105-4D7E-9BED6D3232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0</xdr:rowOff>
        </xdr:from>
        <xdr:to>
          <xdr:col>9</xdr:col>
          <xdr:colOff>45720</xdr:colOff>
          <xdr:row>24</xdr:row>
          <xdr:rowOff>30480</xdr:rowOff>
        </xdr:to>
        <xdr:sp macro="" textlink="">
          <xdr:nvSpPr>
            <xdr:cNvPr id="477658" name="Check Box 41434" hidden="1">
              <a:extLst>
                <a:ext uri="{63B3BB69-23CF-44E3-9099-C40C66FF867C}">
                  <a14:compatExt spid="_x0000_s477658"/>
                </a:ext>
                <a:ext uri="{FF2B5EF4-FFF2-40B4-BE49-F238E27FC236}">
                  <a16:creationId xmlns:a16="http://schemas.microsoft.com/office/drawing/2014/main" id="{66ECF6DC-BA40-393D-4367-7EC5E50960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45720</xdr:colOff>
          <xdr:row>25</xdr:row>
          <xdr:rowOff>30480</xdr:rowOff>
        </xdr:to>
        <xdr:sp macro="" textlink="">
          <xdr:nvSpPr>
            <xdr:cNvPr id="477659" name="Check Box 41435" hidden="1">
              <a:extLst>
                <a:ext uri="{63B3BB69-23CF-44E3-9099-C40C66FF867C}">
                  <a14:compatExt spid="_x0000_s477659"/>
                </a:ext>
                <a:ext uri="{FF2B5EF4-FFF2-40B4-BE49-F238E27FC236}">
                  <a16:creationId xmlns:a16="http://schemas.microsoft.com/office/drawing/2014/main" id="{CD1C1EBD-C4A3-4184-C10D-6922075FE29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45720</xdr:colOff>
          <xdr:row>26</xdr:row>
          <xdr:rowOff>30480</xdr:rowOff>
        </xdr:to>
        <xdr:sp macro="" textlink="">
          <xdr:nvSpPr>
            <xdr:cNvPr id="477660" name="Check Box 41436" hidden="1">
              <a:extLst>
                <a:ext uri="{63B3BB69-23CF-44E3-9099-C40C66FF867C}">
                  <a14:compatExt spid="_x0000_s477660"/>
                </a:ext>
                <a:ext uri="{FF2B5EF4-FFF2-40B4-BE49-F238E27FC236}">
                  <a16:creationId xmlns:a16="http://schemas.microsoft.com/office/drawing/2014/main" id="{4ABC5410-66C2-931E-C3FD-747383F5D3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45720</xdr:colOff>
          <xdr:row>27</xdr:row>
          <xdr:rowOff>30480</xdr:rowOff>
        </xdr:to>
        <xdr:sp macro="" textlink="">
          <xdr:nvSpPr>
            <xdr:cNvPr id="477661" name="Check Box 41437" hidden="1">
              <a:extLst>
                <a:ext uri="{63B3BB69-23CF-44E3-9099-C40C66FF867C}">
                  <a14:compatExt spid="_x0000_s477661"/>
                </a:ext>
                <a:ext uri="{FF2B5EF4-FFF2-40B4-BE49-F238E27FC236}">
                  <a16:creationId xmlns:a16="http://schemas.microsoft.com/office/drawing/2014/main" id="{554CED5B-2587-CCF9-C5E7-4107A584869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45720</xdr:colOff>
          <xdr:row>28</xdr:row>
          <xdr:rowOff>30480</xdr:rowOff>
        </xdr:to>
        <xdr:sp macro="" textlink="">
          <xdr:nvSpPr>
            <xdr:cNvPr id="477662" name="Check Box 41438" hidden="1">
              <a:extLst>
                <a:ext uri="{63B3BB69-23CF-44E3-9099-C40C66FF867C}">
                  <a14:compatExt spid="_x0000_s477662"/>
                </a:ext>
                <a:ext uri="{FF2B5EF4-FFF2-40B4-BE49-F238E27FC236}">
                  <a16:creationId xmlns:a16="http://schemas.microsoft.com/office/drawing/2014/main" id="{734D22F8-84B9-11F5-FA0C-7600BD6506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45720</xdr:colOff>
          <xdr:row>29</xdr:row>
          <xdr:rowOff>30480</xdr:rowOff>
        </xdr:to>
        <xdr:sp macro="" textlink="">
          <xdr:nvSpPr>
            <xdr:cNvPr id="477663" name="Check Box 41439" hidden="1">
              <a:extLst>
                <a:ext uri="{63B3BB69-23CF-44E3-9099-C40C66FF867C}">
                  <a14:compatExt spid="_x0000_s477663"/>
                </a:ext>
                <a:ext uri="{FF2B5EF4-FFF2-40B4-BE49-F238E27FC236}">
                  <a16:creationId xmlns:a16="http://schemas.microsoft.com/office/drawing/2014/main" id="{6FD624D2-A20F-65D0-5D7E-4E1A6F71FB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45720</xdr:colOff>
          <xdr:row>30</xdr:row>
          <xdr:rowOff>30480</xdr:rowOff>
        </xdr:to>
        <xdr:sp macro="" textlink="">
          <xdr:nvSpPr>
            <xdr:cNvPr id="477664" name="Check Box 41440" hidden="1">
              <a:extLst>
                <a:ext uri="{63B3BB69-23CF-44E3-9099-C40C66FF867C}">
                  <a14:compatExt spid="_x0000_s477664"/>
                </a:ext>
                <a:ext uri="{FF2B5EF4-FFF2-40B4-BE49-F238E27FC236}">
                  <a16:creationId xmlns:a16="http://schemas.microsoft.com/office/drawing/2014/main" id="{AAF834DD-3D4F-8DB1-1F01-83F8AED50A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45720</xdr:colOff>
          <xdr:row>31</xdr:row>
          <xdr:rowOff>30480</xdr:rowOff>
        </xdr:to>
        <xdr:sp macro="" textlink="">
          <xdr:nvSpPr>
            <xdr:cNvPr id="477665" name="Check Box 41441" hidden="1">
              <a:extLst>
                <a:ext uri="{63B3BB69-23CF-44E3-9099-C40C66FF867C}">
                  <a14:compatExt spid="_x0000_s477665"/>
                </a:ext>
                <a:ext uri="{FF2B5EF4-FFF2-40B4-BE49-F238E27FC236}">
                  <a16:creationId xmlns:a16="http://schemas.microsoft.com/office/drawing/2014/main" id="{60AF99B3-96B2-054D-589E-A29B8715754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45720</xdr:colOff>
          <xdr:row>32</xdr:row>
          <xdr:rowOff>30480</xdr:rowOff>
        </xdr:to>
        <xdr:sp macro="" textlink="">
          <xdr:nvSpPr>
            <xdr:cNvPr id="477666" name="Check Box 41442" hidden="1">
              <a:extLst>
                <a:ext uri="{63B3BB69-23CF-44E3-9099-C40C66FF867C}">
                  <a14:compatExt spid="_x0000_s477666"/>
                </a:ext>
                <a:ext uri="{FF2B5EF4-FFF2-40B4-BE49-F238E27FC236}">
                  <a16:creationId xmlns:a16="http://schemas.microsoft.com/office/drawing/2014/main" id="{1A5665AF-1BEC-C057-ADCE-060493BA1E7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45720</xdr:colOff>
          <xdr:row>33</xdr:row>
          <xdr:rowOff>30480</xdr:rowOff>
        </xdr:to>
        <xdr:sp macro="" textlink="">
          <xdr:nvSpPr>
            <xdr:cNvPr id="477667" name="Check Box 41443" hidden="1">
              <a:extLst>
                <a:ext uri="{63B3BB69-23CF-44E3-9099-C40C66FF867C}">
                  <a14:compatExt spid="_x0000_s477667"/>
                </a:ext>
                <a:ext uri="{FF2B5EF4-FFF2-40B4-BE49-F238E27FC236}">
                  <a16:creationId xmlns:a16="http://schemas.microsoft.com/office/drawing/2014/main" id="{1C44E4D6-E2CF-2230-AF8F-E7869E1402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45720</xdr:colOff>
          <xdr:row>34</xdr:row>
          <xdr:rowOff>30480</xdr:rowOff>
        </xdr:to>
        <xdr:sp macro="" textlink="">
          <xdr:nvSpPr>
            <xdr:cNvPr id="477668" name="Check Box 41444" hidden="1">
              <a:extLst>
                <a:ext uri="{63B3BB69-23CF-44E3-9099-C40C66FF867C}">
                  <a14:compatExt spid="_x0000_s477668"/>
                </a:ext>
                <a:ext uri="{FF2B5EF4-FFF2-40B4-BE49-F238E27FC236}">
                  <a16:creationId xmlns:a16="http://schemas.microsoft.com/office/drawing/2014/main" id="{5CC58871-5FA1-EC12-06C4-FD985B89D1C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9</xdr:col>
          <xdr:colOff>45720</xdr:colOff>
          <xdr:row>35</xdr:row>
          <xdr:rowOff>30480</xdr:rowOff>
        </xdr:to>
        <xdr:sp macro="" textlink="">
          <xdr:nvSpPr>
            <xdr:cNvPr id="477669" name="Check Box 41445" hidden="1">
              <a:extLst>
                <a:ext uri="{63B3BB69-23CF-44E3-9099-C40C66FF867C}">
                  <a14:compatExt spid="_x0000_s477669"/>
                </a:ext>
                <a:ext uri="{FF2B5EF4-FFF2-40B4-BE49-F238E27FC236}">
                  <a16:creationId xmlns:a16="http://schemas.microsoft.com/office/drawing/2014/main" id="{DF17B0D0-5C3D-8325-D3AC-904DDA44BFB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9</xdr:col>
          <xdr:colOff>45720</xdr:colOff>
          <xdr:row>36</xdr:row>
          <xdr:rowOff>30480</xdr:rowOff>
        </xdr:to>
        <xdr:sp macro="" textlink="">
          <xdr:nvSpPr>
            <xdr:cNvPr id="477670" name="Check Box 41446" hidden="1">
              <a:extLst>
                <a:ext uri="{63B3BB69-23CF-44E3-9099-C40C66FF867C}">
                  <a14:compatExt spid="_x0000_s477670"/>
                </a:ext>
                <a:ext uri="{FF2B5EF4-FFF2-40B4-BE49-F238E27FC236}">
                  <a16:creationId xmlns:a16="http://schemas.microsoft.com/office/drawing/2014/main" id="{892D55CF-A8D2-1474-04E7-7FB28FB3C0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45720</xdr:colOff>
          <xdr:row>37</xdr:row>
          <xdr:rowOff>30480</xdr:rowOff>
        </xdr:to>
        <xdr:sp macro="" textlink="">
          <xdr:nvSpPr>
            <xdr:cNvPr id="477671" name="Check Box 41447" hidden="1">
              <a:extLst>
                <a:ext uri="{63B3BB69-23CF-44E3-9099-C40C66FF867C}">
                  <a14:compatExt spid="_x0000_s477671"/>
                </a:ext>
                <a:ext uri="{FF2B5EF4-FFF2-40B4-BE49-F238E27FC236}">
                  <a16:creationId xmlns:a16="http://schemas.microsoft.com/office/drawing/2014/main" id="{AEEBC2F6-9AC5-C16D-247B-50D79388CBB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45720</xdr:colOff>
          <xdr:row>38</xdr:row>
          <xdr:rowOff>30480</xdr:rowOff>
        </xdr:to>
        <xdr:sp macro="" textlink="">
          <xdr:nvSpPr>
            <xdr:cNvPr id="477672" name="Check Box 41448" hidden="1">
              <a:extLst>
                <a:ext uri="{63B3BB69-23CF-44E3-9099-C40C66FF867C}">
                  <a14:compatExt spid="_x0000_s477672"/>
                </a:ext>
                <a:ext uri="{FF2B5EF4-FFF2-40B4-BE49-F238E27FC236}">
                  <a16:creationId xmlns:a16="http://schemas.microsoft.com/office/drawing/2014/main" id="{7ACEED7C-DD20-FBAC-B380-E8D59A0A5B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464820</xdr:colOff>
          <xdr:row>0</xdr:row>
          <xdr:rowOff>152400</xdr:rowOff>
        </xdr:from>
        <xdr:to>
          <xdr:col>3</xdr:col>
          <xdr:colOff>106680</xdr:colOff>
          <xdr:row>1</xdr:row>
          <xdr:rowOff>152400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700-00000220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152400</xdr:rowOff>
        </xdr:from>
        <xdr:to>
          <xdr:col>6</xdr:col>
          <xdr:colOff>563880</xdr:colOff>
          <xdr:row>1</xdr:row>
          <xdr:rowOff>152400</xdr:rowOff>
        </xdr:to>
        <xdr:sp macro="" textlink="">
          <xdr:nvSpPr>
            <xdr:cNvPr id="139267" name="Button 3" hidden="1">
              <a:extLst>
                <a:ext uri="{63B3BB69-23CF-44E3-9099-C40C66FF867C}">
                  <a14:compatExt spid="_x0000_s139267"/>
                </a:ext>
                <a:ext uri="{FF2B5EF4-FFF2-40B4-BE49-F238E27FC236}">
                  <a16:creationId xmlns:a16="http://schemas.microsoft.com/office/drawing/2014/main" id="{00000000-0008-0000-0700-00000320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xdr:colOff>
          <xdr:row>3</xdr:row>
          <xdr:rowOff>213360</xdr:rowOff>
        </xdr:from>
        <xdr:to>
          <xdr:col>4</xdr:col>
          <xdr:colOff>1440180</xdr:colOff>
          <xdr:row>4</xdr:row>
          <xdr:rowOff>198120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8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0" i="0" u="none" strike="noStrike" baseline="0">
                  <a:solidFill>
                    <a:srgbClr val="000000"/>
                  </a:solidFill>
                  <a:latin typeface="Calibri"/>
                  <a:ea typeface="Calibri"/>
                  <a:cs typeface="Calibri"/>
                </a:rPr>
                <a:t>Draw Bracket</a:t>
              </a:r>
            </a:p>
            <a:p>
              <a:pPr algn="ctr" rtl="0">
                <a:defRPr sz="1000"/>
              </a:pPr>
              <a:endParaRPr lang="en-IN" sz="14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220980</xdr:rowOff>
        </xdr:from>
        <xdr:to>
          <xdr:col>5</xdr:col>
          <xdr:colOff>0</xdr:colOff>
          <xdr:row>6</xdr:row>
          <xdr:rowOff>213360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8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0" i="0" u="none" strike="noStrike" baseline="0">
                  <a:solidFill>
                    <a:srgbClr val="000000"/>
                  </a:solidFill>
                  <a:latin typeface="Calibri"/>
                  <a:ea typeface="Calibri"/>
                  <a:cs typeface="Calibri"/>
                </a:rPr>
                <a:t>Draw iBracket</a:t>
              </a:r>
            </a:p>
            <a:p>
              <a:pPr algn="ctr" rtl="0">
                <a:defRPr sz="1000"/>
              </a:pPr>
              <a:endParaRPr lang="en-IN" sz="14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1013460</xdr:colOff>
          <xdr:row>2</xdr:row>
          <xdr:rowOff>68580</xdr:rowOff>
        </xdr:to>
        <xdr:sp macro="" textlink="">
          <xdr:nvSpPr>
            <xdr:cNvPr id="173333" name="SwapButton" hidden="1">
              <a:extLst>
                <a:ext uri="{63B3BB69-23CF-44E3-9099-C40C66FF867C}">
                  <a14:compatExt spid="_x0000_s173333"/>
                </a:ext>
                <a:ext uri="{FF2B5EF4-FFF2-40B4-BE49-F238E27FC236}">
                  <a16:creationId xmlns:a16="http://schemas.microsoft.com/office/drawing/2014/main" id="{00000000-0008-0000-0A00-000015A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Swap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0</xdr:col>
          <xdr:colOff>1013460</xdr:colOff>
          <xdr:row>4</xdr:row>
          <xdr:rowOff>68580</xdr:rowOff>
        </xdr:to>
        <xdr:sp macro="" textlink="">
          <xdr:nvSpPr>
            <xdr:cNvPr id="173334" name="ShuffleButton" hidden="1">
              <a:extLst>
                <a:ext uri="{63B3BB69-23CF-44E3-9099-C40C66FF867C}">
                  <a14:compatExt spid="_x0000_s173334"/>
                </a:ext>
                <a:ext uri="{FF2B5EF4-FFF2-40B4-BE49-F238E27FC236}">
                  <a16:creationId xmlns:a16="http://schemas.microsoft.com/office/drawing/2014/main" id="{00000000-0008-0000-0A00-000016A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0</xdr:col>
          <xdr:colOff>1013460</xdr:colOff>
          <xdr:row>6</xdr:row>
          <xdr:rowOff>68580</xdr:rowOff>
        </xdr:to>
        <xdr:sp macro="" textlink="">
          <xdr:nvSpPr>
            <xdr:cNvPr id="173335" name="sortButton" hidden="1">
              <a:extLst>
                <a:ext uri="{63B3BB69-23CF-44E3-9099-C40C66FF867C}">
                  <a14:compatExt spid="_x0000_s173335"/>
                </a:ext>
                <a:ext uri="{FF2B5EF4-FFF2-40B4-BE49-F238E27FC236}">
                  <a16:creationId xmlns:a16="http://schemas.microsoft.com/office/drawing/2014/main" id="{00000000-0008-0000-0A00-000017A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1013460</xdr:colOff>
          <xdr:row>2</xdr:row>
          <xdr:rowOff>68580</xdr:rowOff>
        </xdr:to>
        <xdr:sp macro="" textlink="">
          <xdr:nvSpPr>
            <xdr:cNvPr id="309294" name="SwapButton" hidden="1">
              <a:extLst>
                <a:ext uri="{63B3BB69-23CF-44E3-9099-C40C66FF867C}">
                  <a14:compatExt spid="_x0000_s309294"/>
                </a:ext>
                <a:ext uri="{FF2B5EF4-FFF2-40B4-BE49-F238E27FC236}">
                  <a16:creationId xmlns:a16="http://schemas.microsoft.com/office/drawing/2014/main" id="{00000000-0008-0000-1000-00002EB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Swap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0</xdr:col>
          <xdr:colOff>1013460</xdr:colOff>
          <xdr:row>4</xdr:row>
          <xdr:rowOff>68580</xdr:rowOff>
        </xdr:to>
        <xdr:sp macro="" textlink="">
          <xdr:nvSpPr>
            <xdr:cNvPr id="309295" name="ShuffleButton" hidden="1">
              <a:extLst>
                <a:ext uri="{63B3BB69-23CF-44E3-9099-C40C66FF867C}">
                  <a14:compatExt spid="_x0000_s309295"/>
                </a:ext>
                <a:ext uri="{FF2B5EF4-FFF2-40B4-BE49-F238E27FC236}">
                  <a16:creationId xmlns:a16="http://schemas.microsoft.com/office/drawing/2014/main" id="{00000000-0008-0000-1000-00002FB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0</xdr:col>
          <xdr:colOff>1013460</xdr:colOff>
          <xdr:row>6</xdr:row>
          <xdr:rowOff>68580</xdr:rowOff>
        </xdr:to>
        <xdr:sp macro="" textlink="">
          <xdr:nvSpPr>
            <xdr:cNvPr id="309296" name="sortButton" hidden="1">
              <a:extLst>
                <a:ext uri="{63B3BB69-23CF-44E3-9099-C40C66FF867C}">
                  <a14:compatExt spid="_x0000_s309296"/>
                </a:ext>
                <a:ext uri="{FF2B5EF4-FFF2-40B4-BE49-F238E27FC236}">
                  <a16:creationId xmlns:a16="http://schemas.microsoft.com/office/drawing/2014/main" id="{00000000-0008-0000-1000-000030B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Ashish Hari" id="{6419144C-9669-4D98-9886-4E8D4D0A4B34}" userId="1d2fa7b18dc41939"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872" connectionId="29" xr16:uid="{9B556F47-742A-4B5E-8B21-8CC83D89F30B}"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64" connectionId="825" xr16:uid="{FE4512E1-5DC7-452A-A956-63EEEBACAF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019" connectionId="672" xr16:uid="{2A71663C-3EE3-4540-BDFC-9773CB8F0FA3}"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839" connectionId="721" xr16:uid="{73459307-ECB2-4B0C-B56C-9C4BACCC0720}"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791" connectionId="808" xr16:uid="{8A63742B-EF10-4DF9-A641-09F2065E3E28}"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949" connectionId="192" xr16:uid="{B8F0E602-6EC5-4F8D-B065-95E7911C1ABC}"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821" connectionId="45" xr16:uid="{45217E82-0818-4CBD-B78A-7CBCECC62D20}"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170" connectionId="91" xr16:uid="{2EB92B8F-8384-4DC6-9FD2-0D8FEBB416A8}" autoFormatId="0"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025" connectionId="67" xr16:uid="{F2248B65-B079-4E07-A96B-8ABBEA9395E1}" autoFormatId="0"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121" connectionId="534" xr16:uid="{F9ACF35F-C768-4938-9BCF-4EF0ADB0B93F}" autoFormatId="0"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575" connectionId="509" xr16:uid="{DAA1B171-98FC-43FA-8586-50D3B6C0E3D8}" autoFormatId="0"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098" connectionId="776" xr16:uid="{AFB3A0DE-80B3-4FC4-994F-513119C38855}" autoFormatId="0"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797" connectionId="845" xr16:uid="{A7E87279-B296-4747-BF8A-82780607CD3A}" autoFormatId="0"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3181" connectionId="121" xr16:uid="{8983F397-79B3-4EC9-BDD4-B59DD3698C37}" autoFormatId="0"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527" connectionId="484" xr16:uid="{A38BB025-7679-4583-9C15-2F4CF0AA11D8}" autoFormatId="0"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653" connectionId="159" xr16:uid="{AB482437-A832-4238-8C6B-6F20C2746EC1}" autoFormatId="0"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670" connectionId="773" xr16:uid="{6063B336-43B8-43C8-9ADF-9309C8F88627}" autoFormatId="0"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770" connectionId="395" xr16:uid="{08F7261D-AFC2-4D52-9B9E-FB4BA1F70166}" autoFormatId="0"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578" connectionId="15" xr16:uid="{42A958BA-B097-490E-8647-2A2047FFA414}" autoFormatId="0"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632" connectionId="168" xr16:uid="{C174C6FF-09BD-4348-B0EC-D60E1E7A0C40}" autoFormatId="0"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3062" connectionId="518" xr16:uid="{1704B07D-8701-4474-803B-8976E193593A}" autoFormatId="0"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026" connectionId="123" xr16:uid="{BA27B3D9-0252-4E74-BF21-FBE28DE9D4E9}" autoFormatId="0"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903" connectionId="422" xr16:uid="{017AFA32-F310-4B9C-AA98-82CD71D1AECB}" autoFormatId="0"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910" connectionId="752" xr16:uid="{8C041343-C9C2-4EF4-A19B-64EBF0607C91}" autoFormatId="0"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790" connectionId="399" xr16:uid="{E7683D78-CC49-43B7-9AF2-3059518FB2AF}" autoFormatId="0"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767" connectionId="725" xr16:uid="{4448F5F0-CB90-4F52-B6D9-6793EC218984}" autoFormatId="0"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671" connectionId="333" xr16:uid="{6F83F7EC-1C62-4099-821F-E6AF7F6C4740}" autoFormatId="0"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752" connectionId="547" xr16:uid="{D56AD588-842C-409D-BAAD-0513EF48204E}" autoFormatId="0"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2992" connectionId="706" xr16:uid="{90BC5A62-3AEC-43B3-AD23-028664008329}" autoFormatId="0"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3150" connectionId="276" xr16:uid="{C19F613F-E3E3-455D-BE6B-C48F0A336E2D}" autoFormatId="0"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2956" connectionId="614" xr16:uid="{146D6F2D-BB7F-4008-8C21-3E55C1142A9F}" autoFormatId="0"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709" connectionId="447" xr16:uid="{AB521F08-3C2F-4536-A418-8F5BF05FA2AF}" autoFormatId="0"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913" connectionId="584" xr16:uid="{0804AC4B-4675-497E-B946-5A3E42360CAA}" autoFormatId="0"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576" connectionId="619" xr16:uid="{FFE16B71-DE41-41CE-8745-388363E7998A}" autoFormatId="0"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3053" connectionId="220" xr16:uid="{18F8C505-97B2-429B-BACE-949D9A657369}" autoFormatId="0"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2802" connectionId="401" xr16:uid="{D96B71CE-0C0E-4236-BE88-4B9B004ADD0A}" autoFormatId="0"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605" connectionId="461" xr16:uid="{109696E3-B0C9-466F-8B70-71B006496095}" autoFormatId="0"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3044" connectionId="69" xr16:uid="{410E8975-4428-4555-8D02-57EF310DD3AF}" autoFormatId="0"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2904" connectionId="332" xr16:uid="{E984C9E7-A237-4F1A-BFF6-556C54E351EE}" autoFormatId="0"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848" connectionId="671" xr16:uid="{2C727465-3104-4517-9141-2413E0A4BE5E}" autoFormatId="0"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2965" connectionId="862" xr16:uid="{1FE4B7F2-890E-4609-8D84-28FE0145C94F}" autoFormatId="0"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2587" connectionId="740" xr16:uid="{608DBA23-D0FC-4141-B696-E4C4105E41C6}" autoFormatId="0"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3148" connectionId="643" xr16:uid="{3422AF93-6AFE-4DEB-A409-F4C0961A23BB}" autoFormatId="0"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906" connectionId="561" xr16:uid="{E270104B-5F75-4E3C-B0FF-6D72C5683E9F}" autoFormatId="0"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804" connectionId="269" xr16:uid="{1B317D87-59D0-4BDA-AED8-83572FC554F6}" autoFormatId="0"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619" connectionId="630" xr16:uid="{36FC65A0-9ABB-45C4-B9FF-EF42A797A0EB}" autoFormatId="0"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754" connectionId="291" xr16:uid="{7A94A57A-DEC2-4B3C-BE24-0209560E9CA0}" autoFormatId="0"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851" connectionId="657" xr16:uid="{F92E1627-0AF7-44AE-A8E7-EB64581CFD56}" autoFormatId="0"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722" connectionId="836" xr16:uid="{DCCDEC78-45AB-45D5-AB9A-EFEBA9ABEDEC}" autoFormatId="0"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676" connectionId="463" xr16:uid="{C4252E52-7DC1-474F-A0F2-E5F5C9B00EE7}" autoFormatId="0"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764" connectionId="66" xr16:uid="{2CEB9F04-1ACB-4817-B78D-818297B704C4}" autoFormatId="0"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898" connectionId="699" xr16:uid="{111A41F5-9F2C-4674-9062-44BC5DB042FD}" autoFormatId="0"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918" connectionId="552" xr16:uid="{3E6995C6-A9FF-445F-A303-0E0B022303D2}" autoFormatId="0"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3169" connectionId="493" xr16:uid="{FEA008E5-D80A-4F56-AB4F-3BF3A0446F80}" autoFormatId="0"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2520" connectionId="174" xr16:uid="{530AB8F4-C145-4476-A8B6-AE1A75BEE7FE}" autoFormatId="0"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2921" connectionId="75" xr16:uid="{9EDBB7C6-D121-42B4-9012-D0FEAB433641}" autoFormatId="0"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2909" connectionId="666" xr16:uid="{2CE6682B-03B0-4C9D-AA34-E4BF8BCBFD5A}" autoFormatId="0"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2628" connectionId="283" xr16:uid="{BFB0CCEB-E5DF-4015-B357-208532DFBE31}" autoFormatId="0"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2888" connectionId="718" xr16:uid="{E46E6F7C-406E-4B5F-BD5D-54587449F496}" autoFormatId="0"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2812" connectionId="638" xr16:uid="{814D4710-60B8-4379-952C-9B5C152FA701}" autoFormatId="0"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2552" connectionId="572" xr16:uid="{F1995885-A1B0-41C7-AF63-22F9138707D0}" autoFormatId="0"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2601" connectionId="236" xr16:uid="{4F7363CA-7983-4F15-8E40-E27E6D5DB97B}" autoFormatId="0"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2746" connectionId="419" xr16:uid="{3259837E-8672-4DBA-84CC-2AA24BAAA380}" autoFormatId="0"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2781" connectionId="265" xr16:uid="{465051D1-7147-4B21-9FD6-E510969776DE}" autoFormatId="0"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2878" connectionId="639" xr16:uid="{D333C8FC-6422-421A-AA58-77D382DA5043}" autoFormatId="0"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994" connectionId="821" xr16:uid="{C90EC832-D932-4509-B644-577ED806EB7D}" autoFormatId="0"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2756" connectionId="64" xr16:uid="{C3287408-005A-44C1-AA7A-4FCEEC03F0A2}" autoFormatId="0"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2964" connectionId="659" xr16:uid="{F17EE310-902C-45B2-9DCC-8B5DADC948EB}" autoFormatId="0"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3112" connectionId="846" xr16:uid="{E9529939-D332-4B7B-85CA-13ECCBFCE3DB}" autoFormatId="0"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3001" connectionId="866" xr16:uid="{9722ABEF-9BF1-45C1-84CA-51DF6FD4B101}" autoFormatId="0"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2942" connectionId="641" xr16:uid="{264A3F6E-A2E3-4BBC-97CF-1B5E41BBA0F3}" autoFormatId="0"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3085" connectionId="645" xr16:uid="{E803568D-F997-4B51-A84E-933092726DC0}" autoFormatId="0"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3086" connectionId="408" xr16:uid="{057E1BDA-7131-4A6F-8D9A-7AEDDE50504F}" autoFormatId="0"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2772" connectionId="589" xr16:uid="{7C9D1559-6BC2-4B8E-AAF3-D37E6C1D9212}" autoFormatId="0"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3137" connectionId="274" xr16:uid="{78A8FEA4-B31B-4D5F-9C39-E3F22EB8CBD1}" autoFormatId="0"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2531" connectionId="810" xr16:uid="{296ACC6A-E268-4B32-B9DE-CBFB9F75D1A6}" autoFormatId="0"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2703" connectionId="170" xr16:uid="{28F0B76A-126B-4B7B-8068-79F44E863993}" autoFormatId="0"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2563" connectionId="30" xr16:uid="{47DF3207-59B1-4A09-99A6-10E4DA3A65D5}" autoFormatId="0"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3094" connectionId="254" xr16:uid="{300E937C-8EDB-4B47-AB5D-B27429B3D895}" autoFormatId="0"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2774" connectionId="677" xr16:uid="{8AC16B71-E8B0-48A8-B157-2E6F487B62F5}" autoFormatId="0"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3024" connectionId="270" xr16:uid="{D06D8932-C912-4216-B354-E76D20559A71}" autoFormatId="0"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2890" connectionId="835" xr16:uid="{630D14A3-068B-4E14-8946-C21A2CEB9B17}" autoFormatId="0"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2733" connectionId="277" xr16:uid="{1F2701EB-BC54-4A11-A7DD-A3E8F0E4C13C}" autoFormatId="0"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2634" connectionId="32" xr16:uid="{F0653666-E997-4CB4-82E1-81185B2889B4}" autoFormatId="0"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3056" connectionId="799" xr16:uid="{57C2583C-AABC-43AB-B324-47D94DAF767E}" autoFormatId="0"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2702" connectionId="707" xr16:uid="{3684B8A8-28EF-466C-AF14-954668D3DBFC}" autoFormatId="0"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3129" connectionId="848" xr16:uid="{A2E24619-FB2E-4A14-96C0-312FFE2D4322}" autoFormatId="0"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2883" connectionId="58" xr16:uid="{E395EC8F-6CA0-40CA-8E0E-626156E917EE}" autoFormatId="0"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3072" connectionId="653" xr16:uid="{CF4B0FC5-E25F-41F4-81C2-8D609D666BB3}" autoFormatId="0"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2559" connectionId="48" xr16:uid="{B9611A37-D46C-48EE-A101-53349F945757}" autoFormatId="0"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3163" connectionId="16" xr16:uid="{8FE7BBC7-093F-47E8-8AAA-8565CDF02F91}" autoFormatId="0"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3139" connectionId="514" xr16:uid="{2F31196F-F7FB-4A6B-BB45-5D9894F473FB}" autoFormatId="0"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2847" connectionId="602" xr16:uid="{6DB944CC-F6D8-4AD7-B440-460B63517999}" autoFormatId="0"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2637" connectionId="558" xr16:uid="{A8F55D4B-D38D-49D2-BE10-0CD661682AD8}" autoFormatId="0"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3034" connectionId="762" xr16:uid="{FA663E07-AEBE-41A7-902A-DC3AD74AC29C}" autoFormatId="0"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3104" connectionId="93" xr16:uid="{D805AD36-A02F-477E-B8D4-74EC4B9F1E3B}" autoFormatId="0"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2656" connectionId="185" xr16:uid="{9D60B470-CC92-47B6-98DA-47A2AFADA76B}" autoFormatId="0"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3004" connectionId="290" xr16:uid="{0CE1988E-0D36-4239-AB11-BECA1C56D50D}" autoFormatId="0"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2697" connectionId="637" xr16:uid="{B0CF5916-F4B3-426F-94B7-960A416F5F0F}" autoFormatId="0"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3125" connectionId="610" xr16:uid="{F1470BF1-1FA8-4061-A075-1A006EA558F5}" autoFormatId="0"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2778" connectionId="679" xr16:uid="{3A83E644-B122-4B4B-B432-A41765868CE3}" autoFormatId="0"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3059" connectionId="144" xr16:uid="{59AB6760-3399-4CB5-93AB-34F6DEF95745}" autoFormatId="0"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3013" connectionId="620" xr16:uid="{77EE9F55-E02E-4546-A311-CA19F597F521}" autoFormatId="0"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2943" connectionId="546" xr16:uid="{537FD166-D8DF-4632-8E4A-ACBBD95C203E}" autoFormatId="0"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2590" connectionId="415" xr16:uid="{393F6C4D-8253-492B-80C8-553446DE82EF}" autoFormatId="0"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3165" connectionId="194" xr16:uid="{5760F73D-E13F-41A3-A00F-A7A55999C315}" autoFormatId="0"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2568" connectionId="141" xr16:uid="{DF5CED8B-C5ED-4B5D-8D8B-F9248F5A5898}" autoFormatId="0"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3110" connectionId="622" xr16:uid="{762610D4-F388-4513-873A-B8890289BCF0}" autoFormatId="0"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2646" connectionId="511" xr16:uid="{3F83B4F0-B81E-41D8-AEEE-EC29F98B5ABF}" autoFormatId="0"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2973" connectionId="179" xr16:uid="{EA349E71-A4BA-4575-A4BD-B5C9A9825752}" autoFormatId="0"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12" connectionId="863" xr16:uid="{926A86C4-881C-4448-98BC-89BE263AFE71}" autoFormatId="0"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2694" connectionId="577" xr16:uid="{EA105AA5-1BBE-49FA-B3FD-B74184373EAD}" autoFormatId="0"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2633" connectionId="543" xr16:uid="{D11190D1-4284-4D59-A9A6-62B5C9559A50}" autoFormatId="0"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2970" connectionId="239" xr16:uid="{086B287F-228D-4CF7-801F-0B76FC47129B}" autoFormatId="0"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2817" connectionId="271" xr16:uid="{D668146A-7B53-4CDA-B8AA-9AEE23D7E151}" autoFormatId="0"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2687" connectionId="122" xr16:uid="{A0EC9A9C-C4C8-4FA6-A4E9-1BFD01C0BC1B}" autoFormatId="0"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2571" connectionId="854" xr16:uid="{4A18CA3F-2627-4AA3-8191-6233A79D9E52}" autoFormatId="0"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2776" connectionId="654" xr16:uid="{B6510ED6-BF0D-4ABC-B171-B8995A86FCFB}" autoFormatId="0"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2823" connectionId="869" xr16:uid="{E740F90B-1266-4298-812C-FA0C617EBD54}" autoFormatId="0"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3046" connectionId="530" xr16:uid="{95E41BE6-1553-4F4E-BDA0-8459272B998A}" autoFormatId="0"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2731" connectionId="607" xr16:uid="{A2B59D4C-A88A-4DEB-AAC8-BFD69DB5426E}" autoFormatId="0"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2681" connectionId="90" xr16:uid="{50402B5A-A34E-492B-90E0-6E1E24C0357F}" autoFormatId="0"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2539" connectionId="86" xr16:uid="{CFFFDEB2-1521-488C-AC33-70D17C204E0C}" autoFormatId="0"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3155" connectionId="243" xr16:uid="{33C6F098-E5B9-4BFA-9F3A-C10CD9B90E47}" autoFormatId="0"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3134" connectionId="774" xr16:uid="{5A5AE577-1DE3-4F93-96EA-02CA17A5B609}" autoFormatId="0"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156" connectionId="128" xr16:uid="{63B8165D-4013-4CBC-A222-112E9EC3BDE0}" autoFormatId="0"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9" connectionId="760" xr16:uid="{2AD94581-0F7B-40AE-87A0-AE88342E5268}" autoFormatId="0"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2523" connectionId="517" xr16:uid="{7C869C95-6729-426F-B52F-A4F26E108C17}" autoFormatId="0"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2549" connectionId="125" xr16:uid="{A45763FF-C1ED-43CA-8320-B14F4E676D85}" autoFormatId="0"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3018" connectionId="134" xr16:uid="{E8B6903F-F6CE-43D0-AE63-36A7466F1BE4}" autoFormatId="0"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2957" connectionId="169" xr16:uid="{4AA3C771-0CBF-4755-8F28-8E4F8452013F}" autoFormatId="0"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3099" connectionId="629" xr16:uid="{E53169F8-00EF-48B3-A36F-4832DBA2B8EA}" autoFormatId="0"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3017" connectionId="160" xr16:uid="{78EDCB59-93BF-4CEB-9F3A-3E1125DCFA52}" autoFormatId="0"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2639" connectionId="143" xr16:uid="{5594B206-DB53-412A-8C45-55C1EB42D970}" autoFormatId="0"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2566" connectionId="556" xr16:uid="{2881082F-1BD1-45D8-863A-C253CB539AE0}" autoFormatId="0"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3047" connectionId="226" xr16:uid="{A4C4A9B2-C89E-455D-B6C9-744B78DC534D}" autoFormatId="0"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3124" connectionId="214" xr16:uid="{70635B59-F9BA-47BE-BDEA-10E1DD6CEB53}" autoFormatId="0"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3100" connectionId="73" xr16:uid="{F5781963-2DEC-4EBB-A995-BC0939B288C8}" autoFormatId="0"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2990" connectionId="424" xr16:uid="{E7215C44-5461-4D0D-957A-04BD5D85A776}" autoFormatId="0"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3012" connectionId="440" xr16:uid="{67923FEC-8767-4A8A-85A4-024F694AFC05}" autoFormatId="0"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2758" connectionId="723" xr16:uid="{FB1101D6-24C2-4C7E-A559-C198B24C9BEF}" autoFormatId="0"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3048" connectionId="686" xr16:uid="{55A57B50-4AE7-4A32-ACE8-1F65E1C79F40}" autoFormatId="0"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2690" connectionId="632" xr16:uid="{D61BD73F-A7DD-4340-BA50-D5C168F9DF25}" autoFormatId="0"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3064" connectionId="795" xr16:uid="{C2E2C1C9-4308-439D-8740-0EB2862BF4E3}" autoFormatId="0"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2556" connectionId="486" xr16:uid="{311568C4-A365-4CDA-97F4-DADF3A5FAF00}" autoFormatId="0"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2629" connectionId="227" xr16:uid="{4D51DA39-E875-4811-AE7F-18C925B64FE6}" autoFormatId="0"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2519" connectionId="413" xr16:uid="{15069F4F-83B5-4200-AF2B-E5201CE4A5BF}" autoFormatId="0"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2596" connectionId="296" xr16:uid="{3B095861-E114-49D6-9C63-7457A596FE80}" autoFormatId="0"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2615" connectionId="193" xr16:uid="{9D366C43-B613-43F5-AFF2-D89C44D744F6}" autoFormatId="0"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3159" connectionId="150" xr16:uid="{F5D65A43-CCB7-4CA4-B46C-091EFC610DEF}" autoFormatId="0"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2800" connectionId="529" xr16:uid="{CC93C276-CD03-4943-8123-E743A19C0152}" autoFormatId="0"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2991" connectionId="734" xr16:uid="{0297EC22-7D56-423E-BCA9-55CD6F869ABB}" autoFormatId="0"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2591" connectionId="176" xr16:uid="{88DFD0B6-D2C8-4495-8C1D-8A2D80FD92C7}" autoFormatId="0"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2803" connectionId="816" xr16:uid="{914BBD2F-7D6C-4C54-BF98-8CCBB4A7FDE0}" autoFormatId="0"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2726" connectionId="457" xr16:uid="{C5058726-B128-47B0-8C67-E3580ADDD6F4}" autoFormatId="0"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2606" connectionId="306" xr16:uid="{23457A20-1D69-43C8-AFAE-C776451E323D}" autoFormatId="0"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2761" connectionId="423" xr16:uid="{0FB4E7E9-7A57-4C90-96B8-651CFBB82EC6}" autoFormatId="0"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3127" connectionId="18" xr16:uid="{66967E56-3D0B-46BC-B091-4245298AD3CF}" autoFormatId="0"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2573" connectionId="6" xr16:uid="{AAF0171D-C497-4C01-87CD-E7289C362CBF}" autoFormatId="0"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3009" connectionId="647" xr16:uid="{6D929420-651F-4226-8376-D270C4A1ECDC}" autoFormatId="0"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2899" connectionId="77" xr16:uid="{82C365C6-01D0-4F01-AAF8-DDFF33458FDC}" autoFormatId="0"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2833" connectionId="600" xr16:uid="{9A79E58F-F1FF-4AE9-B300-C4724B7A047B}" autoFormatId="0"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3000" connectionId="360" xr16:uid="{AC574C23-55F3-46F9-B110-FED4A5F7F2F7}" autoFormatId="0"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2768" connectionId="652" xr16:uid="{7940CB76-C3A7-47C1-9F65-89A39A83B3A1}" autoFormatId="0"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2759" connectionId="650" xr16:uid="{EB645432-03CE-4230-A4F4-3E56775AEBBF}" autoFormatId="0"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2555" connectionId="689" xr16:uid="{B8048DFA-B7E2-493A-8697-D1FF3A1687DE}" autoFormatId="0"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3140" connectionId="53" xr16:uid="{8029FA9F-860D-4A70-AC1E-11809DD2CB7F}" autoFormatId="0"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2975" connectionId="9" xr16:uid="{9D5C46E8-4A44-4BA6-8493-968F7D98085A}" autoFormatId="0"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2951" connectionId="89" xr16:uid="{133979A4-18ED-468A-B76D-E85448750C06}" autoFormatId="0"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1" connectionId="571" xr16:uid="{81827FE9-9F24-4E50-A5A8-FE703FE53802}" autoFormatId="0"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3041" connectionId="557" xr16:uid="{4BBD96C3-A757-459E-9AD9-21EFCA7EBAD2}" autoFormatId="0"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2787" connectionId="656" xr16:uid="{3DF4C6A4-FE15-48C8-A05E-742930B47DB4}" autoFormatId="0"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2873" connectionId="113" xr16:uid="{7C6E44B9-62BF-4C04-86BC-60798CA29DD2}" autoFormatId="0"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3128" connectionId="815" xr16:uid="{692E39E6-DDB9-4CA8-AC8E-A1DAA37DB580}" autoFormatId="0"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3087" connectionId="268" xr16:uid="{1C27386C-7EE9-4C91-9268-D5069917EFCA}" autoFormatId="0"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3078" connectionId="83" xr16:uid="{365D2FF8-3675-439C-B00A-C2FC9774C04D}" autoFormatId="0"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3154" connectionId="478" xr16:uid="{206DE598-24E7-48F1-AD3C-23BF5EE3EAC8}" autoFormatId="0"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2696" connectionId="246" xr16:uid="{4A58317A-80DF-4B60-B6A2-13C192C6F4A6}" autoFormatId="0"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2936" connectionId="651" xr16:uid="{D00D4546-4A27-49D5-875A-9E3B2B9BAD9F}" autoFormatId="0"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3039" connectionId="81" xr16:uid="{FD733A6C-F2AC-40A7-9249-F9E362D11AFC}" autoFormatId="0"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2924" connectionId="487" xr16:uid="{C0EF8BCA-C970-44C4-A696-F34C856DACD3}" autoFormatId="0"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2824" connectionId="849" xr16:uid="{37F623C5-5C44-4093-8973-C9CFDA719489}" autoFormatId="0"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3071" connectionId="704" xr16:uid="{38EF9FB4-857C-46D8-B393-237D989BC4ED}" autoFormatId="0"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3171" connectionId="365" xr16:uid="{CDFE7AE6-C45A-4E28-8A1F-760093A3C71A}" autoFormatId="0"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2894" connectionId="196" xr16:uid="{539B2E88-E45B-4479-85F6-4BA840FCB3F6}" autoFormatId="0"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2905" connectionId="544" xr16:uid="{3D1DC507-0E2B-4E27-B1B7-F22115C99237}" autoFormatId="0"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2667" connectionId="298" xr16:uid="{03432FE6-3BDD-4C46-964A-D01EE941A666}" autoFormatId="0"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3166" connectionId="316" xr16:uid="{8E79262C-2715-482C-A958-40B43685FC6F}" autoFormatId="0"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2785" connectionId="843" xr16:uid="{328050CA-5965-4DA8-B29B-AF7915A4AF11}" autoFormatId="0"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2689" connectionId="114" xr16:uid="{AD02E914-A636-46C3-953E-DAB02984A2DB}" autoFormatId="0"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2616" connectionId="120" xr16:uid="{A5B086C1-1BA9-4258-BE75-87F4DD6289BA}" autoFormatId="0"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2935" connectionId="446" xr16:uid="{69D66859-211A-4EDB-B967-D3E68B245A78}" autoFormatId="0"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3182" connectionId="528" xr16:uid="{4508B798-87F9-4C90-996B-C88CAC77C00F}" autoFormatId="0"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2674" connectionId="153" xr16:uid="{CB1A8F0B-3B9F-419C-B04E-893BA3638825}" autoFormatId="0"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3050" connectionId="726" xr16:uid="{222CCBF3-0B79-4A5C-B416-C1F378F84266}" autoFormatId="0"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3123" connectionId="868" xr16:uid="{7210F4B3-48A6-43EA-9C33-6A69A7D43FEA}" autoFormatId="0"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3029" connectionId="633" xr16:uid="{7955F69B-0032-4802-B616-7DDE03F68E50}" autoFormatId="0"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2735" connectionId="84" xr16:uid="{B34D21C4-599B-4B9D-9855-A38ED34A0A12}" autoFormatId="0"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2952" connectionId="212" xr16:uid="{AA4D6CC9-3BC2-477A-936F-E4F295E1CF9C}" autoFormatId="0"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3152" connectionId="655" xr16:uid="{04AFBF6C-0005-4496-B334-192DA4FB1B6A}" autoFormatId="0"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2542" connectionId="101" xr16:uid="{DD171589-21C3-4551-A9AA-160EE2C62D4D}" autoFormatId="0"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2966" connectionId="649" xr16:uid="{5C5BA5C1-7F63-4D62-9D0D-D22F137F546B}" autoFormatId="0"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2661" connectionId="417" xr16:uid="{02E12533-8BA4-40BA-BB19-1685BC36AECB}" autoFormatId="0"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6" connectionId="644" xr16:uid="{4E2BD88D-32C4-4DF2-851D-A527CDF3D6F0}" autoFormatId="0"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2584" connectionId="453" xr16:uid="{8019EED3-822F-477D-A5FB-CFB254CAC248}" autoFormatId="0"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3157" connectionId="200" xr16:uid="{8559CEBC-DFC3-46D9-8F3C-F77C5C911106}" autoFormatId="0"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2532" connectionId="149" xr16:uid="{6371908E-4197-4BF3-9452-EF2D8ACAEDF6}" autoFormatId="0"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2893" connectionId="676" xr16:uid="{C6633B6A-BFB6-4444-AE4D-704DCB1C50C4}" autoFormatId="0"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2954" connectionId="501" xr16:uid="{608A69A5-13D6-43EA-A7CE-E06482F727B0}" autoFormatId="0"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2885" connectionId="590" xr16:uid="{42FF4BD0-3344-4CC1-AAC4-AC345F17CD64}" autoFormatId="0"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2901" connectionId="540" xr16:uid="{C4AC6498-1320-4A5F-ADD7-34CCFA87546C}" autoFormatId="0"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2732" connectionId="82" xr16:uid="{0EC6533D-FD3D-480B-9BE0-091029A55FDF}" autoFormatId="0"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2842" connectionId="851" xr16:uid="{D3A28E8B-B3F0-4E75-AB03-742D5275483F}" autoFormatId="0"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3049" connectionId="49" xr16:uid="{F01C59A0-7D1D-4906-AB91-4F751CC32589}" autoFormatId="0"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2635" connectionId="348" xr16:uid="{24671B60-846C-4C0A-9D41-1B519A103A41}" autoFormatId="0"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2740" connectionId="537" xr16:uid="{65ADCBEB-1C6D-4B5B-B6A0-5D78FBDA1B5A}" autoFormatId="0"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2816" connectionId="818" xr16:uid="{C7B4C69C-1094-4FD9-B02B-2FFFD65844CA}" autoFormatId="0"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3061" connectionId="71" xr16:uid="{C840272E-2504-48E5-85EF-18529D659EFC}" autoFormatId="0"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2708" connectionId="560" xr16:uid="{86EF8E90-DE37-4DB8-B5E2-3A78858349A5}" autoFormatId="0"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2572" connectionId="355" xr16:uid="{8F584D40-4573-44FF-95BD-1E108B020D3D}" autoFormatId="0"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3035" connectionId="154" xr16:uid="{9C376744-98DF-4B74-9009-5AFD681BB4BE}" autoFormatId="0"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3106" connectionId="418" xr16:uid="{84A20547-E1DE-4B8D-A0BD-2B315432A34D}" autoFormatId="0"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2983" connectionId="550" xr16:uid="{8ACA886C-E719-41DD-B776-37D48A20622C}" autoFormatId="0"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2660" connectionId="613" xr16:uid="{7FD0F6A3-45A1-4C04-AADA-9C8DABD1651F}" autoFormatId="0"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2931" connectionId="305" xr16:uid="{278E7B2C-A779-4087-8FD6-330819A3826C}" autoFormatId="0"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2737" connectionId="279" xr16:uid="{2E8EE68C-7690-4B19-B425-BC7BBB805388}" autoFormatId="0"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2955" connectionId="152" xr16:uid="{88C88FB4-1CE9-4CF8-A1B9-F89C2765938E}" autoFormatId="0"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2960" connectionId="322" xr16:uid="{E525007C-AB53-4F03-A380-E0BEE6208C7E}" autoFormatId="0"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3161" connectionId="578" xr16:uid="{5F070B49-288C-4E7F-9282-642C8CBEC9E5}" autoFormatId="0"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3080" connectionId="576" xr16:uid="{DFF349A4-68FE-44D0-9460-210DEE00DDFE}" autoFormatId="0"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3102" connectionId="582" xr16:uid="{9F25FFBF-3789-44D9-BFE4-F320B448DF12}" autoFormatId="0"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2813" connectionId="531" xr16:uid="{D971F56E-E56B-473B-A347-FC7DB23629F2}" autoFormatId="0"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2845" connectionId="763" xr16:uid="{9773DD9E-BE66-460F-B630-2D3B6BEC1E0B}" autoFormatId="0"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3011" connectionId="548" xr16:uid="{FAB7A318-641B-4F24-BB49-7F5E205B4C3C}" autoFormatId="0"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3183" connectionId="130" xr16:uid="{E3FA8695-7BC0-4498-8583-549AAE54ED20}" autoFormatId="0"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3126" connectionId="307" xr16:uid="{1E2DF578-690B-46E5-8B6E-0072ABEE6A9A}" autoFormatId="0"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2922" connectionId="371" xr16:uid="{1CD495D6-4AE5-447D-A1CB-DDF4BEECAD1D}" autoFormatId="0"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2613" connectionId="103" xr16:uid="{A0B36A6C-DD39-4451-9A2F-8394D2C48583}" autoFormatId="0"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2810" connectionId="847" xr16:uid="{E4BF3DBC-8CE5-418B-9344-9D7CA10DDC23}" autoFormatId="0"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2560" connectionId="703" xr16:uid="{6D02338D-C6C0-4E29-8969-94E36EE4E470}" autoFormatId="0"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2579" connectionId="751" xr16:uid="{F1132564-5AF5-48DC-97EF-FF258ECAA96A}" autoFormatId="0"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14" connectionId="43" xr16:uid="{91C74071-7603-489E-A8F8-DE40A6776FD6}" autoFormatId="0"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2836" connectionId="59" xr16:uid="{97ACBD8C-0605-4668-869F-4C9B8435AC40}" autoFormatId="0"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2727" connectionId="187" xr16:uid="{BEA4D6C2-45CD-4056-B96A-D6BA7705DEDA}" autoFormatId="0"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2669" connectionId="492" xr16:uid="{D3149C3B-C492-498B-B8DC-14859F2E94DC}" autoFormatId="0"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2771" connectionId="263" xr16:uid="{EB21EE01-40B4-48E5-96E7-ED98A2244543}" autoFormatId="0"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2779" connectionId="397" xr16:uid="{4875ADE2-5BF0-48B7-9804-4B4D2A64190C}" autoFormatId="0"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2586" connectionId="199" xr16:uid="{29FF3CEF-9477-4527-83E0-B4184E035B00}" autoFormatId="0"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3142" connectionId="754" xr16:uid="{DAF96A70-4A93-4A75-A12A-EF033B9F345A}" autoFormatId="0"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73" connectionId="579" xr16:uid="{5DBC51C0-EBF2-4652-8EEE-57CF36FC6F4B}" autoFormatId="0"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3089" connectionId="330" xr16:uid="{25ACB23A-9252-43B3-A5F0-9D76451F1E7E}" autoFormatId="0"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2763" connectionId="587" xr16:uid="{80CC19D3-DCAB-481E-A383-283F3F75B691}" autoFormatId="0"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3180" connectionId="745" xr16:uid="{81E4E718-4C92-40F7-B30C-65718BD56EE6}" autoFormatId="0"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2892" connectionId="616" xr16:uid="{3A81C16F-D37F-4ECA-AEC9-3C4C88EA0A7A}" autoFormatId="0"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2854" connectionId="522" xr16:uid="{2B9F24D1-5460-4589-ACFB-6B3F743D337C}" autoFormatId="0"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2828" connectionId="687" xr16:uid="{FCFFE23E-43FD-453B-9669-A6D7E7B681EF}" autoFormatId="0"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2962" connectionId="309" xr16:uid="{91A41F38-A4A8-45EB-91A7-1F0179D96B7A}" autoFormatId="0"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2937" connectionId="356" xr16:uid="{01345E4C-3F2C-4141-8E56-68009DBC381D}" autoFormatId="0"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2755" connectionId="585" xr16:uid="{77E2D61B-0684-4A7B-A422-7A4648344ADC}" autoFormatId="0"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2807" connectionId="737" xr16:uid="{30321BFC-EEA2-4E32-B491-86000883E1D6}" autoFormatId="0"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2534" connectionId="465" xr16:uid="{3878A8C2-3368-4A55-8F60-EA3AAED38363}" autoFormatId="0"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3158" connectionId="33" xr16:uid="{3FD3665F-F931-4616-AE4C-049563488187}" autoFormatId="0"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2611" connectionId="315" xr16:uid="{6D5DF3E4-922A-455F-B051-526EC47EE957}" autoFormatId="0"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2728" connectionId="203" xr16:uid="{4F7FC5D7-23ED-419A-A8F4-26E2C4BB69B3}" autoFormatId="0"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2723" connectionId="569" xr16:uid="{C889AC46-0DC2-45A2-BE91-9318BA734273}" autoFormatId="0"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2829" connectionId="405" xr16:uid="{D4125393-C904-45BC-88C4-D0C600BDFB74}" autoFormatId="0"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2820" connectionId="717" xr16:uid="{B9E186F4-1B68-4A39-8EF4-6AF3AE3DA468}" autoFormatId="0"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2926" connectionId="412" xr16:uid="{65A677E7-CBF4-458B-9D55-34AC8066F177}" autoFormatId="0"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3177" connectionId="292" xr16:uid="{E8A6BCD4-E4BC-4A61-8515-0C141E890E42}" autoFormatId="0"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2717" connectionId="513" xr16:uid="{D9BB6D08-F176-4E33-BDB8-CA32B4200AB6}" autoFormatId="0"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2651" connectionId="834" xr16:uid="{48814411-FE98-4842-B2D9-CC0C1EFDC730}" autoFormatId="0"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2730" connectionId="593" xr16:uid="{8989C65D-8BC4-4371-A197-164829258C2B}" autoFormatId="0"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2693" connectionId="469" xr16:uid="{AE93C94E-5909-4F7B-BED6-C1D9E7E4E00E}" autoFormatId="0"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3176" connectionId="575" xr16:uid="{3168DCB0-0075-4C73-AC32-617F7AA9B228}" autoFormatId="0"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2704" connectionId="545" xr16:uid="{425B4ADE-BC76-42CE-B9A2-34F8D6653D49}" autoFormatId="0"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3015" connectionId="588" xr16:uid="{CD38A153-6AFC-4915-8109-CF951EBA822E}" autoFormatId="0"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2950" connectionId="772" xr16:uid="{E763A3B8-9A45-4EE9-BC69-942F45872ED9}" autoFormatId="0"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2644" connectionId="8" xr16:uid="{38B416CC-76DC-4E76-97F6-DB6FCCE6E61E}" autoFormatId="0"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2666" connectionId="504" xr16:uid="{9BD079B3-B40B-44AA-ADD1-335306541B3F}" autoFormatId="0"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2706" connectionId="350" xr16:uid="{B1217396-5667-4FDD-8F62-C9878A9741E9}" autoFormatId="0"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2707" connectionId="213" xr16:uid="{7CBB9557-E7B0-4D14-980C-59D78E0815B2}" autoFormatId="0"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2688" connectionId="439" xr16:uid="{CF13F708-96FC-42F2-A6FE-6E4F99A38CB4}" autoFormatId="0"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2985" connectionId="505" xr16:uid="{7B970C08-4FF4-423B-8143-BEFB7CCCC6E3}" autoFormatId="0"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2993" connectionId="146" xr16:uid="{720EBDE4-C24B-402A-B2B2-27602438ACC6}" autoFormatId="0"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2650" connectionId="753" xr16:uid="{CA8406BC-3091-4B12-B7A6-B532BF7E06C8}" autoFormatId="0"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2852" connectionId="111" xr16:uid="{B23AB0F7-744A-4D33-8D55-BDD1134B33ED}" autoFormatId="0"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2589" connectionId="611" xr16:uid="{4B5470CE-5E36-46B2-9EB0-8E97E97C479A}" autoFormatId="0"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2609" connectionId="339" xr16:uid="{D88548CB-B4C9-4BFD-9CE7-E74E4117239A}" autoFormatId="0"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2766" connectionId="765" xr16:uid="{0DF89FEC-2F3D-4B2B-95A9-00FB82DD003A}" autoFormatId="0"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2765" connectionId="675" xr16:uid="{C9B53FDB-14D9-4A81-BB48-B5DD1C31EA5B}" autoFormatId="0"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2535" connectionId="304" xr16:uid="{727BE2BB-7FCB-46AC-AB9E-68508A586FF2}" autoFormatId="0"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2612" connectionId="786" xr16:uid="{C0E234CC-D822-4E6C-9F71-0BBA7873A747}" autoFormatId="0"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2602" connectionId="812" xr16:uid="{EF08FE11-85A5-4A88-BDDA-44DFD4755C20}" autoFormatId="0"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3179" connectionId="708" xr16:uid="{B6683FF5-A438-4C54-A681-3B2F3508B477}" autoFormatId="0"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3042" connectionId="262" xr16:uid="{414E472B-47BE-4684-84B2-4C57E4F7098F}" autoFormatId="0"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3178" connectionId="805" xr16:uid="{99294A75-3D18-45E2-95C1-607A4A0997E4}" autoFormatId="0"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3079" connectionId="586" xr16:uid="{F538F781-DF34-4097-B53B-57F068673772}" autoFormatId="0"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2863" connectionId="580" xr16:uid="{B82EAA7E-39DD-41DA-959F-EAC59607C5C7}" autoFormatId="0"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2958" connectionId="367" xr16:uid="{4918CABE-39E8-4CB2-9404-4A7CF03C32AC}" autoFormatId="0"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2695" connectionId="798" xr16:uid="{683EE8F8-816A-45A9-B8FF-7A096658A420}" autoFormatId="0"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2977" connectionId="87" xr16:uid="{7D16EA11-C9BA-4401-8CF9-12F5ED4DB092}" autoFormatId="0"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2713" connectionId="872" xr16:uid="{33222CA8-BB53-4013-BBE6-DC4786F96A92}" autoFormatId="0"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2982" connectionId="684" xr16:uid="{F19DA7FE-5C87-4D48-9510-E2CFEA752D84}" autoFormatId="0"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2638" connectionId="445" xr16:uid="{76C51BD2-329C-4969-A789-123F03A4B068}" autoFormatId="0"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3073" connectionId="256" xr16:uid="{591A2716-1EC8-4835-9BF1-E51265852FC3}" autoFormatId="0"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72" connectionId="861" xr16:uid="{D8798802-8477-4376-9CC8-5EB67832EC43}" autoFormatId="0"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2988" connectionId="35" xr16:uid="{54CCA456-6FFA-4FE6-988E-AED6EEEB5B77}" autoFormatId="0"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2522" connectionId="217" xr16:uid="{5FB7B44E-31E2-4949-8FFD-B95F2E78CCF5}" autoFormatId="0"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3160" connectionId="358" xr16:uid="{CDF8A042-33BC-4CF1-B1DE-0684BB35F96F}" autoFormatId="0"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71" connectionId="665" xr16:uid="{5E4EF848-7A7F-43ED-A642-1B3937223272}" autoFormatId="0"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3051" connectionId="340" xr16:uid="{910CD2CC-BAB0-432E-A890-2F7C8F92EEF4}" autoFormatId="0"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2684" connectionId="105" xr16:uid="{D12AAE36-7A3A-45FB-96A7-0CDAE29629A5}" autoFormatId="0"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3022" connectionId="829" xr16:uid="{5074896B-5B79-4500-A121-470D96176023}" autoFormatId="0"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3083" connectionId="624" xr16:uid="{7839762A-6162-49A7-BEED-24BD1C99107B}" autoFormatId="0"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2716" connectionId="382" xr16:uid="{971034EC-D92C-493A-AD76-7A5B59E5349C}" autoFormatId="0"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2809" connectionId="867" xr16:uid="{C9B08072-7D81-492B-9A78-7C8BEDC30A93}" autoFormatId="0"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2840" connectionId="804" xr16:uid="{2DF5E311-F134-45F2-A0FC-2F9308208C36}" autoFormatId="0"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2769" connectionId="551" xr16:uid="{70B4C4DE-7715-4F47-9361-4E70CF38D0E7}" autoFormatId="0"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2856" connectionId="438" xr16:uid="{5452E6B0-A003-47AF-BE3B-4701E133FCC6}" autoFormatId="0"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2945" connectionId="432" xr16:uid="{756FD302-FA9C-44A2-A5AB-ED5B359CCEAF}" autoFormatId="0"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2718" connectionId="623" xr16:uid="{191EFA19-0BB1-4DB3-A20D-4AB992C76E3F}" autoFormatId="0"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2655" connectionId="455" xr16:uid="{64586D79-FAF0-4E85-BA6E-201A18C0CE6F}" autoFormatId="0"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2843" connectionId="36" xr16:uid="{094CEDE6-88E6-4395-A49B-7D7A8E6FED63}" autoFormatId="0"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3090" connectionId="142" xr16:uid="{45DEB5C9-BA5D-476A-80B1-BBD5D97F99DA}" autoFormatId="0"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3131" connectionId="218" xr16:uid="{B942E853-1330-4C32-9D52-D8B18954A3E1}" autoFormatId="0"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2545" connectionId="118" xr16:uid="{D6857C76-73A0-468F-BA5D-D2C83AC31501}" autoFormatId="0"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3167" connectionId="480" xr16:uid="{DF386B97-1B98-45FE-A71F-15B7B486B2F6}" autoFormatId="0"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2837" connectionId="47" xr16:uid="{587707EC-D456-4EFC-9BB1-D022B0750304}" autoFormatId="0"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2822" connectionId="28" xr16:uid="{D3F11084-5473-4041-951B-EE2E992ECD2B}" autoFormatId="0"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3146" connectionId="280" xr16:uid="{FD4EF8A2-C65D-4577-B0F6-3578B28B1D09}" autoFormatId="0"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2526" connectionId="370" xr16:uid="{72134D89-87A6-42C1-A5AC-DDCCD5793DD2}" autoFormatId="0"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3006" connectionId="85" xr16:uid="{7E9C453B-71CB-4904-B76E-0FED7A017C83}" autoFormatId="0"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2599" connectionId="771" xr16:uid="{4FC09AFD-DFDE-407B-B081-72DE8658F648}" autoFormatId="0"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3151" connectionId="570" xr16:uid="{AD76E1E6-1F79-408B-84E4-37CE1277C036}" autoFormatId="0"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2946" connectionId="202" xr16:uid="{35EE2062-5403-47CF-A163-C6F6809CC2F8}" autoFormatId="0"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2884" connectionId="724" xr16:uid="{8DCF08B6-4FD5-43CF-BB4F-47B1E0B9130E}" autoFormatId="0"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2521" connectionId="253" xr16:uid="{80BFC6E9-9A75-4627-9CE4-DD544015608D}" autoFormatId="0"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2783" connectionId="591" xr16:uid="{74B0CBEA-549E-4270-B260-2D682624F36B}" autoFormatId="0"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2658" connectionId="742" xr16:uid="{4B9CF288-00F7-43A9-86E9-C67C590E9F24}" autoFormatId="0"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2862" connectionId="436" xr16:uid="{704AFF04-C1BF-4D09-A0B3-8B2FC0AF6BD3}" autoFormatId="0"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2614" connectionId="729" xr16:uid="{E947E349-3626-48E5-A2CE-0A29B536EEE0}" autoFormatId="0"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2600" connectionId="331" xr16:uid="{8E74876D-2F37-4F16-836A-BAE73FECF199}" autoFormatId="0"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2741" connectionId="411" xr16:uid="{79895DC3-5728-4E86-A38B-AA55BE45728A}" autoFormatId="0"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3084" connectionId="827" xr16:uid="{7885BCE0-4224-4491-8626-A0E6D5C06966}" autoFormatId="0"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3008" connectionId="612" xr16:uid="{C842B798-026B-4A91-AC05-2B97893D8EF6}" autoFormatId="0"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2533" connectionId="427" xr16:uid="{B5224540-46B2-42F9-94DC-4F9E7945242A}" autoFormatId="0"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2773" connectionId="68" xr16:uid="{A3CBA055-7042-445C-B643-92FE3517FBDE}" autoFormatId="0"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3096" connectionId="690" xr16:uid="{8FC25CD5-4D04-45AC-B5B1-7C7B5CA6FF3B}" autoFormatId="0"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2652" connectionId="567" xr16:uid="{ACC05E0E-8FD0-4EE1-B037-A90CF4D5D54B}" autoFormatId="0"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8" connectionId="716" xr16:uid="{A1135254-53C7-4BE2-8301-7C1DCE8771CE}" autoFormatId="0"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3037" connectionId="532" xr16:uid="{5141E85C-CC42-4FC8-90B0-068F66444858}" autoFormatId="0"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2550" connectionId="133" xr16:uid="{38F33CD0-6E08-4394-A34F-20C5741DBDEC}" autoFormatId="0"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3057" connectionId="458" xr16:uid="{61EA6284-1150-46C9-BCEE-4D6D16C3E8A0}" autoFormatId="0"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3136" connectionId="416" xr16:uid="{B23FCE8F-0345-48D5-9E92-20AF4A41551C}" autoFormatId="0"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2750" connectionId="646" xr16:uid="{46CE074C-2170-4537-A8BB-E79F3703625D}" autoFormatId="0"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2598" connectionId="488" xr16:uid="{99AB8701-11F0-4771-B080-CC760A39210A}" autoFormatId="0"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2664" connectionId="221" xr16:uid="{371C3D11-5480-465A-892D-69C3283DFD79}" autoFormatId="0"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2580" connectionId="832" xr16:uid="{906EE86D-B4F8-42D7-BD32-8ABADF6E1E0F}" autoFormatId="0"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2680" connectionId="341" xr16:uid="{59B8A84D-9125-466E-94A5-BC3A629D2163}" autoFormatId="0"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2835" connectionId="535" xr16:uid="{8E6163AE-F9D0-427D-92B3-0ABCED3DA263}" autoFormatId="0"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2831" connectionId="273" xr16:uid="{3082CAB1-B969-4325-A194-F0D92968F3A0}" autoFormatId="0"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3162" connectionId="167" xr16:uid="{27ED619A-EDA9-4F3F-8F51-B857A25091FF}" autoFormatId="0"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2947" connectionId="857" xr16:uid="{B5464246-F75B-484A-A6CC-7B976D1C3F6E}" autoFormatId="0"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2553" connectionId="794" xr16:uid="{D0950999-AD07-48C3-9D1B-7AA4F85A0332}" autoFormatId="0"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3074" connectionId="559" xr16:uid="{73B5F372-2AD6-46AC-953E-1F1F8DB0A3CF}" autoFormatId="0"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2564" connectionId="346" xr16:uid="{BC4419C7-E204-4A51-AF5F-2105BEE6630B}" autoFormatId="0"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2866" connectionId="102" xr16:uid="{8C79F87D-76B3-4BFF-85B2-BDFA5C3912F1}" autoFormatId="0"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2734" connectionId="615" xr16:uid="{F7E7834C-9DAE-40B8-A1E9-5D5C90F67397}" autoFormatId="0"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2540" connectionId="313" xr16:uid="{DFDFC4AC-8E31-4D24-9A7D-E0EB25605BDF}" autoFormatId="0"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3117" connectionId="842" xr16:uid="{0F0B7E61-92BF-47FF-928F-793F3FA58178}" autoFormatId="0"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2624" connectionId="796" xr16:uid="{315C70F0-4695-4D8A-B128-AE3C11584965}" autoFormatId="0"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3003" connectionId="381" xr16:uid="{3C2E8D60-2D63-4D58-B355-E080E0F412B3}" autoFormatId="0"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2636" connectionId="211" xr16:uid="{5FA92B50-1C19-4565-96AA-76D8394F8755}" autoFormatId="0"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3135" connectionId="668" xr16:uid="{946BB49E-D059-41D6-8EF8-0E4AF48CD42E}" autoFormatId="0"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2891" connectionId="414" xr16:uid="{2B487C0D-0FB7-4F16-B17E-E4D21C3B05AF}" autoFormatId="0"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2701" connectionId="52" xr16:uid="{91B97141-C1F5-48FD-A9FF-1A40024D9581}" autoFormatId="0"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2941" connectionId="383" xr16:uid="{DD2E1906-34C6-4D8B-AD45-AE17E1A6AA67}" autoFormatId="0"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2537" connectionId="362" xr16:uid="{182A8F91-9434-4D88-8F19-096B3CF6432D}" autoFormatId="0"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3033" connectionId="324" xr16:uid="{60C338DB-E430-414C-B728-D1F3D69227B5}" autoFormatId="0"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3138" connectionId="462" xr16:uid="{308D0009-38E6-4E1C-BDEB-5E4DCCA001C5}" autoFormatId="0"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3114" connectionId="456" xr16:uid="{B71D810D-184E-42D4-976B-2F1F705A5A17}" autoFormatId="0"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2874" connectionId="817" xr16:uid="{3866382A-90E1-4681-B872-C9842EF9C2A3}" autoFormatId="0"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3147" connectionId="420" xr16:uid="{06260A6A-9C9F-4DC3-A484-0E7DD6C9035D}" autoFormatId="0"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2712" connectionId="700" xr16:uid="{DB63CD5C-E5A4-4163-986E-DB3E53CD0236}" autoFormatId="0"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2868" connectionId="245" xr16:uid="{70953BD8-F410-4E67-9095-57CD91BA8D0E}" autoFormatId="0"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3077" connectionId="406" xr16:uid="{A41ED3D1-3E1B-4021-844A-6D98E08A74F7}" autoFormatId="0"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3184" connectionId="573" xr16:uid="{8300C091-9EA7-4FB8-88B4-CCFD21B0339D}" autoFormatId="0"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3092" connectionId="844" xr16:uid="{C654118F-D561-4605-9C20-743FA7F36058}" autoFormatId="0"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2760" connectionId="549" xr16:uid="{D8B47FAF-E27D-4B6D-AF47-3450868FF545}" autoFormatId="0"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2675" connectionId="431" xr16:uid="{0248F981-DF98-42A6-88D3-F24A49743F2C}" autoFormatId="0"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2724" connectionId="161" xr16:uid="{E4756715-5538-42AF-9835-4ABF44562A73}" autoFormatId="0"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2547" connectionId="110" xr16:uid="{5A2025D5-6BE1-4A80-958E-858BA6D29DC5}" autoFormatId="0"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3103" connectionId="797" xr16:uid="{455FDC24-BC91-42F4-904E-4F56ED420E68}" autoFormatId="0"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2859" connectionId="636" xr16:uid="{1E6E249D-3F78-4402-A109-B6A1AB76A08C}" autoFormatId="0"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2980" connectionId="247" xr16:uid="{718C65CC-DFCB-4DF1-A2C7-6437E087BFEF}" autoFormatId="0"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2795" connectionId="735" xr16:uid="{98023E2C-A54D-45B7-9C29-8DF0CECD572B}" autoFormatId="0"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2641" connectionId="698" xr16:uid="{6F52CB50-14E9-4291-BCE7-2BC5A8C42F8A}" autoFormatId="0"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3141" connectionId="454" xr16:uid="{4D9B7F34-4A87-4BB4-B4F2-2D7CEB8762D0}" autoFormatId="0"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3111" connectionId="27" xr16:uid="{904B7C35-B1CA-4F1B-BBBA-9D7B0D359229}" autoFormatId="0"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2861" connectionId="566" xr16:uid="{3E141FF1-A3A3-41B5-90F9-203D866F6013}" autoFormatId="0"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3045" connectionId="282" xr16:uid="{807FB292-894C-4A16-8162-88F82E8F86AF}" autoFormatId="0"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2541" connectionId="784" xr16:uid="{BDF82189-3E4C-4523-B006-1CCAF1B8FF3B}" autoFormatId="0"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2738" connectionId="617" xr16:uid="{AC40293F-E490-46EE-BBAC-9C75F9B45762}" autoFormatId="0"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3021" connectionId="351" xr16:uid="{2C965B0A-9801-4665-A430-48ED541AE779}" autoFormatId="0"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3069" connectionId="95" xr16:uid="{31848153-523B-4CAA-B907-87A2ECDBDFC9}" autoFormatId="0"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2928" connectionId="520" xr16:uid="{4C79C80E-9CAE-45E7-AF84-100FF5679581}" autoFormatId="0"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2753" connectionId="421" xr16:uid="{0EDFC1D9-2F9B-4C96-8335-50EC6F8BD1AA}" autoFormatId="0"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2948" connectionId="809" xr16:uid="{02307D4B-7A20-4D6B-B922-A9766701C2C6}" autoFormatId="0"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2834" connectionId="719" xr16:uid="{C29218B7-4FFC-44CD-B8FF-33A6B384DC9F}" autoFormatId="0"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3122" connectionId="787" xr16:uid="{3FB2A639-2871-4E1B-A3AF-08F5791B4526}" autoFormatId="0"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032" connectionId="770" xr16:uid="{72FA161B-96A1-481B-B59C-C235FB870DD8}" autoFormatId="0"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2792" connectionId="267" xr16:uid="{C0FC93D6-AC79-40D0-B83A-9EE9B3AD1416}" autoFormatId="0"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3172" connectionId="778" xr16:uid="{745073D6-7B0B-4BD8-872A-CAAE4BAD7253}" autoFormatId="0"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2825" connectionId="78" xr16:uid="{253D4585-452E-4D94-B444-BEF74BC415F8}" autoFormatId="0"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4" connectionId="394" xr16:uid="{C1CF6A52-607C-4BE0-A5FC-26D7E2E8D1F1}" autoFormatId="0"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2721" connectionId="755" xr16:uid="{70F29601-E995-4912-B9D3-61E5B860DBB2}" autoFormatId="0"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2826" connectionId="640" xr16:uid="{665146D0-DB82-4FAB-A0FA-EA30AC19C300}" autoFormatId="0"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3174" connectionId="491" xr16:uid="{1A2EAE1A-D248-45C4-A9FE-F545DDCF33FB}" autoFormatId="0"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3014" connectionId="482" xr16:uid="{FE19D388-FC76-4F9D-A89B-285301AB310E}" autoFormatId="0"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3002" connectionId="119" xr16:uid="{D733E37D-F044-43F7-BEB9-5D99DFE2A26D}" autoFormatId="0"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2662" connectionId="178" xr16:uid="{45814F8D-1E75-4DFA-B6FF-12721EB4882B}" autoFormatId="0"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2739" connectionId="92" xr16:uid="{C58C2C1D-395C-4564-979B-0AF7E84FCA5A}" autoFormatId="0"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2607" connectionId="388" xr16:uid="{8D8A8174-3ED9-4443-B966-0A82662463A7}" autoFormatId="0"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2798" connectionId="74" xr16:uid="{5665854C-9905-4C1D-9D59-3CB8AE231EFB}" autoFormatId="0"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2855" connectionId="670" xr16:uid="{72229804-092E-4EEA-B20A-1C7E1E3563BC}" autoFormatId="0"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2838" connectionId="275" xr16:uid="{55B033B0-2C0C-4D60-A7DA-4584CDAB84F8}" autoFormatId="0"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2686" connectionId="195" xr16:uid="{B8F364FF-66EC-44CA-AA63-FFE2A0B98326}" autoFormatId="0"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2967" connectionId="46" xr16:uid="{19D7151B-6EB7-43FB-AFD4-77A304BABA8B}" autoFormatId="0"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3116" connectionId="489" xr16:uid="{DF56EA48-8C12-406B-9D9F-AA08E705285D}" autoFormatId="0"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3101" connectionId="11" xr16:uid="{43C3E0AE-39AD-449C-AE5C-A61F2CB7459B}" autoFormatId="0"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2643" connectionId="357" xr16:uid="{4504292D-1504-44B5-ABB5-5324DFB9B960}" autoFormatId="0"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3173" connectionId="204" xr16:uid="{AFF66AC3-3D8B-4792-BB16-4685D72EA02B}" autoFormatId="0"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3132" connectionId="536" xr16:uid="{D53E2476-664A-490C-B6A6-907B91EC4CE0}" autoFormatId="0"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2895" connectionId="780" xr16:uid="{DBCA0821-3327-4007-9D3F-850C7BF05238}" autoFormatId="0"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2912" connectionId="299" xr16:uid="{D712600C-2F19-4042-BD46-C877FA69E3A0}" autoFormatId="0"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2748" connectionId="583" xr16:uid="{2159CF1B-2853-4FD7-9807-65D7F947D616}" autoFormatId="0"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2939" connectionId="222" xr16:uid="{D3D9064E-C3A8-4BB7-95DA-C48ED2F9FD3C}" autoFormatId="0"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2930" connectionId="387" xr16:uid="{C24B9021-E1D3-4BC8-8B74-3B15E5933C4D}" autoFormatId="0"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3153" connectionId="444" xr16:uid="{6DFA3F59-31DF-4ADC-973F-9E2FEAA073FE}" autoFormatId="0"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2923" connectionId="674" xr16:uid="{49055B58-3BCA-4D6D-885A-953FC76330C5}" autoFormatId="0"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ExternalData_2742" connectionId="287" xr16:uid="{5493E20D-2043-4600-8305-482E24D5B710}" autoFormatId="0"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ExternalData_2789" connectionId="681" xr16:uid="{EFBE545E-5264-42BD-A3CC-512533D3AB22}" autoFormatId="0"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ExternalData_2972" connectionId="347" xr16:uid="{70E361DF-FD72-4B28-816E-4BC7BA54B918}" autoFormatId="0"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ExternalData_3095" connectionId="51" xr16:uid="{A1FDCA5C-817F-473C-A78F-B3A5DE092B1D}" autoFormatId="0"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ExternalData_2538" connectionId="337" xr16:uid="{EAA55135-ED32-44B9-BE67-55549A24277C}" autoFormatId="0"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ExternalData_2649" connectionId="17" xr16:uid="{DC1AC36E-BD9C-4688-808A-5F1339AA9C36}" autoFormatId="0"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ExternalData_2565" connectionId="209" xr16:uid="{31535FD6-2AC4-407C-BC69-129029A828BA}" autoFormatId="0"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ExternalData_16" connectionId="100" xr16:uid="{3455D086-C198-4CD8-AFD8-0ACF6B0308B3}" autoFormatId="0"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ExternalData_2715" connectionId="10" xr16:uid="{47A492B7-AB9B-4DE5-A496-5EE66ED66983}" autoFormatId="0"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ExternalData_2678" connectionId="390" xr16:uid="{3927ABBD-7A3F-4CAD-AE9F-22F614D9D9D7}" autoFormatId="0"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ExternalData_2968" connectionId="466" xr16:uid="{498CC37F-D27E-471D-B351-6AE6F7191BE6}" autoFormatId="0"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ExternalData_2543" connectionId="727" xr16:uid="{8B67A94D-82BF-4C11-9348-24CB0E49BB42}" autoFormatId="0"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ExternalData_2827" connectionId="533" xr16:uid="{ECD7A20E-1C4D-42B6-B490-D505F2802BEC}" autoFormatId="0"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ExternalData_2747" connectionId="289" xr16:uid="{4EDD5C34-1B6A-45FB-A71B-58289CAE5122}" autoFormatId="0"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ExternalData_2786" connectionId="72" xr16:uid="{681583F0-02BA-49C9-9B7E-446AD1ECDA7F}" autoFormatId="0"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ExternalData_2626" connectionId="635" xr16:uid="{3B5285E9-AF9E-4E68-B5EA-14693CAEDA42}" autoFormatId="0"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ExternalData_2858" connectionId="472" xr16:uid="{956A718F-0A57-418F-B54D-97345383CBE7}" autoFormatId="0"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ExternalData_2710" connectionId="145" xr16:uid="{72283A52-2147-483D-8DEF-734753D11230}" autoFormatId="0"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ExternalData_3067" connectionId="235" xr16:uid="{8D3DAC0A-1BFA-474A-AB61-34BB4C85D570}" autoFormatId="0"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ExternalData_3120" connectionId="510" xr16:uid="{C3A9AF8B-6680-41A9-A0B2-0F0B0E775C91}" autoFormatId="0"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ExternalData_5" connectionId="524" xr16:uid="{70845EED-8B03-4AC8-B392-5B518D19141D}" autoFormatId="0"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ExternalData_3007" connectionId="631" xr16:uid="{BF8E5CDC-72C9-4CE0-9D62-4217ED349C3E}" autoFormatId="0"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ExternalData_2777" connectionId="525" xr16:uid="{577B0795-FAF5-4FFC-8A6B-615943F06EA6}" autoFormatId="0"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ExternalData_2588" connectionId="667" xr16:uid="{782C38E0-C551-4914-953B-CBE5708E3949}" autoFormatId="0"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ExternalData_3118" connectionId="785" xr16:uid="{2BC7A5DE-549C-4CE1-B8F5-20F8FF605EE9}" autoFormatId="0"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ExternalData_3040" connectionId="338" xr16:uid="{50F1D3FB-4CA8-4222-AE2F-9A969E6E5CB5}" autoFormatId="0"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ExternalData_2857" connectionId="20" xr16:uid="{BFEE160C-7945-468B-9962-F23DAE1B7FD3}" autoFormatId="0"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ExternalData_3070" connectionId="474" xr16:uid="{47CFB914-079F-485B-A21A-56544C200064}" autoFormatId="0"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ExternalData_3031" connectionId="807" xr16:uid="{247D3AE4-BF52-4394-B0D1-7F54D1C221A0}" autoFormatId="0"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ExternalData_2668" connectionId="374" xr16:uid="{D4C4FA6B-653A-4985-A381-74762B004E3C}" autoFormatId="0"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ExternalData_2745" connectionId="539" xr16:uid="{2DF3D3EB-051D-4636-9ADD-CB2B5FB52798}" autoFormatId="0"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ExternalData_3091" connectionId="31" xr16:uid="{A0FE540D-0284-4FD1-9089-B78017BB677C}" autoFormatId="0"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ExternalData_2917" connectionId="811" xr16:uid="{1FAC0976-EEA6-4063-AB15-AD0E0C8A510E}" autoFormatId="0"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ExternalData_3097" connectionId="106" xr16:uid="{63AE67B4-70BD-4AC1-AF02-43C70F6E30CB}" autoFormatId="0"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ExternalData_2815" connectionId="403" xr16:uid="{1414F516-3312-473B-B7DB-FC13B3885DBB}" autoFormatId="0"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ExternalData_2998" connectionId="542" xr16:uid="{2466B68A-DEC0-4674-A7D6-560850B70DDF}" autoFormatId="0"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ExternalData_2569" connectionId="477" xr16:uid="{34B575A7-964C-4F28-9F3E-2D8F2A9EC355}" autoFormatId="0"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ExternalData_2971" connectionId="266" xr16:uid="{897299D7-4D54-4E11-81A7-471029CEB402}" autoFormatId="0"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ExternalData_7" connectionId="664" xr16:uid="{16AD76F0-C689-45BD-9990-669B30AAB279}" autoFormatId="0"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ExternalData_2685" connectionId="731" xr16:uid="{5FC32045-20C5-49D1-B6F5-19B6BB2261A9}" autoFormatId="0"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ExternalData_2953" connectionId="373" xr16:uid="{E338CF9F-21A4-4CB6-A862-0533361EBB22}" autoFormatId="0"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ExternalData_3145" connectionId="314" xr16:uid="{050F7C99-6C3C-4D2B-847B-C0FEFCD00F65}" autoFormatId="0"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ExternalData_3076" connectionId="398" xr16:uid="{B3A0E4EB-FA5C-4F6F-A95B-1FC6EF77ADA1}" autoFormatId="0"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ExternalData_2551" connectionId="471" xr16:uid="{2BC8FE9A-790C-4328-9B39-EF6E1A5DC3B2}" autoFormatId="0"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ExternalData_2875" connectionId="608" xr16:uid="{0F90E5C9-B688-4513-818D-74BA4D725873}" autoFormatId="0"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ExternalData_2876" connectionId="833" xr16:uid="{1EAF053A-B641-4ACB-BA32-3A3DD579279D}" autoFormatId="0"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ExternalData_2841" connectionId="407" xr16:uid="{557339E2-165C-40E7-A64D-6787FC1BDAAB}" autoFormatId="0"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ExternalData_2846" connectionId="80" xr16:uid="{3FC71005-0F7E-4F4F-8F8C-2D6A03DDBD4C}" autoFormatId="0"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ExternalData_3082" connectionId="730" xr16:uid="{0C176808-D192-485A-A3CE-4714FFCE72B1}" autoFormatId="0"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ExternalData_2744" connectionId="94" xr16:uid="{FEACF457-BB68-4C65-86F7-F9F7DE094B45}" autoFormatId="0"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ExternalData_3030" connectionId="162" xr16:uid="{87C8D03E-1B92-484A-9A65-4975F75785B2}" autoFormatId="0"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ExternalData_2927" connectionId="389" xr16:uid="{48478420-DF24-4E6F-8B93-40345EA1D26A}" autoFormatId="0"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ExternalData_2659" connectionId="669" xr16:uid="{BC3A1DC6-74CC-43B0-9CB8-C758C2EC7E41}" autoFormatId="0"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ExternalData_2870" connectionId="850" xr16:uid="{3FAB2C9A-B4ED-4796-B790-492A25F031CC}" autoFormatId="0"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ExternalData_2844" connectionId="871" xr16:uid="{3C645A5A-0253-4963-AE0D-2B2A82CA6152}" autoFormatId="0"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ExternalData_2554" connectionId="242" xr16:uid="{D19A9B9D-D6AF-4D81-97AB-8435DDB090AC}" autoFormatId="0"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ExternalData_3081" connectionId="158" xr16:uid="{2FA27D8F-B01D-4E5C-BAEC-EDD9D07F8868}" autoFormatId="0"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ExternalData_2805" connectionId="777" xr16:uid="{CB582FD5-FDB9-4175-9986-97D7FF6A9A36}" autoFormatId="0"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ExternalData_2623" connectionId="574" xr16:uid="{C26B9E43-B873-4E12-A97A-92BA4063EBBD}" autoFormatId="0"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ExternalData_2692" connectionId="137" xr16:uid="{59F24823-9A29-4065-BD59-1194B313C212}" autoFormatId="0"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ExternalData_2536" connectionId="386" xr16:uid="{C75A1137-5487-4B39-9698-1342791B1405}" autoFormatId="0"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ExternalData_2938" connectionId="400" xr16:uid="{42D6B18C-FBDE-4BF0-BB3B-F3A0937497BC}" autoFormatId="0"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ExternalData_2944" connectionId="538" xr16:uid="{B93F3B89-E002-4F08-9228-DB7DBD2CF86B}" autoFormatId="0"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ExternalData_2736" connectionId="409" xr16:uid="{C154CF81-78D2-46DB-BBA6-9F14385B3F3B}" autoFormatId="0"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ExternalData_2592" connectionId="255" xr16:uid="{C8A43B8C-C8BD-44B6-A6C0-AB2DBE754159}" autoFormatId="0"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ExternalData_2621" connectionId="135" xr16:uid="{9D017922-4D96-488B-BD52-90D6FCBA9A7D}" autoFormatId="0"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ExternalData_2561" connectionId="166" xr16:uid="{2461DE23-413D-4A89-9337-CE74A6C92683}" autoFormatId="0"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ExternalData_2978" connectionId="184" xr16:uid="{57B0257A-B6DA-442D-8405-262B94E3485C}" autoFormatId="0"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ExternalData_2974" connectionId="732" xr16:uid="{45E692C9-73E9-445C-89F1-6FCC96E1F76C}" autoFormatId="0"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ExternalData_2593" connectionId="219" xr16:uid="{CEC5BD76-8C03-446E-AD8E-12E4ACA5A410}" autoFormatId="0"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ExternalData_2889" connectionId="284" xr16:uid="{312667BA-8FFE-4781-9EA6-18CBFC523355}" autoFormatId="0"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ExternalData_2869" connectionId="448" xr16:uid="{381DD08E-259A-494E-B67C-8E0EF8B1C8F4}" autoFormatId="0"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ExternalData_2700" connectionId="229" xr16:uid="{6BB3823C-2060-41C8-BBE8-E417F12D3F9E}" autoFormatId="0"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ExternalData_2788" connectionId="527" xr16:uid="{D80C1FF4-D707-4903-8710-F874ED5D1E80}" autoFormatId="0"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ExternalData_3023" connectionId="288" xr16:uid="{87087C25-C547-424D-BBED-A18451942896}" autoFormatId="0"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ExternalData_2775" connectionId="70" xr16:uid="{8AF47237-3454-41A9-84BC-313EE560B13D}" autoFormatId="0"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ExternalData_3010" connectionId="568" xr16:uid="{09627683-6F87-4CDC-905F-075DB6A7FFDB}" autoFormatId="0"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ExternalData_2618" connectionId="112" xr16:uid="{1B8F139D-6F77-41C3-AE76-710E995FED81}" autoFormatId="0"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ExternalData_3058" connectionId="603" xr16:uid="{9C8267C6-3723-4B00-ADD0-81F77D7BDDDA}" autoFormatId="0"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ExternalData_2934" connectionId="789" xr16:uid="{045EED22-96FD-4131-BF86-64F3845175F9}" autoFormatId="0"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ExternalData_3063" connectionId="722" xr16:uid="{780691B0-2D53-46CE-93BE-48622ABB2EAD}" autoFormatId="0"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ExternalData_2714" connectionId="359" xr16:uid="{77C335E8-024E-4141-B21A-0F060DC0A51E}" autoFormatId="0"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ExternalData_2594" connectionId="519" xr16:uid="{1FA02935-0655-48B6-9A3B-D5614A87004E}" autoFormatId="0"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ExternalData_2999" connectionId="618" xr16:uid="{AB88820D-B880-420A-B31D-CB2C71F6AC66}" autoFormatId="0"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ExternalData_2631" connectionId="705" xr16:uid="{E824EAFE-4A7A-4DD5-851B-82913FEFD632}" autoFormatId="0"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ExternalData_2984" connectionId="512" xr16:uid="{BD87B9FC-1D91-42F2-97A5-F0D63F4CAE9C}" autoFormatId="0"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ExternalData_13" connectionId="24" xr16:uid="{8E16F97B-15A9-4E7B-9DB9-210A6DDF0D18}" autoFormatId="0"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ExternalData_2780" connectionId="806" xr16:uid="{54BD1256-3B48-449D-B38B-B79723B3865B}" autoFormatId="0"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ExternalData_2691" connectionId="129" xr16:uid="{A379F597-5F0B-4512-AEEA-D2784F2920D2}" autoFormatId="0"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ExternalData_2630" connectionId="50" xr16:uid="{93A2D60C-115F-42D0-AD27-688CC1E5E359}" autoFormatId="0"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ExternalData_2814" connectionId="685" xr16:uid="{A5753EC9-CECA-4664-ACB7-97F7B272ADF7}" autoFormatId="0"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ExternalData_2794" connectionId="594" xr16:uid="{C9681067-CFCB-42D2-AFE1-83898904D936}" autoFormatId="0"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ExternalData_2860" connectionId="177" xr16:uid="{5A39C73A-9231-4C4C-9452-364C04C275E1}" autoFormatId="0"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ExternalData_2719" connectionId="325" xr16:uid="{16B91C0D-2260-4032-8413-7CECE7FBC64D}" autoFormatId="0"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ExternalData_3143" connectionId="391" xr16:uid="{A30EA4E0-C7CF-4164-B8A6-2B5129F02487}" autoFormatId="0"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ExternalData_2882" connectionId="342" xr16:uid="{72D9F25B-2E4C-48E4-8E1D-0EFE24D3F253}" autoFormatId="0"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ExternalData_2963" connectionId="136" xr16:uid="{57C2EBCB-BAD3-43A6-82E2-316B083322B7}" autoFormatId="0"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ExternalData_2793" connectionId="775" xr16:uid="{4D4B71B3-6112-4433-B09F-D301471DC5C8}" autoFormatId="0"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ExternalData_2915" connectionId="104" xr16:uid="{05B84A0F-E08E-4FEB-A620-685F57750A89}" autoFormatId="0"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ExternalData_2683" connectionId="788" xr16:uid="{BDE9EE20-17C6-4D16-8793-32FA2D4AA82F}" autoFormatId="0"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ExternalData_2567" connectionId="443" xr16:uid="{E00C1EC3-C208-4E12-821F-3245E0B24738}" autoFormatId="0"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ExternalData_3115" connectionId="470" xr16:uid="{1C591B01-1F39-41F0-99DA-DE6083353C61}" autoFormatId="0"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ExternalData_2811" connectionId="76" xr16:uid="{D97E41C6-9D09-46D3-9E77-624268CC6D50}" autoFormatId="0"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ExternalData_2518" connectionId="609" xr16:uid="{B0DBB383-E7A6-4E8A-A170-1C96B02BF40B}" autoFormatId="0"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ExternalData_2801" connectionId="683" xr16:uid="{28E3BC32-5D75-4C65-BD9E-CBC2E0EE0D4E}" autoFormatId="0"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ExternalData_2806" connectionId="596" xr16:uid="{ADE64780-D9E6-471A-B2E6-B0EE2FACCDD7}" autoFormatId="0"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ExternalData_3093" connectionId="171" xr16:uid="{4FB7A439-A265-464D-8164-6F5358042ECE}" autoFormatId="0"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ExternalData_3075" connectionId="7" xr16:uid="{44490968-8BA1-44F4-8BDB-AF4BAC148138}" autoFormatId="0"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ExternalData_2865" connectionId="286" xr16:uid="{7F0A46B9-7F98-4F05-BD10-7D9F45DC156E}" autoFormatId="0"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ExternalData_2648" connectionId="323" xr16:uid="{4BC2F2DB-1C39-479E-BA17-D3D88856BBBB}" autoFormatId="0"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ExternalData_3149" connectionId="349" xr16:uid="{C9799978-7867-4076-89B1-1C85A1177F39}" autoFormatId="0"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ExternalData_2995" connectionId="495" xr16:uid="{835AAC60-24D2-4B74-8E2C-DFD3B1757C76}" autoFormatId="0"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ExternalData_2989" connectionId="870" xr16:uid="{4105554A-1282-4EB0-87F2-BF6EDA95C956}" autoFormatId="0"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ExternalData_3108" connectionId="65" xr16:uid="{35A33E3F-7C51-4AB3-A972-D328AC68EF69}" autoFormatId="0"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ExternalData_2879" connectionId="430" xr16:uid="{D06C255A-0AD1-4D0D-87FE-908C74516DB6}" autoFormatId="0"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ExternalData_2762" connectionId="261" xr16:uid="{0BBE551C-3087-45CF-9057-5B7BA449C22E}" autoFormatId="0"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ExternalData_2663" connectionId="251" xr16:uid="{CC65944B-196D-467D-8DE5-24603DCA01F1}" autoFormatId="0"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ExternalData_2585" connectionId="183" xr16:uid="{0BCF3B55-C12D-4014-A8B9-EB3ADAA1F764}" autoFormatId="0"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ExternalData_2850" connectionId="485" xr16:uid="{A52CDFFE-6409-4818-AD84-20BB52D0E93D}" autoFormatId="0"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ExternalData_3060" connectionId="228" xr16:uid="{75E49D59-338D-461A-90DB-0EF9C304053A}" autoFormatId="0"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ExternalData_2530" connectionId="234" xr16:uid="{FA9E90AF-3DE2-43D5-B563-06D1D467F7E0}" autoFormatId="0"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ExternalData_3113" connectionId="592" xr16:uid="{E5AFD8C2-8139-4B35-9B0F-FACB0FAA3FF7}" autoFormatId="0"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ExternalData_2546" connectionId="435" xr16:uid="{DFBD1BE3-2C2D-4FCC-8DD2-B270BFE34E39}" autoFormatId="0"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ExternalData_3005" connectionId="230" xr16:uid="{571288D7-389B-4D72-A71F-1DB4412111E9}" autoFormatId="0"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ExternalData_3109" connectionId="701" xr16:uid="{3830FAF2-89DF-41DD-A6CD-7C9B72BFBCD9}" autoFormatId="0"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ExternalData_2819" connectionId="598" xr16:uid="{AA581A00-8C45-4506-9292-76F973FCE57F}" autoFormatId="0"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ExternalData_3027" connectionId="764" xr16:uid="{C9A090DF-FD1B-4792-887A-5BE6BC55F626}" autoFormatId="0"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ExternalData_2720" connectionId="19" xr16:uid="{12F1EBFC-F4A2-4561-8648-C4A0EC1E46A7}" autoFormatId="0"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ExternalData_2981" connectionId="410" xr16:uid="{83BC8897-AFAF-48D4-8018-BD2F4FF2C029}" autoFormatId="0"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ExternalData_2886" connectionId="678" xr16:uid="{49A8627E-11B5-4551-9B42-B05A4520A944}" autoFormatId="0"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ExternalData_2548" connectionId="628" xr16:uid="{44BDBA0F-DA0F-4CAF-B7E5-276BB3AEBB72}" autoFormatId="0"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ExternalData_2574" connectionId="378" xr16:uid="{D87564AC-44AC-42A7-85E3-DB5487F70403}" autoFormatId="0"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ExternalData_2979" connectionId="396" xr16:uid="{7EFEC960-D4EF-4AFA-A384-F8E796DA3A60}" autoFormatId="0"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ExternalData_2597" connectionId="372" xr16:uid="{563FEE8C-545D-43E8-BC01-44A962195C05}" autoFormatId="0"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ExternalData_2796" connectionId="865" xr16:uid="{E573A429-F6F2-4B75-9647-2E7E056CC105}" autoFormatId="0"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ExternalData_2645" connectionId="380" xr16:uid="{3B77D679-505C-47BE-8FBB-4749110F25B4}" autoFormatId="0"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ExternalData_3133" connectionId="741" xr16:uid="{4C694BB7-662F-4DF3-9B72-9249564BF70B}" autoFormatId="0"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ExternalData_2853" connectionId="363" xr16:uid="{42DCEFC0-2AFA-42A4-8235-718299A9683A}" autoFormatId="0"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ExternalData_2640" connectionId="479" xr16:uid="{E2EDD49F-35F2-4B1C-88DA-39A5A63FEE09}" autoFormatId="0"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ExternalData_2617" connectionId="437" xr16:uid="{DC6AC6FA-2DA7-4C53-8D3E-65E00907AFC9}" autoFormatId="0"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ExternalData_2583" connectionId="824" xr16:uid="{424609B4-16CF-47C3-821F-9B75D4EDA110}" autoFormatId="0"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ExternalData_2929" connectionId="601" xr16:uid="{74276B26-0DCD-4353-9AAC-95E95D86A466}" autoFormatId="0"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ExternalData_3038" connectionId="503" xr16:uid="{305A2CE4-B882-443F-9C56-54BE7A2D0A90}" autoFormatId="0"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ExternalData_3016" connectionId="526" xr16:uid="{B2B1180E-7B21-478C-A1C3-AFDC2312F3B7}" autoFormatId="0"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ExternalData_3164" connectionId="379" xr16:uid="{0C74A9B5-EEDC-4868-830C-DA70DF3A214E}" autoFormatId="0"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ExternalData_2657" connectionId="201" xr16:uid="{FFE5A44A-1851-4574-BB5B-6E1828AE0DB0}" autoFormatId="0"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ExternalData_2647" connectionId="621" xr16:uid="{A43E9483-FF64-4E8D-9B75-B5CF547F1259}" autoFormatId="0"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ExternalData_2673" connectionId="814" xr16:uid="{23307456-7E39-4775-9A1A-0E4B1BAD096F}" autoFormatId="0"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ExternalData_2558" connectionId="225" xr16:uid="{CE989486-3744-44AF-8B35-B50FE07F7ED6}" autoFormatId="0"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ExternalData_2625" connectionId="244" xr16:uid="{EFFAC93E-230D-4D4A-BF26-981DAA961CF5}" autoFormatId="0"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ExternalData_2557" connectionId="281" xr16:uid="{94506C7C-C66A-4E10-93E0-9CCF47689F6F}" autoFormatId="0"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ExternalData_3055" connectionId="597" xr16:uid="{52236A0A-9042-455A-A188-A06DC70D25D2}" autoFormatId="0"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ExternalData_3052" connectionId="873" xr16:uid="{BF83B6E9-2ABE-4E70-971D-101DB9E3CC14}" autoFormatId="0"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ExternalData_2896" connectionId="736" xr16:uid="{65559427-0AD0-48AA-84F5-03EAE9C47AFB}" autoFormatId="0"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ExternalData_3175" connectionId="252" xr16:uid="{E3C08E7B-D07F-4CC0-B0B7-5E96A5081FC5}" autoFormatId="0"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ExternalData_2925" connectionId="728" xr16:uid="{D2D1DF16-A407-4C63-B3A3-ADFB4AEE984C}" autoFormatId="0"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ExternalData_2996" connectionId="864" xr16:uid="{0B5C4EB1-9C49-4043-AF4E-BFBB3AAD765C}" autoFormatId="0"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ExternalData_3043" connectionId="720" xr16:uid="{19C421C7-2807-4EEA-A86D-F04A9FFA5067}" autoFormatId="0"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ExternalData_2880" connectionId="766" xr16:uid="{3726BEEE-B071-4478-B54F-A4CDB0DA38C4}" autoFormatId="0"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ExternalData_2881" connectionId="768" xr16:uid="{0C671B1B-A2EC-4676-BD57-78BE8A1F4C8B}" autoFormatId="0"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ExternalData_2711" connectionId="481" xr16:uid="{6A177132-118B-4F3C-9C77-7BDAAC36737C}" autoFormatId="0"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ExternalData_2682" connectionId="317" xr16:uid="{40684445-4D99-4FBA-9CBB-DB4D0C7E9A40}" autoFormatId="0"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ExternalData_2997" connectionId="595" xr16:uid="{7096E72C-038E-4335-B17C-34652C3FBE95}" autoFormatId="0"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ExternalData_2581" connectionId="565" xr16:uid="{5906043E-ED1A-4243-A6CE-3CDC6CA2CAC2}" autoFormatId="0"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ExternalData_2620" connectionId="127" xr16:uid="{BE698CA3-C264-42AB-9773-96024B1011F9}" autoFormatId="0"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ExternalData_2529" connectionId="329" xr16:uid="{81DF74D6-AE80-40A3-88B4-635BCEF0ACEA}" autoFormatId="0"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ExternalData_10" connectionId="803" xr16:uid="{4202B82A-17B2-4FDB-9BAE-C46F718AF931}" autoFormatId="0"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ExternalData_2961" connectionId="402" xr16:uid="{1DE7DABC-A23D-4927-AE9A-86069A65C6E3}" autoFormatId="0"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ExternalData_2849" connectionId="642" xr16:uid="{16A837E1-BE60-41DA-8B96-6DB3175B0560}" autoFormatId="0"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ExternalData_2919" connectionId="680" xr16:uid="{49BEA131-2631-46C8-A5B4-C475018933A9}" autoFormatId="0"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ExternalData_2871" connectionId="297" xr16:uid="{87293471-1B7E-4A94-9D4D-AEF83A9A9A00}" autoFormatId="0"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ExternalData_2867" connectionId="79" xr16:uid="{CDBDE6A7-3310-461A-8110-42FC7B71DB8F}" autoFormatId="0"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ExternalData_2920" connectionId="837" xr16:uid="{BE68F9DF-BA15-4161-B841-8FB3AA32392C}" autoFormatId="0"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ExternalData_2" connectionId="63" xr16:uid="{AC237A85-5290-4901-8C64-0AA286868323}" autoFormatId="0"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ExternalData_3" connectionId="260" xr16:uid="{505AA2D4-0CBF-4BC3-8FCA-AABE9C133D58}" autoFormatId="0"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ExternalData_2608" connectionId="364" xr16:uid="{F9480E1E-3C10-4B9B-AE38-532AFBC5B940}" autoFormatId="0"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ExternalData_2751" connectionId="648" xr16:uid="{65951B88-2BA3-46FD-9CFB-03DD66BEB7B3}" autoFormatId="0"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ExternalData_2907" connectionId="682" xr16:uid="{8C86E763-1BB8-48A0-B09B-4E0BADEE8BFB}" autoFormatId="0"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ExternalData_2705" connectionId="34" xr16:uid="{7544419B-8656-48E5-A801-BE523740613C}" autoFormatId="0"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ExternalData_3107" connectionId="175" xr16:uid="{8228542E-30EB-4506-A5AE-4764CA9F55AF}" autoFormatId="0"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ExternalData_2900" connectionId="743" xr16:uid="{3EBE68BB-8B81-4629-8A07-AFEBF85456DF}" autoFormatId="0"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ExternalData_2672" connectionId="238" xr16:uid="{3F3F725C-EF95-41AD-955C-448217DA2FD8}" autoFormatId="0"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ExternalData_2603" connectionId="151" xr16:uid="{8EBB6776-2965-4194-BF10-22652F3342E1}" autoFormatId="0"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ExternalData_2577" connectionId="321" xr16:uid="{649E0D33-97C9-4849-A627-154FA8FEE7C2}" autoFormatId="0"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ExternalData_2877" connectionId="264" xr16:uid="{4301239E-4E0A-4FB4-AEE7-D2451F601A01}" autoFormatId="0"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ExternalData_3066" connectionId="210" xr16:uid="{9F716969-4785-4CE5-BB31-F8AD7C7B7675}" autoFormatId="0"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ExternalData_3130" connectionId="278" xr16:uid="{60E63F15-73FB-4B9A-B32A-F04E4A92CA31}" autoFormatId="0"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ExternalData_2524" connectionId="500" xr16:uid="{5340A909-FBF4-44F3-A2AC-CE07DAA8DAE5}" autoFormatId="0"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ExternalData_2799" connectionId="658" xr16:uid="{63133619-D993-4F4C-90F6-C8436E727D9B}" autoFormatId="0"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ExternalData_2940" connectionId="44" xr16:uid="{FFE5AF65-C6C8-421E-B720-6D2F0C3D0C4F}" autoFormatId="0"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ExternalData_3119" connectionId="186" xr16:uid="{5EA91AF5-31F5-410A-B0B1-A63D55B3065B}" autoFormatId="0"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ExternalData_3105" connectionId="318" xr16:uid="{4CC4C2ED-37C1-45FD-A57D-4845EA30A86A}" autoFormatId="0"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ExternalData_2897" connectionId="375" xr16:uid="{45D06AB7-5B3C-4D82-8777-95A255BBD584}" autoFormatId="0"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ExternalData_2933" connectionId="819" xr16:uid="{661B845D-29C3-4CE6-8547-CEE04012FEB3}" autoFormatId="0"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ExternalData_2911" connectionId="688" xr16:uid="{733F6075-69A4-47EF-86E8-C2410C79AFD2}" autoFormatId="0"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ExternalData_2698" connectionId="494" xr16:uid="{8D48A498-C814-4352-A568-E0FD031314D7}" autoFormatId="0"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ExternalData_2528" connectionId="769" xr16:uid="{421DE89A-A634-4180-91EE-9E843BDBDF90}" autoFormatId="0"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ExternalData_2562" connectionId="541" xr16:uid="{02AC4EE7-032F-4194-8C64-7DE771BBFC56}" autoFormatId="0"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ExternalData_3068" connectionId="25" xr16:uid="{F8A99FE4-A09D-4EFF-8977-B4FB7FADF155}" autoFormatId="0"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ExternalData_2757" connectionId="673" xr16:uid="{5290A60E-7A1E-4D67-860B-5F3109696928}" autoFormatId="0"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ExternalData_2782" connectionId="767" xr16:uid="{CE5AFA36-8B58-4585-96DF-8A7F3C7E66D1}" autoFormatId="0"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ExternalData_2932" connectionId="813" xr16:uid="{EC577CB2-98D6-460C-826C-2A640F95D751}" autoFormatId="0"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ExternalData_2959" connectionId="272" xr16:uid="{220F69FE-CB13-44A2-852C-A9AB2E3F93AD}" autoFormatId="0"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ExternalData_2808" connectionId="26" xr16:uid="{400FCBD7-5C16-46F2-881D-7F50F2FCAE3E}" autoFormatId="0"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ExternalData_2832" connectionId="761" xr16:uid="{0FDAD072-7811-46DF-9163-00DB8DF5470E}" autoFormatId="0"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ExternalData_3036" connectionId="404" xr16:uid="{8D50D8E9-E828-4D0D-BD58-FDB85EE2CAE0}" autoFormatId="0"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ExternalData_2699" connectionId="285" xr16:uid="{F1162A95-61F8-440D-9E60-AE36B4921242}" autoFormatId="0"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ExternalData_2677" connectionId="308" xr16:uid="{1CCE35CD-778F-45A1-B0F0-91D23499CC6C}" autoFormatId="0"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ExternalData_2784" connectionId="733" xr16:uid="{CE33B3CF-8E7F-4B0B-A73C-02F49F565869}" autoFormatId="0"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ExternalData_2665" connectionId="521" xr16:uid="{54D83FCD-9EDE-4F90-AC46-E71B2014ADB1}" autoFormatId="0"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ExternalData_2654" connectionId="826" xr16:uid="{E718156E-4550-48C4-A4A2-D26A4B59DF09}" autoFormatId="0"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ExternalData_2610" connectionId="88" xr16:uid="{FD103FFE-2A99-4E9C-BAA9-4963332446A5}" autoFormatId="0"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ExternalData_2725" connectionId="828" xr16:uid="{DE8DEC1B-C31B-4ACD-9088-C664BB03129C}" autoFormatId="0"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ExternalData_3054" connectionId="237" xr16:uid="{CDAA10C4-FCD4-48D5-9A77-791CEB69308A}" autoFormatId="0"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ExternalData_15" connectionId="57" xr16:uid="{3D3C8705-84AB-4AF7-B627-968F95907EEC}" autoFormatId="0"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ExternalData_2582" connectionId="157" xr16:uid="{8C77ACD9-4F0B-42F7-A21B-7BAA3572C176}" autoFormatId="0"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ExternalData_2642" connectionId="856" xr16:uid="{F8272513-1225-4605-9726-1CF091A8031C}" autoFormatId="0"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ExternalData_2830" connectionId="820" xr16:uid="{0EBE741C-43E1-4FF2-A927-7CB1BEDB671E}" autoFormatId="0"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ExternalData_2743" connectionId="581" xr16:uid="{FCBA85EF-5F75-490B-A47D-BDA7752859EF}" autoFormatId="0"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ExternalData_3065" connectionId="334" xr16:uid="{5CCC7398-BB0A-4896-A0EF-638813A6BC26}" autoFormatId="0"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ExternalData_2916" connectionId="756" xr16:uid="{DAC59010-C3CB-4D29-8670-CFE2D178AC8C}" autoFormatId="0"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ExternalData_11" connectionId="841" xr16:uid="{7852B4E8-2926-4790-961D-C1A5F86D736D}" autoFormatId="0"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ExternalData_2627" connectionId="490" xr16:uid="{A1E52951-30EF-449C-8E4A-EF49384299CE}" autoFormatId="0"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ExternalData_2986" connectionId="115" xr16:uid="{5EF978E8-9A30-4AC4-AA4D-A53B82C32A64}" autoFormatId="0"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ExternalData_2525" connectionId="300" xr16:uid="{B633A608-7694-4E6C-80FF-E7FAAE042E24}" autoFormatId="0"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ExternalData_2544" connectionId="191" xr16:uid="{5AA46884-3414-4404-9ABB-F28465BDD74F}" autoFormatId="0"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ExternalData_2969" connectionId="428" xr16:uid="{C34AB7AF-D645-4487-9A3B-A040CEC5B551}" autoFormatId="0"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ExternalData_3144" connectionId="326" xr16:uid="{CF9487A1-BCC8-45F0-9A9E-99E116E2ACE3}" autoFormatId="0"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ExternalData_2902" connectionId="301" xr16:uid="{7B732833-4BAC-4C3C-8AD5-3EFE859619A5}" autoFormatId="0"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ExternalData_2570" connectionId="696" xr16:uid="{A2FC7EA2-CD30-4848-A021-473B8800808C}" autoFormatId="0"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ExternalData_2987" connectionId="697" xr16:uid="{C7A21E3C-3EE7-4B97-84CB-CD8458DF2E7A}" autoFormatId="0"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ExternalData_3028" connectionId="599" xr16:uid="{9A96CBAF-E510-4A1C-9346-E04BBC49AE8A}" autoFormatId="0"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ExternalData_2887" connectionId="738" xr16:uid="{28EE5460-AB5D-4E65-8E98-4B27EF891DBF}" autoFormatId="0"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ExternalData_2976" connectionId="138" xr16:uid="{DA376888-1653-4418-9C0F-DB54BE6B3A31}" autoFormatId="0"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ExternalData_3088" connectionId="855" xr16:uid="{018CB408-22B7-4D14-8463-3A32C45A9F53}" autoFormatId="0"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ExternalData_2914" connectionId="126" xr16:uid="{74BB8E6B-FD80-4781-B67D-78EED3C6D9E0}" autoFormatId="0"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ExternalData_2595" connectionId="502" xr16:uid="{800AD888-0AE4-4FC2-834A-0363EB8491B6}" autoFormatId="0"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ExternalData_2679" connectionId="366" xr16:uid="{DB765DAA-834E-41F4-AAB5-4A27DD292068}" autoFormatId="0"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ExternalData_2908" connectionId="188" xr16:uid="{9CCAF267-2586-476D-B9A6-E035644F14D0}" autoFormatId="0"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ExternalData_2604" connectionId="429" xr16:uid="{E0973016-B51C-417C-AB04-FE474B60F0B1}" autoFormatId="0"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ExternalData_2622" connectionId="473" xr16:uid="{080A340F-3390-49E2-8428-1C941B6CDE5F}" autoFormatId="0"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ExternalData_2749" connectionId="96" xr16:uid="{33BE53A1-0AD8-4B06-BB50-8BCBE282C332}" autoFormatId="0"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ExternalData_3020" connectionId="464" xr16:uid="{438F0AB2-BFF2-4F6E-BF32-F73ADAE35F26}" autoFormatId="0"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ExternalData_2818" connectionId="779" xr16:uid="{78FEFE02-A5A8-4897-B9BA-6250E3FC5786}" autoFormatId="0"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ExternalData_3168" connectionId="97" xr16:uid="{0087D7E9-EA98-4729-A1DE-D56EFA92DC1C}" autoFormatId="0"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ExternalData_2729" connectionId="744" xr16:uid="{112DED58-CF03-429D-B011-3143CA791C3B}" autoFormatId="0"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ExternalData_51" connectionId="311" xr16:uid="{F43333F3-2A28-4CEF-886C-7F1EE1C73FBB}" autoFormatId="0"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ExternalData_41" connectionId="189" xr16:uid="{A2BF4A2C-3B32-4F3B-A808-C9244047D11E}" autoFormatId="0"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ExternalData_76" connectionId="496" xr16:uid="{1A0B8771-6773-41B6-BB7E-6D90CB438430}" autoFormatId="0"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ExternalData_26" connectionId="781" xr16:uid="{3AF56F50-584C-42E1-B705-82DA32CD4881}" autoFormatId="0"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ExternalData_53" connectionId="335" xr16:uid="{2775A605-27B2-47F5-9670-4BDFCAF05F95}" autoFormatId="0"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ExternalData_90" connectionId="40" xr16:uid="{CB03BE69-119B-4E61-BFD7-ED580E807F3B}" autoFormatId="0"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ExternalData_21" connectionId="562" xr16:uid="{340BC70E-8B8D-4F66-981A-AD817E9C638E}" autoFormatId="0"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ExternalData_69" connectionId="98" xr16:uid="{46AFDB0A-6A01-4ABB-8349-63FC994B7D3D}" autoFormatId="0"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ExternalData_68" connectionId="554" xr16:uid="{600EF651-F85B-4238-A37E-763F86641FB2}" autoFormatId="0"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ExternalData_16" connectionId="232" xr16:uid="{2041B63F-9CA8-4E45-9A74-6309F103DC6E}" autoFormatId="0"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ExternalData_70" connectionId="497" xr16:uid="{2B664CFF-72FD-4F87-A186-FB3B750E54C7}" autoFormatId="0"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ExternalData_1" connectionId="1" xr16:uid="{FE200021-D238-4B89-92D2-C0357E622C5E}" autoFormatId="0"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ExternalData_84" connectionId="695" xr16:uid="{59F324D4-6A51-46D5-BDDE-90C182062A93}" autoFormatId="0"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ExternalData_89" connectionId="5" xr16:uid="{768D808E-5061-4EE1-9456-C8F1C575F0BE}" autoFormatId="0"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ExternalData_88" connectionId="852" xr16:uid="{388E1BF6-1E93-4E2B-AEB5-E2FFBFAC5BFE}" autoFormatId="0"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ExternalData_75" connectionId="858" xr16:uid="{4270CE85-E927-405E-A863-84393DCB38AF}" autoFormatId="0"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ExternalData_8" connectionId="181" xr16:uid="{B09D8AB4-2F36-4F4E-8FF9-ACC1857A81EE}" autoFormatId="0"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ExternalData_56" connectionId="368" xr16:uid="{763E63E9-2EFE-4B04-960A-FB5C44745781}" autoFormatId="0"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ExternalData_64" connectionId="467" xr16:uid="{385552E8-760A-45D4-8774-6768FF5C3228}" autoFormatId="0"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ExternalData_4" connectionId="746" xr16:uid="{21EF9FA1-6DC7-4294-B89F-4ED5D32C535E}" autoFormatId="0"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ExternalData_19" connectionId="361" xr16:uid="{3B008913-7211-4423-B561-B95DA5659C52}" autoFormatId="0"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ExternalData_71" connectionId="553" xr16:uid="{4DE55E9C-BD26-4C5A-9B04-7157092FA7D4}" autoFormatId="0"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ExternalData_65" connectionId="475" xr16:uid="{5D4EA338-3420-4891-A800-BDB495D13FAA}" autoFormatId="0"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ExternalData_12" connectionId="782" xr16:uid="{AFEBA226-FEB1-41BA-9814-BC41F7B7E998}" autoFormatId="0"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ExternalData_39" connectionId="172" xr16:uid="{96E536EE-ED78-45E3-9E09-83B97F6C04AF}" autoFormatId="0"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ExternalData_6" connectionId="3" xr16:uid="{898B4C62-11BE-44C1-9BED-3CF4B8D021E2}" autoFormatId="0"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ExternalData_49" connectionId="294" xr16:uid="{9938A22A-652F-462A-9378-58F9A979CC9B}" autoFormatId="0"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ExternalData_5" connectionId="790" xr16:uid="{A142773A-C9CA-4DE8-B6C1-E2CB2FA17919}" autoFormatId="0"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ExternalData_58" connectionId="384" xr16:uid="{069C5865-0649-460F-A7A4-CCEFCA074FAD}" autoFormatId="0"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ExternalData_60" connectionId="433" xr16:uid="{F02903C5-A906-432E-8ED6-BD049857EE33}" autoFormatId="0"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ExternalData_7" connectionId="163" xr16:uid="{2246CE5E-64FB-48F2-95CF-78D3B6E38AFC}" autoFormatId="0"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ExternalData_17" connectionId="293" xr16:uid="{EE4D4A99-335F-4C35-BC4F-EED0DE03C426}" autoFormatId="0"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ExternalData_33" connectionId="108" xr16:uid="{78A1882D-E49C-4DA0-96A0-730ECDD030A4}" autoFormatId="0"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ExternalData_82" connectionId="564" xr16:uid="{237C6CC3-B29E-4ED7-A0FF-131ACD5C3B39}" autoFormatId="0"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ExternalData_81" connectionId="483" xr16:uid="{5CE60A2A-1439-4996-9075-C1532F0BE6F1}" autoFormatId="0"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ExternalData_42" connectionId="197" xr16:uid="{1061DB8D-1F1C-483D-832D-7118A57820D0}" autoFormatId="0"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ExternalData_86" connectionId="783" xr16:uid="{44D59AB6-A18D-4744-9A6B-105CDE1FA3A9}" autoFormatId="0"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ExternalData_48" connectionId="249" xr16:uid="{0907943A-BF73-4F52-A45C-73EE17E715F8}" autoFormatId="0"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ExternalData_74" connectionId="691" xr16:uid="{1077DA0A-1768-4DD6-967F-EEDF3E00B3F0}" autoFormatId="0"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ExternalData_30" connectionId="12" xr16:uid="{000E6254-2AE5-45FB-AA45-6F1AADF3CC5B}" autoFormatId="0"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ExternalData_15" connectionId="107" xr16:uid="{E87E9BF5-FA70-48CA-AE44-5838021CC930}" autoFormatId="0"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ExternalData_55" connectionId="352" xr16:uid="{D9542356-9F67-4470-B66D-8B722A94EAA9}" autoFormatId="0"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ExternalData_83" connectionId="660" xr16:uid="{D40327F3-8848-4C29-BB23-71A6919E433F}" autoFormatId="0"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ExternalData_52" connectionId="320" xr16:uid="{1F99AC1C-06BE-46DF-AA5C-5E057FF2818D}" autoFormatId="0"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ExternalData_80" connectionId="319" xr16:uid="{6B621FFB-8BF3-4E39-9002-F7F2E6515634}" autoFormatId="0"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ExternalData_79" connectionId="124" xr16:uid="{0148CD03-F2DD-4883-B460-1D0974D9E69B}" autoFormatId="0"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ExternalData_34" connectionId="116" xr16:uid="{E9785FA3-864A-4B9F-B195-05F1EA4C89AC}" autoFormatId="0"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ExternalData_23" connectionId="713" xr16:uid="{25A6135E-56D9-47E5-91D9-9E74BA71B275}" autoFormatId="0"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ExternalData_27" connectionId="800" xr16:uid="{5F46073C-AD94-4C66-9FD5-21E240F05454}" autoFormatId="0"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ExternalData_54" connectionId="344" xr16:uid="{894FFB5C-20EB-4A84-90F0-791567D4D821}" autoFormatId="0"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ExternalData_47" connectionId="240" xr16:uid="{4DF5DCCB-3699-4DEF-A2AC-588546B1BF3D}" autoFormatId="0"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ExternalData_43" connectionId="207" xr16:uid="{C69A74AB-36F3-4126-9BB3-A165CC40DFC2}" autoFormatId="0"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ExternalData_46" connectionId="231" xr16:uid="{1F544A12-226E-430E-8E95-C51A61339002}" autoFormatId="0"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ExternalData_11" connectionId="747" xr16:uid="{BFF307E3-9329-4460-98E1-9DD8828C6C7E}" autoFormatId="0"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ExternalData_14" connectionId="39" xr16:uid="{ED969083-1502-47E0-857C-488AE3AAA9DC}" autoFormatId="0"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ExternalData_35" connectionId="132" xr16:uid="{5393F69F-761B-4EC2-BF77-4165D2661612}" autoFormatId="0"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ExternalData_10" connectionId="452" xr16:uid="{A85BB5EF-FBA8-4206-95B7-D619451D57DA}" autoFormatId="0"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ExternalData_57" connectionId="376" xr16:uid="{A6E7DC63-AC03-4C45-8539-3FD4227369F5}" autoFormatId="0"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ExternalData_78" connectionId="626" xr16:uid="{A67811D3-737E-419A-99DA-8F268A3914FA}" autoFormatId="0"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ExternalData_62" connectionId="449" xr16:uid="{36F6304F-7639-4F6A-88B0-3300CF8E145B}" autoFormatId="0"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ExternalData_91" connectionId="54" xr16:uid="{AF72FB8C-2E82-4FDE-9B26-C90F9A048925}" autoFormatId="0"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ExternalData_18" connectionId="327" xr16:uid="{3981F344-9897-4FDC-8C79-25B2CDD4542E}" autoFormatId="0"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ExternalData_61" connectionId="441" xr16:uid="{31A3C786-8B7A-4E8C-9BBA-C4A41532BE14}" autoFormatId="0"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ExternalData_66" connectionId="507" xr16:uid="{06E93350-362D-4E2F-82D1-4E506B7E03C1}" autoFormatId="0"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ExternalData_72" connectionId="605" xr16:uid="{C23BBB88-E247-4A3D-AE5D-49358F8C20E0}" autoFormatId="0"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ExternalData_36" connectionId="147" xr16:uid="{2844246D-2572-4D11-A2AB-14332AE94DFF}" autoFormatId="0"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ExternalData_28" connectionId="822" xr16:uid="{CFAB9446-B2BA-4A23-BDC7-40FDB1B32BE8}" autoFormatId="0"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ExternalData_77" connectionId="2" xr16:uid="{A0AED77E-2BCA-4763-A272-B9A647F56479}" autoFormatId="0"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ExternalData_40" connectionId="180" xr16:uid="{86DAC717-903F-4D69-A299-3602762D7401}" autoFormatId="0"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ExternalData_31" connectionId="21" xr16:uid="{B1B461ED-2238-4866-9D0C-61C730A41EA4}" autoFormatId="0"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ExternalData_25" connectionId="757" xr16:uid="{C1AFF5C9-7A35-4B0C-8779-7ABCBB1C42EC}" autoFormatId="0"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ExternalData_2" connectionId="205" xr16:uid="{045359F6-9872-44BD-9B39-4996A78DBA5B}" autoFormatId="0"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ExternalData_29" connectionId="839" xr16:uid="{2E2F20BB-D31E-469E-B3ED-7C1D58F33986}" autoFormatId="0"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ExternalData_59" connectionId="393" xr16:uid="{4F621A9A-2B5F-4070-AAE7-5F7F92468774}" autoFormatId="0"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ExternalData_87" connectionId="823" xr16:uid="{FC8D43D1-D60F-4D38-A245-9DE9F2D8999B}" autoFormatId="0"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ExternalData_3" connectionId="694" xr16:uid="{00EEBEA8-2174-4CD9-82E0-99770CF973A8}" autoFormatId="0"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ExternalData_13" connectionId="791" xr16:uid="{9C3AB72A-9D03-4380-BEB5-FB1772B10D06}" autoFormatId="0"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ExternalData_85" connectionId="739" xr16:uid="{7608FC4A-37B5-485A-90C5-47A016CB2F54}" autoFormatId="0"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ExternalData_22" connectionId="693" xr16:uid="{48EBA712-8F03-4195-846D-D13EDDE0058F}" autoFormatId="0"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ExternalData_9" connectionId="206" xr16:uid="{06CFEB9A-FFC3-46A1-AF41-7CC270C5F995}" autoFormatId="0"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ExternalData_32" connectionId="37" xr16:uid="{E1528FBB-A245-4327-A35B-ABD8D5088C07}" autoFormatId="0"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ExternalData_45" connectionId="223" xr16:uid="{EE3EBA27-1E0D-43CE-9794-CFF0650CFD8E}" autoFormatId="0"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ExternalData_63" connectionId="459" xr16:uid="{F04806E4-DDEB-40B6-ACEB-CD6256589DCD}" autoFormatId="0"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ExternalData_44" connectionId="215" xr16:uid="{0687F879-56EB-4901-A4D2-6F8ACC91BB12}" autoFormatId="0"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ExternalData_24" connectionId="748" xr16:uid="{0ACD37B0-06E4-431F-99CB-F5601954AEEC}" autoFormatId="0"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ExternalData_38" connectionId="164" xr16:uid="{A3846252-89D2-4A8A-AC0C-CD3918CC9DE1}" autoFormatId="0"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ExternalData_73" connectionId="625" xr16:uid="{B89362E3-E6D6-4911-80B2-10F16ACCE48B}" autoFormatId="0"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ExternalData_50" connectionId="302" xr16:uid="{4B8FD9E6-B73A-494E-A2CE-7005CF73D79E}" autoFormatId="0"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ExternalData_67" connectionId="515" xr16:uid="{AE262725-3713-4510-A638-ED104E072001}" autoFormatId="0"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ExternalData_20" connectionId="425" xr16:uid="{46F70A40-AF70-48EF-A167-D830FF187362}" autoFormatId="0"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ExternalData_92" connectionId="60" xr16:uid="{E0BD9C2C-ED59-427B-9D84-F9CEA1B4C03F}" autoFormatId="0"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ExternalData_37" connectionId="155" xr16:uid="{D45EDABF-744B-4D3D-8106-8DAE12B9B78A}" autoFormatId="0"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ExternalData_20" connectionId="165" xr16:uid="{65DFF54B-1DA0-40F2-97DC-49B06C8FB1B4}" autoFormatId="0"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ExternalData_60" connectionId="662" xr16:uid="{8A8432B6-170E-4511-B2A1-04FF99FC6E89}" autoFormatId="0"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ExternalData_39" connectionId="336" xr16:uid="{B00E59E4-6B81-4611-9BE2-E50EBACAEBEC}" autoFormatId="0"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ExternalData_1" connectionId="709" xr16:uid="{D7418260-0185-4AE1-B3B2-A7191B8F5DE9}" autoFormatId="0"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ExternalData_79" connectionId="62" xr16:uid="{39AC0542-F4B5-481F-AC0D-A1C86E449FA1}" autoFormatId="0"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ExternalData_45" connectionId="385" xr16:uid="{EDA1A9CD-B905-41A3-B0AB-C44968732BAC}" autoFormatId="0"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ExternalData_32" connectionId="257" xr16:uid="{1C8F8714-CB23-46F8-B0D3-45FDF9936D18}" autoFormatId="0"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ExternalData_22" connectionId="182" xr16:uid="{0B706A73-2C9C-4322-9ABC-B212FD407C44}" autoFormatId="0"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ExternalData_34" connectionId="295" xr16:uid="{42EA8D21-D396-45F6-904B-E351D698C472}" autoFormatId="0"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ExternalData_73" connectionId="793" xr16:uid="{3B03CC59-2EAA-45A8-8B40-EA4C12E32CFD}" autoFormatId="0"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ExternalData_9" connectionId="801" xr16:uid="{384D5DA2-A3A2-4BF9-BC68-CDBFF528133F}" autoFormatId="0"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ExternalData_64" connectionId="451" xr16:uid="{1C97EF82-74DA-4A65-8608-8FDF05E93A2F}" autoFormatId="0"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ExternalData_59" connectionId="606" xr16:uid="{98C10317-5000-44A4-8B0A-B9CC8D267B15}" autoFormatId="0"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ExternalData_56" connectionId="139" xr16:uid="{DC9B6FA1-486C-4D7A-AF68-3BFBD9DF8922}" autoFormatId="0"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ExternalData_35" connectionId="303" xr16:uid="{FFDEE9FE-37E2-49DD-9E07-E78F2BAF26B6}" autoFormatId="0"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ExternalData_41" connectionId="345" xr16:uid="{108586BD-D661-4CB8-B94B-34B7748768C3}" autoFormatId="0"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ExternalData_44" connectionId="377" xr16:uid="{D1C46A00-3593-4A1F-9955-F007A8B08D40}" autoFormatId="0"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ExternalData_55" connectionId="555" xr16:uid="{B56EC5BC-DDB7-4E5F-A861-5A26D3636D5C}" autoFormatId="0"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ExternalData_46" connectionId="426" xr16:uid="{2899918F-3744-49A9-9B0C-3A9D8763C538}" autoFormatId="0"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ExternalData_65" connectionId="838" xr16:uid="{102B8D1E-B8FC-4CC2-AF2B-87BD2726DE1F}" autoFormatId="0"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ExternalData_66" connectionId="131" xr16:uid="{A1243560-50BE-42B5-AE53-0657C5F5C6C1}" autoFormatId="0"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ExternalData_4" connectionId="712" xr16:uid="{36FE7BDC-970C-4146-93CC-30103C9B8BFC}" autoFormatId="0"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ExternalData_2" connectionId="710" xr16:uid="{4FC925D1-8118-4B12-98F5-ADE23C12CEF3}" autoFormatId="0"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ExternalData_54" connectionId="516" xr16:uid="{9515A17B-A69C-4B5A-ACE0-59F2589641D9}" autoFormatId="0"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ExternalData_29" connectionId="241" xr16:uid="{AB47D623-13AE-4AD4-8D76-845096290B66}" autoFormatId="0"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ExternalData_10" connectionId="830" xr16:uid="{816E769C-3EDE-4A35-91BF-4094C1FC5620}" autoFormatId="0"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ExternalData_8" connectionId="792" xr16:uid="{970DDB65-F591-4C74-BAE6-C93DCDC7683C}" autoFormatId="0"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ExternalData_72" connectionId="750" xr16:uid="{015AF977-E075-4CEE-B8DB-C8948CC76C27}" autoFormatId="0"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ExternalData_21" connectionId="173" xr16:uid="{9E559F2F-1F21-4204-B9AE-5A39602509E7}" autoFormatId="0"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ExternalData_36" connectionId="310" xr16:uid="{E45D8A1E-F0C5-4F69-81DB-8E410D0120A9}" autoFormatId="0"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ExternalData_6" connectionId="749" xr16:uid="{B2BD1F04-9ABA-460F-AED2-4A81904CDF71}" autoFormatId="0"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ExternalData_75" connectionId="853" xr16:uid="{196039AB-6E39-405A-ABE2-77C80B0AA12F}" autoFormatId="0"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ExternalData_19" connectionId="156" xr16:uid="{1A0D9DAA-9E14-4BB9-A8CB-A124185E98F7}" autoFormatId="0"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ExternalData_17" connectionId="140" xr16:uid="{674A1D64-70A8-4B37-872D-200CA950D610}" autoFormatId="0"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ExternalData_52" connectionId="476" xr16:uid="{99568881-6582-4276-8BC2-B3884BC4BC2D}" autoFormatId="0"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ExternalData_27" connectionId="224" xr16:uid="{179579A2-9373-4710-AE39-BFB6F7756118}" autoFormatId="0"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ExternalData_13" connectionId="22" xr16:uid="{072DBDFC-21B2-4098-8D01-733EB2E235AD}" autoFormatId="0"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ExternalData_58" connectionId="604" xr16:uid="{008D3EAC-B112-4914-A1CF-3BD2BD7CB0FA}" autoFormatId="0"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ExternalData_77" connectionId="41" xr16:uid="{B4577866-F446-4EA9-9094-DEFA5C3EA50E}" autoFormatId="0"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ExternalData_53" connectionId="508" xr16:uid="{4C264AB7-CDE1-4FF8-BF09-2CEFE119BA0E}" autoFormatId="0"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ExternalData_26" connectionId="216" xr16:uid="{EA0B1F97-CAB3-4B7F-8474-D83A35EC6B61}" autoFormatId="0"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ExternalData_37" connectionId="312" xr16:uid="{F641144C-3A51-49BF-B4F8-4467BAB348F2}" autoFormatId="0"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ExternalData_62" connectionId="859" xr16:uid="{EFEAE5B6-5A0B-4718-92D5-01994FC7416F}" autoFormatId="0"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ExternalData_51" connectionId="468" xr16:uid="{13DCFCFA-6F23-46C5-8E99-3FD914A894F5}" autoFormatId="0"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ExternalData_71" connectionId="702" xr16:uid="{F35D4E01-E0A9-409C-A1A8-337079538BA2}" autoFormatId="0"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ExternalData_43" connectionId="369" xr16:uid="{3CD36951-DB52-46F1-93D5-EE6708C18CDC}" autoFormatId="0"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ExternalData_40" connectionId="343" xr16:uid="{F0F8397C-A5C4-4991-AEB2-D8C75C299314}" autoFormatId="0"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ExternalData_50" connectionId="460" xr16:uid="{5AC11B08-44F1-4D9F-B36F-7FD6CE025B42}" autoFormatId="0"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ExternalData_28" connectionId="233" xr16:uid="{584A08EC-7A77-4842-8222-64F6517D39BE}" autoFormatId="0"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ExternalData_70" connectionId="661" xr16:uid="{C44F6C7B-6C3B-4C2F-8657-F45A4DA73D34}" autoFormatId="0"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ExternalData_76" connectionId="14" xr16:uid="{617AF0CA-B303-4C33-A98A-0C5FC15D3DB3}" autoFormatId="0"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ExternalData_68" connectionId="499" xr16:uid="{BEDEECCE-44D1-48EA-8D5E-8AFB312D9E9D}" autoFormatId="0"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ExternalData_33" connectionId="259" xr16:uid="{E6DEBCF5-FA33-41F8-84B7-B465E5A8C70A}" autoFormatId="0"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ExternalData_7" connectionId="758" xr16:uid="{DB3C4D4D-57C1-4054-B25F-3C14C22B3E98}" autoFormatId="0"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ExternalData_23" connectionId="190" xr16:uid="{7178AA39-C444-451E-B5D1-594A12375853}" autoFormatId="0"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ExternalData_11" connectionId="4" xr16:uid="{2B98CE20-CEF6-4D2C-9D9F-BA71EAC8029B}" autoFormatId="0"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ExternalData_18" connectionId="148" xr16:uid="{3FC2FF5A-0B8B-441D-A4BB-D37F57A4AD3D}" autoFormatId="0"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ExternalData_30" connectionId="248" xr16:uid="{41280558-D0F2-46DE-BA33-F7542CB0C314}" autoFormatId="0"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ExternalData_47" connectionId="434" xr16:uid="{9C7D5DA9-EEA0-4B3F-9DD7-AC83B0CB6FE4}" autoFormatId="0"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ExternalData_69" connectionId="627" xr16:uid="{48B783F0-38B1-45B9-BD27-EBFFAEA82FEC}" autoFormatId="0"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ExternalData_15" connectionId="109" xr16:uid="{1D810F9A-7856-4185-8500-D0C448EC4AB5}" autoFormatId="0"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ExternalData_61" connectionId="692" xr16:uid="{1B01D731-DA29-483F-8879-A0EED3F4B797}" autoFormatId="0"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ExternalData_42" connectionId="354" xr16:uid="{24916483-0E02-4687-A423-AF634E0A8B4C}" autoFormatId="0"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ExternalData_12" connectionId="13" xr16:uid="{DD0BA68F-D97F-448F-95EB-0220C0D770C9}" autoFormatId="0"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ExternalData_3" connectionId="711" xr16:uid="{F8F74AC5-46E0-4208-A7DB-489B6B8D7E99}" autoFormatId="0"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ExternalData_14" connectionId="38" xr16:uid="{CF41DEBD-2C3F-40C2-8B3F-E88AF091BA0C}" autoFormatId="0"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ExternalData_74" connectionId="831" xr16:uid="{630A2DBA-D826-49FC-A316-20831B69D289}" autoFormatId="0"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ExternalData_31" connectionId="250" xr16:uid="{7F2DAE27-4A72-4970-BCFD-00D45E03FD70}" autoFormatId="0"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ExternalData_78" connectionId="55" xr16:uid="{E418FB99-3E8D-440B-A929-938AC762524F}" autoFormatId="0"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ExternalData_24" connectionId="198" xr16:uid="{CA1D82F3-33CB-462C-BA37-64B59E04BC26}" autoFormatId="0"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ExternalData_63" connectionId="506" xr16:uid="{C0C0DE83-1ADD-4959-9224-C1DE37217CF9}" autoFormatId="0"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ExternalData_16" connectionId="117" xr16:uid="{5EB48B31-DBD5-48A4-B573-0BB6E6D666D8}" autoFormatId="0"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ExternalData_5" connectionId="714" xr16:uid="{CCFD8FA0-77E3-413A-8E78-1474D0B658F6}" autoFormatId="0"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ExternalData_49" connectionId="450" xr16:uid="{28FC26F1-896F-42FB-B9BE-66194C11CE7F}" autoFormatId="0"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ExternalData_48" connectionId="442" xr16:uid="{94B599F5-AAA8-4751-831F-86C6F1D7C85B}" autoFormatId="0"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ExternalData_38" connectionId="328" xr16:uid="{A85D3E16-067A-4918-8490-A4FA9C84738C}" autoFormatId="0"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ExternalData_57" connectionId="498" xr16:uid="{8C6F485F-3B4F-43BB-9D38-284F5AECC621}" autoFormatId="0"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ExternalData_67" connectionId="353" xr16:uid="{D54E7B89-DB48-45E2-863A-29EFABA203E3}" autoFormatId="0"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ExternalData_25" connectionId="208" xr16:uid="{6B422D66-6AD3-4FC9-A2A5-A36FCD9B8E97}" autoFormatId="0"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ExternalData_6" connectionId="634" xr16:uid="{6E823FBB-8755-4CE4-A3F8-139986859DC5}" autoFormatId="0"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ExternalData_15" connectionId="56" xr16:uid="{4357261B-5E27-4824-80EB-EF35EEFE3A74}" autoFormatId="0"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ExternalData_16" connectionId="99" xr16:uid="{8962AD18-99AA-4188-B48B-EEF4C4025C20}" autoFormatId="0"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ExternalData_5" connectionId="523" xr16:uid="{62ACCB8F-6873-46D7-B200-762E196C4C37}" autoFormatId="0"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ExternalData_1" connectionId="563" xr16:uid="{E6F7D46C-30B8-4E6A-A51E-E9AFB0B4A394}" autoFormatId="0"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ExternalData_13" connectionId="23" xr16:uid="{23C7F8F9-6073-4EEE-AAF3-7E2B17CD3221}" autoFormatId="0"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ExternalData_11" connectionId="840" xr16:uid="{8975C8B3-21C4-4A19-A85E-11F44D5D779D}" autoFormatId="0"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ExternalData_9" connectionId="759" xr16:uid="{92C09C17-FC6F-4E0F-9E64-BC9AC4C0F860}" autoFormatId="0"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ExternalData_14" connectionId="42" xr16:uid="{0DAF901C-F8C1-49B9-BCA8-93816442D194}" autoFormatId="0"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ExternalData_2" connectionId="61" xr16:uid="{37171821-55ED-4E7B-A49A-A0A429ACDFEE}" autoFormatId="0"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ExternalData_7" connectionId="663" xr16:uid="{BF7D5D95-D3A6-4036-8EEE-A1D93AE100EC}" autoFormatId="0"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ExternalData_8" connectionId="715" xr16:uid="{A092419E-6BD6-4A18-8D83-622C67357799}" autoFormatId="0"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ExternalData_12" connectionId="860" xr16:uid="{6FACF516-70EC-4464-B851-23AB152881B2}" autoFormatId="0"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ExternalData_4" connectionId="392" xr16:uid="{48330E56-2106-4799-AA66-0C9C5659A57C}" autoFormatId="0"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ExternalData_3" connectionId="258" xr16:uid="{F2208423-51E0-414D-AC7C-0D95D0E45C29}" autoFormatId="0"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ExternalData_10" connectionId="802" xr16:uid="{32CB8E6C-584E-4309-A297-A5955AD1F173}"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4</v>
  </rv>
  <rv s="0">
    <v>1</v>
    <v>4</v>
  </rv>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27CEBA-E015-41F7-8374-7778729D59BA}" name="FinalSeedTable" displayName="FinalSeedTable" ref="A3:D131" totalsRowShown="0" headerRowDxfId="17" dataDxfId="16">
  <autoFilter ref="A3:D131" xr:uid="{4527CEBA-E015-41F7-8374-7778729D59BA}"/>
  <tableColumns count="4">
    <tableColumn id="1" xr3:uid="{CBE4A1C5-4EF0-4F07-967A-C5F4C6B2B180}" name="Seed" dataDxfId="15">
      <calculatedColumnFormula>IF(B4&lt;&gt;"",A3+1,"")</calculatedColumnFormula>
    </tableColumn>
    <tableColumn id="2" xr3:uid="{CC8FEEEC-2AAF-486E-8FC1-0BCE0546935A}" name="Player Name" dataDxfId="14">
      <calculatedColumnFormula>VLOOKUP(FinalSeedTable[[#This Row],[Draw'#]],M$6:P$7,3,FALSE)</calculatedColumnFormula>
    </tableColumn>
    <tableColumn id="3" xr3:uid="{4F7B1F59-8ACD-4F74-A5EB-64F0FC996911}" name="Group" dataDxfId="13">
      <calculatedColumnFormula>VLOOKUP(FinalSeedTable[[#This Row],[Draw'#]],N$4:P$4,3,FALSE)</calculatedColumnFormula>
    </tableColumn>
    <tableColumn id="4" xr3:uid="{AD587671-7813-4C3D-8FF4-A528E0B8C90D}" name="Draw#" dataDxfId="1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122076C-8318-4379-A60E-1829334AD0A5}" name="TablePreSeed" displayName="TablePreSeed" ref="M3:P131" totalsRowShown="0" headerRowDxfId="11" dataDxfId="10">
  <tableColumns count="4">
    <tableColumn id="5" xr3:uid="{077EED8F-3AA1-4EE5-BB63-C33A899DDEAD}" name="Draw#" dataDxfId="9"/>
    <tableColumn id="1" xr3:uid="{910B6D3C-1AEB-4F0A-8FD3-FCAB50B1689A}" name="Rank" dataDxfId="8">
      <calculatedColumnFormula array="1">IF(INDEX(PlayerEntries!#REF!,ROW(),$L$5)&lt;&gt;0,INDEX(PlayerEntries!#REF!,ROW(),$L$5),"")</calculatedColumnFormula>
    </tableColumn>
    <tableColumn id="2" xr3:uid="{16ED6047-CB8F-4FE7-AC3B-A6475633F36D}" name="Name of Player" dataDxfId="7">
      <calculatedColumnFormula array="1">IF(INDEX(PlayerEntries!#REF!,ROW(),$L$5+1)&lt;&gt;0,INDEX(PlayerEntries!#REF!,ROW(),$L$5+1),"")</calculatedColumnFormula>
    </tableColumn>
    <tableColumn id="3" xr3:uid="{2E33546A-0836-478C-85A1-0122BDD85BF2}" name="District" dataDxfId="6">
      <calculatedColumnFormula array="1">IF(INDEX(PlayerEntries!#REF!,ROW(),$L$5+2)&lt;&gt;0,INDEX(PlayerEntries!#REF!,ROW(),$L$5+2),"")</calculatedColumnFormula>
    </tableColumn>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85A2C7-DB94-4EA6-A51B-235EDA561BD0}" name="TableQualifiers" displayName="TableQualifiers" ref="A1:E129" totalsRowShown="0" headerRowDxfId="5">
  <autoFilter ref="A1:E129" xr:uid="{91F9848C-5A5D-4326-9E3B-C148AC416D32}"/>
  <sortState xmlns:xlrd2="http://schemas.microsoft.com/office/spreadsheetml/2017/richdata2" ref="A2:E129">
    <sortCondition ref="E1:E129"/>
  </sortState>
  <tableColumns count="5">
    <tableColumn id="1" xr3:uid="{4D140751-3570-47E0-8438-35CE6F89D466}" name="Seed"/>
    <tableColumn id="2" xr3:uid="{4667C75B-2224-4D76-A650-522B597BB449}" name="Player"/>
    <tableColumn id="3" xr3:uid="{8EC39ABC-AC69-4D17-86ED-02278B1E262C}" name="Group"/>
    <tableColumn id="4" xr3:uid="{996FBA43-01F7-4440-B292-37E72287FA06}" name="League Group"/>
    <tableColumn id="5" xr3:uid="{15E9C111-A949-47C7-AC32-108BE0D82ABE}" name="League Group Rank"/>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F9848C-5A5D-4326-9E3B-C148AC416D32}" name="TableParticipants" displayName="TableParticipants" ref="A1:C129" totalsRowShown="0" headerRowDxfId="4" dataDxfId="3">
  <autoFilter ref="A1:C129" xr:uid="{91F9848C-5A5D-4326-9E3B-C148AC416D32}"/>
  <tableColumns count="3">
    <tableColumn id="1" xr3:uid="{5DAED300-E6D1-46E8-998F-037985E8B76E}" name="Seed" dataDxfId="2">
      <calculatedColumnFormula>Draw!A4</calculatedColumnFormula>
    </tableColumn>
    <tableColumn id="2" xr3:uid="{EB23C928-9DE5-4277-A703-C224693B74D1}" name="Player" dataDxfId="1">
      <calculatedColumnFormula>Draw!B4</calculatedColumnFormula>
    </tableColumn>
    <tableColumn id="3" xr3:uid="{2CE9A476-2CF9-44D3-BA42-C783B1F5B255}" name="Group" dataDxfId="0">
      <calculatedColumnFormula>Draw!C4</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7" dT="2025-01-08T17:00:46.42" personId="{6419144C-9669-4D98-9886-4E8D4D0A4B34}" id="{D023D119-D723-4A4D-B782-416C31D4BB80}">
    <text xml:space="preserve">If user overrides auto and gives a count
, above fields are ignored.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4.xml"/><Relationship Id="rId21" Type="http://schemas.openxmlformats.org/officeDocument/2006/relationships/ctrlProp" Target="../ctrlProps/ctrlProp29.xml"/><Relationship Id="rId42" Type="http://schemas.openxmlformats.org/officeDocument/2006/relationships/ctrlProp" Target="../ctrlProps/ctrlProp50.xml"/><Relationship Id="rId47" Type="http://schemas.openxmlformats.org/officeDocument/2006/relationships/ctrlProp" Target="../ctrlProps/ctrlProp55.xml"/><Relationship Id="rId63" Type="http://schemas.openxmlformats.org/officeDocument/2006/relationships/ctrlProp" Target="../ctrlProps/ctrlProp71.xml"/><Relationship Id="rId68" Type="http://schemas.openxmlformats.org/officeDocument/2006/relationships/ctrlProp" Target="../ctrlProps/ctrlProp76.xml"/><Relationship Id="rId7" Type="http://schemas.openxmlformats.org/officeDocument/2006/relationships/ctrlProp" Target="../ctrlProps/ctrlProp15.xml"/><Relationship Id="rId2" Type="http://schemas.openxmlformats.org/officeDocument/2006/relationships/drawing" Target="../drawings/drawing2.xml"/><Relationship Id="rId16" Type="http://schemas.openxmlformats.org/officeDocument/2006/relationships/ctrlProp" Target="../ctrlProps/ctrlProp24.xml"/><Relationship Id="rId29" Type="http://schemas.openxmlformats.org/officeDocument/2006/relationships/ctrlProp" Target="../ctrlProps/ctrlProp37.xml"/><Relationship Id="rId11" Type="http://schemas.openxmlformats.org/officeDocument/2006/relationships/ctrlProp" Target="../ctrlProps/ctrlProp19.xml"/><Relationship Id="rId24" Type="http://schemas.openxmlformats.org/officeDocument/2006/relationships/ctrlProp" Target="../ctrlProps/ctrlProp32.xml"/><Relationship Id="rId32" Type="http://schemas.openxmlformats.org/officeDocument/2006/relationships/ctrlProp" Target="../ctrlProps/ctrlProp40.xml"/><Relationship Id="rId37" Type="http://schemas.openxmlformats.org/officeDocument/2006/relationships/ctrlProp" Target="../ctrlProps/ctrlProp45.xml"/><Relationship Id="rId40" Type="http://schemas.openxmlformats.org/officeDocument/2006/relationships/ctrlProp" Target="../ctrlProps/ctrlProp48.xml"/><Relationship Id="rId45" Type="http://schemas.openxmlformats.org/officeDocument/2006/relationships/ctrlProp" Target="../ctrlProps/ctrlProp53.xml"/><Relationship Id="rId53" Type="http://schemas.openxmlformats.org/officeDocument/2006/relationships/ctrlProp" Target="../ctrlProps/ctrlProp61.xml"/><Relationship Id="rId58" Type="http://schemas.openxmlformats.org/officeDocument/2006/relationships/ctrlProp" Target="../ctrlProps/ctrlProp66.xml"/><Relationship Id="rId66" Type="http://schemas.openxmlformats.org/officeDocument/2006/relationships/ctrlProp" Target="../ctrlProps/ctrlProp74.xml"/><Relationship Id="rId5" Type="http://schemas.openxmlformats.org/officeDocument/2006/relationships/ctrlProp" Target="../ctrlProps/ctrlProp13.xml"/><Relationship Id="rId61" Type="http://schemas.openxmlformats.org/officeDocument/2006/relationships/ctrlProp" Target="../ctrlProps/ctrlProp69.xml"/><Relationship Id="rId19" Type="http://schemas.openxmlformats.org/officeDocument/2006/relationships/ctrlProp" Target="../ctrlProps/ctrlProp2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 Id="rId30" Type="http://schemas.openxmlformats.org/officeDocument/2006/relationships/ctrlProp" Target="../ctrlProps/ctrlProp38.xml"/><Relationship Id="rId35" Type="http://schemas.openxmlformats.org/officeDocument/2006/relationships/ctrlProp" Target="../ctrlProps/ctrlProp43.xml"/><Relationship Id="rId43" Type="http://schemas.openxmlformats.org/officeDocument/2006/relationships/ctrlProp" Target="../ctrlProps/ctrlProp51.xml"/><Relationship Id="rId48" Type="http://schemas.openxmlformats.org/officeDocument/2006/relationships/ctrlProp" Target="../ctrlProps/ctrlProp56.xml"/><Relationship Id="rId56" Type="http://schemas.openxmlformats.org/officeDocument/2006/relationships/ctrlProp" Target="../ctrlProps/ctrlProp64.xml"/><Relationship Id="rId64" Type="http://schemas.openxmlformats.org/officeDocument/2006/relationships/ctrlProp" Target="../ctrlProps/ctrlProp72.xml"/><Relationship Id="rId69" Type="http://schemas.openxmlformats.org/officeDocument/2006/relationships/ctrlProp" Target="../ctrlProps/ctrlProp77.xml"/><Relationship Id="rId8" Type="http://schemas.openxmlformats.org/officeDocument/2006/relationships/ctrlProp" Target="../ctrlProps/ctrlProp16.xml"/><Relationship Id="rId51" Type="http://schemas.openxmlformats.org/officeDocument/2006/relationships/ctrlProp" Target="../ctrlProps/ctrlProp59.xml"/><Relationship Id="rId3" Type="http://schemas.openxmlformats.org/officeDocument/2006/relationships/vmlDrawing" Target="../drawings/vmlDrawing2.v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33" Type="http://schemas.openxmlformats.org/officeDocument/2006/relationships/ctrlProp" Target="../ctrlProps/ctrlProp41.xml"/><Relationship Id="rId38" Type="http://schemas.openxmlformats.org/officeDocument/2006/relationships/ctrlProp" Target="../ctrlProps/ctrlProp46.xml"/><Relationship Id="rId46" Type="http://schemas.openxmlformats.org/officeDocument/2006/relationships/ctrlProp" Target="../ctrlProps/ctrlProp54.xml"/><Relationship Id="rId59" Type="http://schemas.openxmlformats.org/officeDocument/2006/relationships/ctrlProp" Target="../ctrlProps/ctrlProp67.xml"/><Relationship Id="rId67" Type="http://schemas.openxmlformats.org/officeDocument/2006/relationships/ctrlProp" Target="../ctrlProps/ctrlProp75.xml"/><Relationship Id="rId20" Type="http://schemas.openxmlformats.org/officeDocument/2006/relationships/ctrlProp" Target="../ctrlProps/ctrlProp28.xml"/><Relationship Id="rId41" Type="http://schemas.openxmlformats.org/officeDocument/2006/relationships/ctrlProp" Target="../ctrlProps/ctrlProp49.xml"/><Relationship Id="rId54" Type="http://schemas.openxmlformats.org/officeDocument/2006/relationships/ctrlProp" Target="../ctrlProps/ctrlProp62.xml"/><Relationship Id="rId62" Type="http://schemas.openxmlformats.org/officeDocument/2006/relationships/ctrlProp" Target="../ctrlProps/ctrlProp70.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36" Type="http://schemas.openxmlformats.org/officeDocument/2006/relationships/ctrlProp" Target="../ctrlProps/ctrlProp44.xml"/><Relationship Id="rId49" Type="http://schemas.openxmlformats.org/officeDocument/2006/relationships/ctrlProp" Target="../ctrlProps/ctrlProp57.xml"/><Relationship Id="rId57" Type="http://schemas.openxmlformats.org/officeDocument/2006/relationships/ctrlProp" Target="../ctrlProps/ctrlProp65.xml"/><Relationship Id="rId10" Type="http://schemas.openxmlformats.org/officeDocument/2006/relationships/ctrlProp" Target="../ctrlProps/ctrlProp18.xml"/><Relationship Id="rId31" Type="http://schemas.openxmlformats.org/officeDocument/2006/relationships/ctrlProp" Target="../ctrlProps/ctrlProp39.xml"/><Relationship Id="rId44" Type="http://schemas.openxmlformats.org/officeDocument/2006/relationships/ctrlProp" Target="../ctrlProps/ctrlProp52.xml"/><Relationship Id="rId52" Type="http://schemas.openxmlformats.org/officeDocument/2006/relationships/ctrlProp" Target="../ctrlProps/ctrlProp60.xml"/><Relationship Id="rId60" Type="http://schemas.openxmlformats.org/officeDocument/2006/relationships/ctrlProp" Target="../ctrlProps/ctrlProp68.xml"/><Relationship Id="rId65" Type="http://schemas.openxmlformats.org/officeDocument/2006/relationships/ctrlProp" Target="../ctrlProps/ctrlProp73.xml"/><Relationship Id="rId4" Type="http://schemas.openxmlformats.org/officeDocument/2006/relationships/ctrlProp" Target="../ctrlProps/ctrlProp12.xml"/><Relationship Id="rId9" Type="http://schemas.openxmlformats.org/officeDocument/2006/relationships/ctrlProp" Target="../ctrlProps/ctrlProp17.xml"/><Relationship Id="rId13" Type="http://schemas.openxmlformats.org/officeDocument/2006/relationships/ctrlProp" Target="../ctrlProps/ctrlProp21.xml"/><Relationship Id="rId18" Type="http://schemas.openxmlformats.org/officeDocument/2006/relationships/ctrlProp" Target="../ctrlProps/ctrlProp26.xml"/><Relationship Id="rId39" Type="http://schemas.openxmlformats.org/officeDocument/2006/relationships/ctrlProp" Target="../ctrlProps/ctrlProp47.xml"/><Relationship Id="rId34" Type="http://schemas.openxmlformats.org/officeDocument/2006/relationships/ctrlProp" Target="../ctrlProps/ctrlProp42.xml"/><Relationship Id="rId50" Type="http://schemas.openxmlformats.org/officeDocument/2006/relationships/ctrlProp" Target="../ctrlProps/ctrlProp58.xml"/><Relationship Id="rId55" Type="http://schemas.openxmlformats.org/officeDocument/2006/relationships/ctrlProp" Target="../ctrlProps/ctrlProp6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3" Type="http://schemas.openxmlformats.org/officeDocument/2006/relationships/vmlDrawing" Target="../drawings/vmlDrawing3.vml"/><Relationship Id="rId7" Type="http://schemas.openxmlformats.org/officeDocument/2006/relationships/ctrlProp" Target="../ctrlProps/ctrlProp81.xml"/><Relationship Id="rId12" Type="http://schemas.openxmlformats.org/officeDocument/2006/relationships/ctrlProp" Target="../ctrlProps/ctrlProp86.xml"/><Relationship Id="rId2" Type="http://schemas.openxmlformats.org/officeDocument/2006/relationships/drawing" Target="../drawings/drawing3.xml"/><Relationship Id="rId16" Type="http://schemas.openxmlformats.org/officeDocument/2006/relationships/ctrlProp" Target="../ctrlProps/ctrlProp90.xml"/><Relationship Id="rId1" Type="http://schemas.openxmlformats.org/officeDocument/2006/relationships/printerSettings" Target="../printerSettings/printerSettings3.bin"/><Relationship Id="rId6" Type="http://schemas.openxmlformats.org/officeDocument/2006/relationships/ctrlProp" Target="../ctrlProps/ctrlProp80.xml"/><Relationship Id="rId11" Type="http://schemas.openxmlformats.org/officeDocument/2006/relationships/ctrlProp" Target="../ctrlProps/ctrlProp85.xml"/><Relationship Id="rId5" Type="http://schemas.openxmlformats.org/officeDocument/2006/relationships/ctrlProp" Target="../ctrlProps/ctrlProp79.xml"/><Relationship Id="rId15" Type="http://schemas.openxmlformats.org/officeDocument/2006/relationships/ctrlProp" Target="../ctrlProps/ctrlProp89.xml"/><Relationship Id="rId10" Type="http://schemas.openxmlformats.org/officeDocument/2006/relationships/ctrlProp" Target="../ctrlProps/ctrlProp84.xml"/><Relationship Id="rId4" Type="http://schemas.openxmlformats.org/officeDocument/2006/relationships/ctrlProp" Target="../ctrlProps/ctrlProp78.xml"/><Relationship Id="rId9" Type="http://schemas.openxmlformats.org/officeDocument/2006/relationships/ctrlProp" Target="../ctrlProps/ctrlProp83.xml"/><Relationship Id="rId14" Type="http://schemas.openxmlformats.org/officeDocument/2006/relationships/ctrlProp" Target="../ctrlProps/ctrlProp8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02.xml"/><Relationship Id="rId18" Type="http://schemas.openxmlformats.org/officeDocument/2006/relationships/ctrlProp" Target="../ctrlProps/ctrlProp107.xml"/><Relationship Id="rId26" Type="http://schemas.openxmlformats.org/officeDocument/2006/relationships/ctrlProp" Target="../ctrlProps/ctrlProp115.xml"/><Relationship Id="rId39" Type="http://schemas.openxmlformats.org/officeDocument/2006/relationships/ctrlProp" Target="../ctrlProps/ctrlProp128.xml"/><Relationship Id="rId21" Type="http://schemas.openxmlformats.org/officeDocument/2006/relationships/ctrlProp" Target="../ctrlProps/ctrlProp110.xml"/><Relationship Id="rId34" Type="http://schemas.openxmlformats.org/officeDocument/2006/relationships/ctrlProp" Target="../ctrlProps/ctrlProp123.xml"/><Relationship Id="rId7" Type="http://schemas.openxmlformats.org/officeDocument/2006/relationships/ctrlProp" Target="../ctrlProps/ctrlProp96.xml"/><Relationship Id="rId2" Type="http://schemas.openxmlformats.org/officeDocument/2006/relationships/drawing" Target="../drawings/drawing5.xml"/><Relationship Id="rId16" Type="http://schemas.openxmlformats.org/officeDocument/2006/relationships/ctrlProp" Target="../ctrlProps/ctrlProp105.xml"/><Relationship Id="rId20" Type="http://schemas.openxmlformats.org/officeDocument/2006/relationships/ctrlProp" Target="../ctrlProps/ctrlProp109.xml"/><Relationship Id="rId29" Type="http://schemas.openxmlformats.org/officeDocument/2006/relationships/ctrlProp" Target="../ctrlProps/ctrlProp118.xml"/><Relationship Id="rId41" Type="http://schemas.openxmlformats.org/officeDocument/2006/relationships/ctrlProp" Target="../ctrlProps/ctrlProp130.xml"/><Relationship Id="rId1" Type="http://schemas.openxmlformats.org/officeDocument/2006/relationships/printerSettings" Target="../printerSettings/printerSettings5.bin"/><Relationship Id="rId6" Type="http://schemas.openxmlformats.org/officeDocument/2006/relationships/ctrlProp" Target="../ctrlProps/ctrlProp95.xml"/><Relationship Id="rId11" Type="http://schemas.openxmlformats.org/officeDocument/2006/relationships/ctrlProp" Target="../ctrlProps/ctrlProp100.xml"/><Relationship Id="rId24" Type="http://schemas.openxmlformats.org/officeDocument/2006/relationships/ctrlProp" Target="../ctrlProps/ctrlProp113.xml"/><Relationship Id="rId32" Type="http://schemas.openxmlformats.org/officeDocument/2006/relationships/ctrlProp" Target="../ctrlProps/ctrlProp121.xml"/><Relationship Id="rId37" Type="http://schemas.openxmlformats.org/officeDocument/2006/relationships/ctrlProp" Target="../ctrlProps/ctrlProp126.xml"/><Relationship Id="rId40" Type="http://schemas.openxmlformats.org/officeDocument/2006/relationships/ctrlProp" Target="../ctrlProps/ctrlProp129.xml"/><Relationship Id="rId5" Type="http://schemas.openxmlformats.org/officeDocument/2006/relationships/ctrlProp" Target="../ctrlProps/ctrlProp94.xml"/><Relationship Id="rId15" Type="http://schemas.openxmlformats.org/officeDocument/2006/relationships/ctrlProp" Target="../ctrlProps/ctrlProp104.xml"/><Relationship Id="rId23" Type="http://schemas.openxmlformats.org/officeDocument/2006/relationships/ctrlProp" Target="../ctrlProps/ctrlProp112.xml"/><Relationship Id="rId28" Type="http://schemas.openxmlformats.org/officeDocument/2006/relationships/ctrlProp" Target="../ctrlProps/ctrlProp117.xml"/><Relationship Id="rId36" Type="http://schemas.openxmlformats.org/officeDocument/2006/relationships/ctrlProp" Target="../ctrlProps/ctrlProp125.xml"/><Relationship Id="rId10" Type="http://schemas.openxmlformats.org/officeDocument/2006/relationships/ctrlProp" Target="../ctrlProps/ctrlProp99.xml"/><Relationship Id="rId19" Type="http://schemas.openxmlformats.org/officeDocument/2006/relationships/ctrlProp" Target="../ctrlProps/ctrlProp108.xml"/><Relationship Id="rId31" Type="http://schemas.openxmlformats.org/officeDocument/2006/relationships/ctrlProp" Target="../ctrlProps/ctrlProp120.xml"/><Relationship Id="rId4" Type="http://schemas.openxmlformats.org/officeDocument/2006/relationships/ctrlProp" Target="../ctrlProps/ctrlProp93.xml"/><Relationship Id="rId9" Type="http://schemas.openxmlformats.org/officeDocument/2006/relationships/ctrlProp" Target="../ctrlProps/ctrlProp98.xml"/><Relationship Id="rId14" Type="http://schemas.openxmlformats.org/officeDocument/2006/relationships/ctrlProp" Target="../ctrlProps/ctrlProp103.xml"/><Relationship Id="rId22" Type="http://schemas.openxmlformats.org/officeDocument/2006/relationships/ctrlProp" Target="../ctrlProps/ctrlProp111.xml"/><Relationship Id="rId27" Type="http://schemas.openxmlformats.org/officeDocument/2006/relationships/ctrlProp" Target="../ctrlProps/ctrlProp116.xml"/><Relationship Id="rId30" Type="http://schemas.openxmlformats.org/officeDocument/2006/relationships/ctrlProp" Target="../ctrlProps/ctrlProp119.xml"/><Relationship Id="rId35" Type="http://schemas.openxmlformats.org/officeDocument/2006/relationships/ctrlProp" Target="../ctrlProps/ctrlProp124.xml"/><Relationship Id="rId8" Type="http://schemas.openxmlformats.org/officeDocument/2006/relationships/ctrlProp" Target="../ctrlProps/ctrlProp97.xml"/><Relationship Id="rId3" Type="http://schemas.openxmlformats.org/officeDocument/2006/relationships/vmlDrawing" Target="../drawings/vmlDrawing5.vml"/><Relationship Id="rId12" Type="http://schemas.openxmlformats.org/officeDocument/2006/relationships/ctrlProp" Target="../ctrlProps/ctrlProp101.xml"/><Relationship Id="rId17" Type="http://schemas.openxmlformats.org/officeDocument/2006/relationships/ctrlProp" Target="../ctrlProps/ctrlProp106.xml"/><Relationship Id="rId25" Type="http://schemas.openxmlformats.org/officeDocument/2006/relationships/ctrlProp" Target="../ctrlProps/ctrlProp114.xml"/><Relationship Id="rId33" Type="http://schemas.openxmlformats.org/officeDocument/2006/relationships/ctrlProp" Target="../ctrlProps/ctrlProp122.xml"/><Relationship Id="rId38" Type="http://schemas.openxmlformats.org/officeDocument/2006/relationships/ctrlProp" Target="../ctrlProps/ctrlProp12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3.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table" Target="../tables/table4.xml"/><Relationship Id="rId4" Type="http://schemas.openxmlformats.org/officeDocument/2006/relationships/ctrlProp" Target="../ctrlProps/ctrlProp13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17" Type="http://schemas.openxmlformats.org/officeDocument/2006/relationships/queryTable" Target="../queryTables/queryTable111.xml"/><Relationship Id="rId671" Type="http://schemas.openxmlformats.org/officeDocument/2006/relationships/queryTable" Target="../queryTables/queryTable665.xml"/><Relationship Id="rId21" Type="http://schemas.openxmlformats.org/officeDocument/2006/relationships/queryTable" Target="../queryTables/queryTable15.xml"/><Relationship Id="rId324" Type="http://schemas.openxmlformats.org/officeDocument/2006/relationships/queryTable" Target="../queryTables/queryTable318.xml"/><Relationship Id="rId531" Type="http://schemas.openxmlformats.org/officeDocument/2006/relationships/queryTable" Target="../queryTables/queryTable525.xml"/><Relationship Id="rId629" Type="http://schemas.openxmlformats.org/officeDocument/2006/relationships/queryTable" Target="../queryTables/queryTable623.xml"/><Relationship Id="rId170" Type="http://schemas.openxmlformats.org/officeDocument/2006/relationships/queryTable" Target="../queryTables/queryTable164.xml"/><Relationship Id="rId268" Type="http://schemas.openxmlformats.org/officeDocument/2006/relationships/queryTable" Target="../queryTables/queryTable262.xml"/><Relationship Id="rId475" Type="http://schemas.openxmlformats.org/officeDocument/2006/relationships/queryTable" Target="../queryTables/queryTable469.xml"/><Relationship Id="rId682" Type="http://schemas.openxmlformats.org/officeDocument/2006/relationships/queryTable" Target="../queryTables/queryTable676.xml"/><Relationship Id="rId32" Type="http://schemas.openxmlformats.org/officeDocument/2006/relationships/queryTable" Target="../queryTables/queryTable26.xml"/><Relationship Id="rId128" Type="http://schemas.openxmlformats.org/officeDocument/2006/relationships/queryTable" Target="../queryTables/queryTable122.xml"/><Relationship Id="rId335" Type="http://schemas.openxmlformats.org/officeDocument/2006/relationships/queryTable" Target="../queryTables/queryTable329.xml"/><Relationship Id="rId542" Type="http://schemas.openxmlformats.org/officeDocument/2006/relationships/queryTable" Target="../queryTables/queryTable536.xml"/><Relationship Id="rId181" Type="http://schemas.openxmlformats.org/officeDocument/2006/relationships/queryTable" Target="../queryTables/queryTable175.xml"/><Relationship Id="rId402" Type="http://schemas.openxmlformats.org/officeDocument/2006/relationships/queryTable" Target="../queryTables/queryTable396.xml"/><Relationship Id="rId279" Type="http://schemas.openxmlformats.org/officeDocument/2006/relationships/queryTable" Target="../queryTables/queryTable273.xml"/><Relationship Id="rId486" Type="http://schemas.openxmlformats.org/officeDocument/2006/relationships/queryTable" Target="../queryTables/queryTable480.xml"/><Relationship Id="rId43" Type="http://schemas.openxmlformats.org/officeDocument/2006/relationships/queryTable" Target="../queryTables/queryTable37.xml"/><Relationship Id="rId139" Type="http://schemas.openxmlformats.org/officeDocument/2006/relationships/queryTable" Target="../queryTables/queryTable133.xml"/><Relationship Id="rId346" Type="http://schemas.openxmlformats.org/officeDocument/2006/relationships/queryTable" Target="../queryTables/queryTable340.xml"/><Relationship Id="rId553" Type="http://schemas.openxmlformats.org/officeDocument/2006/relationships/queryTable" Target="../queryTables/queryTable547.xml"/><Relationship Id="rId192" Type="http://schemas.openxmlformats.org/officeDocument/2006/relationships/queryTable" Target="../queryTables/queryTable186.xml"/><Relationship Id="rId206" Type="http://schemas.openxmlformats.org/officeDocument/2006/relationships/queryTable" Target="../queryTables/queryTable200.xml"/><Relationship Id="rId413" Type="http://schemas.openxmlformats.org/officeDocument/2006/relationships/queryTable" Target="../queryTables/queryTable407.xml"/><Relationship Id="rId497" Type="http://schemas.openxmlformats.org/officeDocument/2006/relationships/queryTable" Target="../queryTables/queryTable491.xml"/><Relationship Id="rId620" Type="http://schemas.openxmlformats.org/officeDocument/2006/relationships/queryTable" Target="../queryTables/queryTable614.xml"/><Relationship Id="rId357" Type="http://schemas.openxmlformats.org/officeDocument/2006/relationships/queryTable" Target="../queryTables/queryTable351.xml"/><Relationship Id="rId54" Type="http://schemas.openxmlformats.org/officeDocument/2006/relationships/queryTable" Target="../queryTables/queryTable48.xml"/><Relationship Id="rId217" Type="http://schemas.openxmlformats.org/officeDocument/2006/relationships/queryTable" Target="../queryTables/queryTable211.xml"/><Relationship Id="rId564" Type="http://schemas.openxmlformats.org/officeDocument/2006/relationships/queryTable" Target="../queryTables/queryTable558.xml"/><Relationship Id="rId424" Type="http://schemas.openxmlformats.org/officeDocument/2006/relationships/queryTable" Target="../queryTables/queryTable418.xml"/><Relationship Id="rId631" Type="http://schemas.openxmlformats.org/officeDocument/2006/relationships/queryTable" Target="../queryTables/queryTable625.xml"/><Relationship Id="rId270" Type="http://schemas.openxmlformats.org/officeDocument/2006/relationships/queryTable" Target="../queryTables/queryTable264.xml"/><Relationship Id="rId65" Type="http://schemas.openxmlformats.org/officeDocument/2006/relationships/queryTable" Target="../queryTables/queryTable59.xml"/><Relationship Id="rId130" Type="http://schemas.openxmlformats.org/officeDocument/2006/relationships/queryTable" Target="../queryTables/queryTable124.xml"/><Relationship Id="rId368" Type="http://schemas.openxmlformats.org/officeDocument/2006/relationships/queryTable" Target="../queryTables/queryTable362.xml"/><Relationship Id="rId575" Type="http://schemas.openxmlformats.org/officeDocument/2006/relationships/queryTable" Target="../queryTables/queryTable569.xml"/><Relationship Id="rId228" Type="http://schemas.openxmlformats.org/officeDocument/2006/relationships/queryTable" Target="../queryTables/queryTable222.xml"/><Relationship Id="rId435" Type="http://schemas.openxmlformats.org/officeDocument/2006/relationships/queryTable" Target="../queryTables/queryTable429.xml"/><Relationship Id="rId642" Type="http://schemas.openxmlformats.org/officeDocument/2006/relationships/queryTable" Target="../queryTables/queryTable636.xml"/><Relationship Id="rId281" Type="http://schemas.openxmlformats.org/officeDocument/2006/relationships/queryTable" Target="../queryTables/queryTable275.xml"/><Relationship Id="rId502" Type="http://schemas.openxmlformats.org/officeDocument/2006/relationships/queryTable" Target="../queryTables/queryTable496.xml"/><Relationship Id="rId76" Type="http://schemas.openxmlformats.org/officeDocument/2006/relationships/queryTable" Target="../queryTables/queryTable70.xml"/><Relationship Id="rId141" Type="http://schemas.openxmlformats.org/officeDocument/2006/relationships/queryTable" Target="../queryTables/queryTable135.xml"/><Relationship Id="rId379" Type="http://schemas.openxmlformats.org/officeDocument/2006/relationships/queryTable" Target="../queryTables/queryTable373.xml"/><Relationship Id="rId586" Type="http://schemas.openxmlformats.org/officeDocument/2006/relationships/queryTable" Target="../queryTables/queryTable580.xml"/><Relationship Id="rId7" Type="http://schemas.openxmlformats.org/officeDocument/2006/relationships/queryTable" Target="../queryTables/queryTable1.xml"/><Relationship Id="rId239" Type="http://schemas.openxmlformats.org/officeDocument/2006/relationships/queryTable" Target="../queryTables/queryTable233.xml"/><Relationship Id="rId446" Type="http://schemas.openxmlformats.org/officeDocument/2006/relationships/queryTable" Target="../queryTables/queryTable440.xml"/><Relationship Id="rId653" Type="http://schemas.openxmlformats.org/officeDocument/2006/relationships/queryTable" Target="../queryTables/queryTable647.xml"/><Relationship Id="rId292" Type="http://schemas.openxmlformats.org/officeDocument/2006/relationships/queryTable" Target="../queryTables/queryTable286.xml"/><Relationship Id="rId306" Type="http://schemas.openxmlformats.org/officeDocument/2006/relationships/queryTable" Target="../queryTables/queryTable300.xml"/><Relationship Id="rId87" Type="http://schemas.openxmlformats.org/officeDocument/2006/relationships/queryTable" Target="../queryTables/queryTable81.xml"/><Relationship Id="rId513" Type="http://schemas.openxmlformats.org/officeDocument/2006/relationships/queryTable" Target="../queryTables/queryTable507.xml"/><Relationship Id="rId597" Type="http://schemas.openxmlformats.org/officeDocument/2006/relationships/queryTable" Target="../queryTables/queryTable591.xml"/><Relationship Id="rId152" Type="http://schemas.openxmlformats.org/officeDocument/2006/relationships/queryTable" Target="../queryTables/queryTable146.xml"/><Relationship Id="rId457" Type="http://schemas.openxmlformats.org/officeDocument/2006/relationships/queryTable" Target="../queryTables/queryTable451.xml"/><Relationship Id="rId664" Type="http://schemas.openxmlformats.org/officeDocument/2006/relationships/queryTable" Target="../queryTables/queryTable658.xml"/><Relationship Id="rId14" Type="http://schemas.openxmlformats.org/officeDocument/2006/relationships/queryTable" Target="../queryTables/queryTable8.xml"/><Relationship Id="rId317" Type="http://schemas.openxmlformats.org/officeDocument/2006/relationships/queryTable" Target="../queryTables/queryTable311.xml"/><Relationship Id="rId524" Type="http://schemas.openxmlformats.org/officeDocument/2006/relationships/queryTable" Target="../queryTables/queryTable518.xml"/><Relationship Id="rId98" Type="http://schemas.openxmlformats.org/officeDocument/2006/relationships/queryTable" Target="../queryTables/queryTable92.xml"/><Relationship Id="rId163" Type="http://schemas.openxmlformats.org/officeDocument/2006/relationships/queryTable" Target="../queryTables/queryTable157.xml"/><Relationship Id="rId370" Type="http://schemas.openxmlformats.org/officeDocument/2006/relationships/queryTable" Target="../queryTables/queryTable364.xml"/><Relationship Id="rId230" Type="http://schemas.openxmlformats.org/officeDocument/2006/relationships/queryTable" Target="../queryTables/queryTable224.xml"/><Relationship Id="rId468" Type="http://schemas.openxmlformats.org/officeDocument/2006/relationships/queryTable" Target="../queryTables/queryTable462.xml"/><Relationship Id="rId675" Type="http://schemas.openxmlformats.org/officeDocument/2006/relationships/queryTable" Target="../queryTables/queryTable669.xml"/><Relationship Id="rId25" Type="http://schemas.openxmlformats.org/officeDocument/2006/relationships/queryTable" Target="../queryTables/queryTable19.xml"/><Relationship Id="rId328" Type="http://schemas.openxmlformats.org/officeDocument/2006/relationships/queryTable" Target="../queryTables/queryTable322.xml"/><Relationship Id="rId535" Type="http://schemas.openxmlformats.org/officeDocument/2006/relationships/queryTable" Target="../queryTables/queryTable529.xml"/><Relationship Id="rId174" Type="http://schemas.openxmlformats.org/officeDocument/2006/relationships/queryTable" Target="../queryTables/queryTable168.xml"/><Relationship Id="rId381" Type="http://schemas.openxmlformats.org/officeDocument/2006/relationships/queryTable" Target="../queryTables/queryTable375.xml"/><Relationship Id="rId602" Type="http://schemas.openxmlformats.org/officeDocument/2006/relationships/queryTable" Target="../queryTables/queryTable596.xml"/><Relationship Id="rId241" Type="http://schemas.openxmlformats.org/officeDocument/2006/relationships/queryTable" Target="../queryTables/queryTable235.xml"/><Relationship Id="rId479" Type="http://schemas.openxmlformats.org/officeDocument/2006/relationships/queryTable" Target="../queryTables/queryTable473.xml"/><Relationship Id="rId686" Type="http://schemas.openxmlformats.org/officeDocument/2006/relationships/queryTable" Target="../queryTables/queryTable680.xml"/><Relationship Id="rId36" Type="http://schemas.openxmlformats.org/officeDocument/2006/relationships/queryTable" Target="../queryTables/queryTable30.xml"/><Relationship Id="rId339" Type="http://schemas.openxmlformats.org/officeDocument/2006/relationships/queryTable" Target="../queryTables/queryTable333.xml"/><Relationship Id="rId546" Type="http://schemas.openxmlformats.org/officeDocument/2006/relationships/queryTable" Target="../queryTables/queryTable540.xml"/><Relationship Id="rId101" Type="http://schemas.openxmlformats.org/officeDocument/2006/relationships/queryTable" Target="../queryTables/queryTable95.xml"/><Relationship Id="rId185" Type="http://schemas.openxmlformats.org/officeDocument/2006/relationships/queryTable" Target="../queryTables/queryTable179.xml"/><Relationship Id="rId406" Type="http://schemas.openxmlformats.org/officeDocument/2006/relationships/queryTable" Target="../queryTables/queryTable400.xml"/><Relationship Id="rId392" Type="http://schemas.openxmlformats.org/officeDocument/2006/relationships/queryTable" Target="../queryTables/queryTable386.xml"/><Relationship Id="rId613" Type="http://schemas.openxmlformats.org/officeDocument/2006/relationships/queryTable" Target="../queryTables/queryTable607.xml"/><Relationship Id="rId252" Type="http://schemas.openxmlformats.org/officeDocument/2006/relationships/queryTable" Target="../queryTables/queryTable246.xml"/><Relationship Id="rId47" Type="http://schemas.openxmlformats.org/officeDocument/2006/relationships/queryTable" Target="../queryTables/queryTable41.xml"/><Relationship Id="rId112" Type="http://schemas.openxmlformats.org/officeDocument/2006/relationships/queryTable" Target="../queryTables/queryTable106.xml"/><Relationship Id="rId557" Type="http://schemas.openxmlformats.org/officeDocument/2006/relationships/queryTable" Target="../queryTables/queryTable551.xml"/><Relationship Id="rId196" Type="http://schemas.openxmlformats.org/officeDocument/2006/relationships/queryTable" Target="../queryTables/queryTable190.xml"/><Relationship Id="rId417" Type="http://schemas.openxmlformats.org/officeDocument/2006/relationships/queryTable" Target="../queryTables/queryTable411.xml"/><Relationship Id="rId624" Type="http://schemas.openxmlformats.org/officeDocument/2006/relationships/queryTable" Target="../queryTables/queryTable618.xml"/><Relationship Id="rId263" Type="http://schemas.openxmlformats.org/officeDocument/2006/relationships/queryTable" Target="../queryTables/queryTable257.xml"/><Relationship Id="rId470" Type="http://schemas.openxmlformats.org/officeDocument/2006/relationships/queryTable" Target="../queryTables/queryTable464.xml"/><Relationship Id="rId58" Type="http://schemas.openxmlformats.org/officeDocument/2006/relationships/queryTable" Target="../queryTables/queryTable52.xml"/><Relationship Id="rId123" Type="http://schemas.openxmlformats.org/officeDocument/2006/relationships/queryTable" Target="../queryTables/queryTable117.xml"/><Relationship Id="rId330" Type="http://schemas.openxmlformats.org/officeDocument/2006/relationships/queryTable" Target="../queryTables/queryTable324.xml"/><Relationship Id="rId568" Type="http://schemas.openxmlformats.org/officeDocument/2006/relationships/queryTable" Target="../queryTables/queryTable562.xml"/><Relationship Id="rId428" Type="http://schemas.openxmlformats.org/officeDocument/2006/relationships/queryTable" Target="../queryTables/queryTable422.xml"/><Relationship Id="rId635" Type="http://schemas.openxmlformats.org/officeDocument/2006/relationships/queryTable" Target="../queryTables/queryTable629.xml"/><Relationship Id="rId274" Type="http://schemas.openxmlformats.org/officeDocument/2006/relationships/queryTable" Target="../queryTables/queryTable268.xml"/><Relationship Id="rId481" Type="http://schemas.openxmlformats.org/officeDocument/2006/relationships/queryTable" Target="../queryTables/queryTable475.xml"/><Relationship Id="rId69" Type="http://schemas.openxmlformats.org/officeDocument/2006/relationships/queryTable" Target="../queryTables/queryTable63.xml"/><Relationship Id="rId134" Type="http://schemas.openxmlformats.org/officeDocument/2006/relationships/queryTable" Target="../queryTables/queryTable128.xml"/><Relationship Id="rId579" Type="http://schemas.openxmlformats.org/officeDocument/2006/relationships/queryTable" Target="../queryTables/queryTable573.xml"/><Relationship Id="rId341" Type="http://schemas.openxmlformats.org/officeDocument/2006/relationships/queryTable" Target="../queryTables/queryTable335.xml"/><Relationship Id="rId439" Type="http://schemas.openxmlformats.org/officeDocument/2006/relationships/queryTable" Target="../queryTables/queryTable433.xml"/><Relationship Id="rId646" Type="http://schemas.openxmlformats.org/officeDocument/2006/relationships/queryTable" Target="../queryTables/queryTable640.xml"/><Relationship Id="rId201" Type="http://schemas.openxmlformats.org/officeDocument/2006/relationships/queryTable" Target="../queryTables/queryTable195.xml"/><Relationship Id="rId285" Type="http://schemas.openxmlformats.org/officeDocument/2006/relationships/queryTable" Target="../queryTables/queryTable279.xml"/><Relationship Id="rId506" Type="http://schemas.openxmlformats.org/officeDocument/2006/relationships/queryTable" Target="../queryTables/queryTable500.xml"/><Relationship Id="rId492" Type="http://schemas.openxmlformats.org/officeDocument/2006/relationships/queryTable" Target="../queryTables/queryTable486.xml"/><Relationship Id="rId145" Type="http://schemas.openxmlformats.org/officeDocument/2006/relationships/queryTable" Target="../queryTables/queryTable139.xml"/><Relationship Id="rId352" Type="http://schemas.openxmlformats.org/officeDocument/2006/relationships/queryTable" Target="../queryTables/queryTable346.xml"/><Relationship Id="rId212" Type="http://schemas.openxmlformats.org/officeDocument/2006/relationships/queryTable" Target="../queryTables/queryTable206.xml"/><Relationship Id="rId657" Type="http://schemas.openxmlformats.org/officeDocument/2006/relationships/queryTable" Target="../queryTables/queryTable651.xml"/><Relationship Id="rId49" Type="http://schemas.openxmlformats.org/officeDocument/2006/relationships/queryTable" Target="../queryTables/queryTable43.xml"/><Relationship Id="rId114" Type="http://schemas.openxmlformats.org/officeDocument/2006/relationships/queryTable" Target="../queryTables/queryTable108.xml"/><Relationship Id="rId296" Type="http://schemas.openxmlformats.org/officeDocument/2006/relationships/queryTable" Target="../queryTables/queryTable290.xml"/><Relationship Id="rId461" Type="http://schemas.openxmlformats.org/officeDocument/2006/relationships/queryTable" Target="../queryTables/queryTable455.xml"/><Relationship Id="rId517" Type="http://schemas.openxmlformats.org/officeDocument/2006/relationships/queryTable" Target="../queryTables/queryTable511.xml"/><Relationship Id="rId559" Type="http://schemas.openxmlformats.org/officeDocument/2006/relationships/queryTable" Target="../queryTables/queryTable553.xml"/><Relationship Id="rId60" Type="http://schemas.openxmlformats.org/officeDocument/2006/relationships/queryTable" Target="../queryTables/queryTable54.xml"/><Relationship Id="rId156" Type="http://schemas.openxmlformats.org/officeDocument/2006/relationships/queryTable" Target="../queryTables/queryTable150.xml"/><Relationship Id="rId198" Type="http://schemas.openxmlformats.org/officeDocument/2006/relationships/queryTable" Target="../queryTables/queryTable192.xml"/><Relationship Id="rId321" Type="http://schemas.openxmlformats.org/officeDocument/2006/relationships/queryTable" Target="../queryTables/queryTable315.xml"/><Relationship Id="rId363" Type="http://schemas.openxmlformats.org/officeDocument/2006/relationships/queryTable" Target="../queryTables/queryTable357.xml"/><Relationship Id="rId419" Type="http://schemas.openxmlformats.org/officeDocument/2006/relationships/queryTable" Target="../queryTables/queryTable413.xml"/><Relationship Id="rId570" Type="http://schemas.openxmlformats.org/officeDocument/2006/relationships/queryTable" Target="../queryTables/queryTable564.xml"/><Relationship Id="rId626" Type="http://schemas.openxmlformats.org/officeDocument/2006/relationships/queryTable" Target="../queryTables/queryTable620.xml"/><Relationship Id="rId223" Type="http://schemas.openxmlformats.org/officeDocument/2006/relationships/queryTable" Target="../queryTables/queryTable217.xml"/><Relationship Id="rId430" Type="http://schemas.openxmlformats.org/officeDocument/2006/relationships/queryTable" Target="../queryTables/queryTable424.xml"/><Relationship Id="rId668" Type="http://schemas.openxmlformats.org/officeDocument/2006/relationships/queryTable" Target="../queryTables/queryTable662.xml"/><Relationship Id="rId18" Type="http://schemas.openxmlformats.org/officeDocument/2006/relationships/queryTable" Target="../queryTables/queryTable12.xml"/><Relationship Id="rId265" Type="http://schemas.openxmlformats.org/officeDocument/2006/relationships/queryTable" Target="../queryTables/queryTable259.xml"/><Relationship Id="rId472" Type="http://schemas.openxmlformats.org/officeDocument/2006/relationships/queryTable" Target="../queryTables/queryTable466.xml"/><Relationship Id="rId528" Type="http://schemas.openxmlformats.org/officeDocument/2006/relationships/queryTable" Target="../queryTables/queryTable522.xml"/><Relationship Id="rId125" Type="http://schemas.openxmlformats.org/officeDocument/2006/relationships/queryTable" Target="../queryTables/queryTable119.xml"/><Relationship Id="rId167" Type="http://schemas.openxmlformats.org/officeDocument/2006/relationships/queryTable" Target="../queryTables/queryTable161.xml"/><Relationship Id="rId332" Type="http://schemas.openxmlformats.org/officeDocument/2006/relationships/queryTable" Target="../queryTables/queryTable326.xml"/><Relationship Id="rId374" Type="http://schemas.openxmlformats.org/officeDocument/2006/relationships/queryTable" Target="../queryTables/queryTable368.xml"/><Relationship Id="rId581" Type="http://schemas.openxmlformats.org/officeDocument/2006/relationships/queryTable" Target="../queryTables/queryTable575.xml"/><Relationship Id="rId71" Type="http://schemas.openxmlformats.org/officeDocument/2006/relationships/queryTable" Target="../queryTables/queryTable65.xml"/><Relationship Id="rId234" Type="http://schemas.openxmlformats.org/officeDocument/2006/relationships/queryTable" Target="../queryTables/queryTable228.xml"/><Relationship Id="rId637" Type="http://schemas.openxmlformats.org/officeDocument/2006/relationships/queryTable" Target="../queryTables/queryTable631.xml"/><Relationship Id="rId679" Type="http://schemas.openxmlformats.org/officeDocument/2006/relationships/queryTable" Target="../queryTables/queryTable673.xml"/><Relationship Id="rId2" Type="http://schemas.openxmlformats.org/officeDocument/2006/relationships/drawing" Target="../drawings/drawing8.xml"/><Relationship Id="rId29" Type="http://schemas.openxmlformats.org/officeDocument/2006/relationships/queryTable" Target="../queryTables/queryTable23.xml"/><Relationship Id="rId276" Type="http://schemas.openxmlformats.org/officeDocument/2006/relationships/queryTable" Target="../queryTables/queryTable270.xml"/><Relationship Id="rId441" Type="http://schemas.openxmlformats.org/officeDocument/2006/relationships/queryTable" Target="../queryTables/queryTable435.xml"/><Relationship Id="rId483" Type="http://schemas.openxmlformats.org/officeDocument/2006/relationships/queryTable" Target="../queryTables/queryTable477.xml"/><Relationship Id="rId539" Type="http://schemas.openxmlformats.org/officeDocument/2006/relationships/queryTable" Target="../queryTables/queryTable533.xml"/><Relationship Id="rId690" Type="http://schemas.openxmlformats.org/officeDocument/2006/relationships/queryTable" Target="../queryTables/queryTable684.xml"/><Relationship Id="rId40" Type="http://schemas.openxmlformats.org/officeDocument/2006/relationships/queryTable" Target="../queryTables/queryTable34.xml"/><Relationship Id="rId136" Type="http://schemas.openxmlformats.org/officeDocument/2006/relationships/queryTable" Target="../queryTables/queryTable130.xml"/><Relationship Id="rId178" Type="http://schemas.openxmlformats.org/officeDocument/2006/relationships/queryTable" Target="../queryTables/queryTable172.xml"/><Relationship Id="rId301" Type="http://schemas.openxmlformats.org/officeDocument/2006/relationships/queryTable" Target="../queryTables/queryTable295.xml"/><Relationship Id="rId343" Type="http://schemas.openxmlformats.org/officeDocument/2006/relationships/queryTable" Target="../queryTables/queryTable337.xml"/><Relationship Id="rId550" Type="http://schemas.openxmlformats.org/officeDocument/2006/relationships/queryTable" Target="../queryTables/queryTable544.xml"/><Relationship Id="rId82" Type="http://schemas.openxmlformats.org/officeDocument/2006/relationships/queryTable" Target="../queryTables/queryTable76.xml"/><Relationship Id="rId203" Type="http://schemas.openxmlformats.org/officeDocument/2006/relationships/queryTable" Target="../queryTables/queryTable197.xml"/><Relationship Id="rId385" Type="http://schemas.openxmlformats.org/officeDocument/2006/relationships/queryTable" Target="../queryTables/queryTable379.xml"/><Relationship Id="rId592" Type="http://schemas.openxmlformats.org/officeDocument/2006/relationships/queryTable" Target="../queryTables/queryTable586.xml"/><Relationship Id="rId606" Type="http://schemas.openxmlformats.org/officeDocument/2006/relationships/queryTable" Target="../queryTables/queryTable600.xml"/><Relationship Id="rId648" Type="http://schemas.openxmlformats.org/officeDocument/2006/relationships/queryTable" Target="../queryTables/queryTable642.xml"/><Relationship Id="rId245" Type="http://schemas.openxmlformats.org/officeDocument/2006/relationships/queryTable" Target="../queryTables/queryTable239.xml"/><Relationship Id="rId287" Type="http://schemas.openxmlformats.org/officeDocument/2006/relationships/queryTable" Target="../queryTables/queryTable281.xml"/><Relationship Id="rId410" Type="http://schemas.openxmlformats.org/officeDocument/2006/relationships/queryTable" Target="../queryTables/queryTable404.xml"/><Relationship Id="rId452" Type="http://schemas.openxmlformats.org/officeDocument/2006/relationships/queryTable" Target="../queryTables/queryTable446.xml"/><Relationship Id="rId494" Type="http://schemas.openxmlformats.org/officeDocument/2006/relationships/queryTable" Target="../queryTables/queryTable488.xml"/><Relationship Id="rId508" Type="http://schemas.openxmlformats.org/officeDocument/2006/relationships/queryTable" Target="../queryTables/queryTable502.xml"/><Relationship Id="rId105" Type="http://schemas.openxmlformats.org/officeDocument/2006/relationships/queryTable" Target="../queryTables/queryTable99.xml"/><Relationship Id="rId147" Type="http://schemas.openxmlformats.org/officeDocument/2006/relationships/queryTable" Target="../queryTables/queryTable141.xml"/><Relationship Id="rId312" Type="http://schemas.openxmlformats.org/officeDocument/2006/relationships/queryTable" Target="../queryTables/queryTable306.xml"/><Relationship Id="rId354" Type="http://schemas.openxmlformats.org/officeDocument/2006/relationships/queryTable" Target="../queryTables/queryTable348.xml"/><Relationship Id="rId51" Type="http://schemas.openxmlformats.org/officeDocument/2006/relationships/queryTable" Target="../queryTables/queryTable45.xml"/><Relationship Id="rId93" Type="http://schemas.openxmlformats.org/officeDocument/2006/relationships/queryTable" Target="../queryTables/queryTable87.xml"/><Relationship Id="rId189" Type="http://schemas.openxmlformats.org/officeDocument/2006/relationships/queryTable" Target="../queryTables/queryTable183.xml"/><Relationship Id="rId396" Type="http://schemas.openxmlformats.org/officeDocument/2006/relationships/queryTable" Target="../queryTables/queryTable390.xml"/><Relationship Id="rId561" Type="http://schemas.openxmlformats.org/officeDocument/2006/relationships/queryTable" Target="../queryTables/queryTable555.xml"/><Relationship Id="rId617" Type="http://schemas.openxmlformats.org/officeDocument/2006/relationships/queryTable" Target="../queryTables/queryTable611.xml"/><Relationship Id="rId659" Type="http://schemas.openxmlformats.org/officeDocument/2006/relationships/queryTable" Target="../queryTables/queryTable653.xml"/><Relationship Id="rId214" Type="http://schemas.openxmlformats.org/officeDocument/2006/relationships/queryTable" Target="../queryTables/queryTable208.xml"/><Relationship Id="rId256" Type="http://schemas.openxmlformats.org/officeDocument/2006/relationships/queryTable" Target="../queryTables/queryTable250.xml"/><Relationship Id="rId298" Type="http://schemas.openxmlformats.org/officeDocument/2006/relationships/queryTable" Target="../queryTables/queryTable292.xml"/><Relationship Id="rId421" Type="http://schemas.openxmlformats.org/officeDocument/2006/relationships/queryTable" Target="../queryTables/queryTable415.xml"/><Relationship Id="rId463" Type="http://schemas.openxmlformats.org/officeDocument/2006/relationships/queryTable" Target="../queryTables/queryTable457.xml"/><Relationship Id="rId519" Type="http://schemas.openxmlformats.org/officeDocument/2006/relationships/queryTable" Target="../queryTables/queryTable513.xml"/><Relationship Id="rId670" Type="http://schemas.openxmlformats.org/officeDocument/2006/relationships/queryTable" Target="../queryTables/queryTable664.xml"/><Relationship Id="rId116" Type="http://schemas.openxmlformats.org/officeDocument/2006/relationships/queryTable" Target="../queryTables/queryTable110.xml"/><Relationship Id="rId158" Type="http://schemas.openxmlformats.org/officeDocument/2006/relationships/queryTable" Target="../queryTables/queryTable152.xml"/><Relationship Id="rId323" Type="http://schemas.openxmlformats.org/officeDocument/2006/relationships/queryTable" Target="../queryTables/queryTable317.xml"/><Relationship Id="rId530" Type="http://schemas.openxmlformats.org/officeDocument/2006/relationships/queryTable" Target="../queryTables/queryTable524.xml"/><Relationship Id="rId20" Type="http://schemas.openxmlformats.org/officeDocument/2006/relationships/queryTable" Target="../queryTables/queryTable14.xml"/><Relationship Id="rId62" Type="http://schemas.openxmlformats.org/officeDocument/2006/relationships/queryTable" Target="../queryTables/queryTable56.xml"/><Relationship Id="rId365" Type="http://schemas.openxmlformats.org/officeDocument/2006/relationships/queryTable" Target="../queryTables/queryTable359.xml"/><Relationship Id="rId572" Type="http://schemas.openxmlformats.org/officeDocument/2006/relationships/queryTable" Target="../queryTables/queryTable566.xml"/><Relationship Id="rId628" Type="http://schemas.openxmlformats.org/officeDocument/2006/relationships/queryTable" Target="../queryTables/queryTable622.xml"/><Relationship Id="rId225" Type="http://schemas.openxmlformats.org/officeDocument/2006/relationships/queryTable" Target="../queryTables/queryTable219.xml"/><Relationship Id="rId267" Type="http://schemas.openxmlformats.org/officeDocument/2006/relationships/queryTable" Target="../queryTables/queryTable261.xml"/><Relationship Id="rId432" Type="http://schemas.openxmlformats.org/officeDocument/2006/relationships/queryTable" Target="../queryTables/queryTable426.xml"/><Relationship Id="rId474" Type="http://schemas.openxmlformats.org/officeDocument/2006/relationships/queryTable" Target="../queryTables/queryTable468.xml"/><Relationship Id="rId127" Type="http://schemas.openxmlformats.org/officeDocument/2006/relationships/queryTable" Target="../queryTables/queryTable121.xml"/><Relationship Id="rId681" Type="http://schemas.openxmlformats.org/officeDocument/2006/relationships/queryTable" Target="../queryTables/queryTable675.xml"/><Relationship Id="rId31" Type="http://schemas.openxmlformats.org/officeDocument/2006/relationships/queryTable" Target="../queryTables/queryTable25.xml"/><Relationship Id="rId73" Type="http://schemas.openxmlformats.org/officeDocument/2006/relationships/queryTable" Target="../queryTables/queryTable67.xml"/><Relationship Id="rId169" Type="http://schemas.openxmlformats.org/officeDocument/2006/relationships/queryTable" Target="../queryTables/queryTable163.xml"/><Relationship Id="rId334" Type="http://schemas.openxmlformats.org/officeDocument/2006/relationships/queryTable" Target="../queryTables/queryTable328.xml"/><Relationship Id="rId376" Type="http://schemas.openxmlformats.org/officeDocument/2006/relationships/queryTable" Target="../queryTables/queryTable370.xml"/><Relationship Id="rId541" Type="http://schemas.openxmlformats.org/officeDocument/2006/relationships/queryTable" Target="../queryTables/queryTable535.xml"/><Relationship Id="rId583" Type="http://schemas.openxmlformats.org/officeDocument/2006/relationships/queryTable" Target="../queryTables/queryTable577.xml"/><Relationship Id="rId639" Type="http://schemas.openxmlformats.org/officeDocument/2006/relationships/queryTable" Target="../queryTables/queryTable633.xml"/><Relationship Id="rId4" Type="http://schemas.openxmlformats.org/officeDocument/2006/relationships/ctrlProp" Target="../ctrlProps/ctrlProp135.xml"/><Relationship Id="rId180" Type="http://schemas.openxmlformats.org/officeDocument/2006/relationships/queryTable" Target="../queryTables/queryTable174.xml"/><Relationship Id="rId236" Type="http://schemas.openxmlformats.org/officeDocument/2006/relationships/queryTable" Target="../queryTables/queryTable230.xml"/><Relationship Id="rId278" Type="http://schemas.openxmlformats.org/officeDocument/2006/relationships/queryTable" Target="../queryTables/queryTable272.xml"/><Relationship Id="rId401" Type="http://schemas.openxmlformats.org/officeDocument/2006/relationships/queryTable" Target="../queryTables/queryTable395.xml"/><Relationship Id="rId443" Type="http://schemas.openxmlformats.org/officeDocument/2006/relationships/queryTable" Target="../queryTables/queryTable437.xml"/><Relationship Id="rId650" Type="http://schemas.openxmlformats.org/officeDocument/2006/relationships/queryTable" Target="../queryTables/queryTable644.xml"/><Relationship Id="rId303" Type="http://schemas.openxmlformats.org/officeDocument/2006/relationships/queryTable" Target="../queryTables/queryTable297.xml"/><Relationship Id="rId485" Type="http://schemas.openxmlformats.org/officeDocument/2006/relationships/queryTable" Target="../queryTables/queryTable479.xml"/><Relationship Id="rId692" Type="http://schemas.openxmlformats.org/officeDocument/2006/relationships/queryTable" Target="../queryTables/queryTable686.xml"/><Relationship Id="rId42" Type="http://schemas.openxmlformats.org/officeDocument/2006/relationships/queryTable" Target="../queryTables/queryTable36.xml"/><Relationship Id="rId84" Type="http://schemas.openxmlformats.org/officeDocument/2006/relationships/queryTable" Target="../queryTables/queryTable78.xml"/><Relationship Id="rId138" Type="http://schemas.openxmlformats.org/officeDocument/2006/relationships/queryTable" Target="../queryTables/queryTable132.xml"/><Relationship Id="rId345" Type="http://schemas.openxmlformats.org/officeDocument/2006/relationships/queryTable" Target="../queryTables/queryTable339.xml"/><Relationship Id="rId387" Type="http://schemas.openxmlformats.org/officeDocument/2006/relationships/queryTable" Target="../queryTables/queryTable381.xml"/><Relationship Id="rId510" Type="http://schemas.openxmlformats.org/officeDocument/2006/relationships/queryTable" Target="../queryTables/queryTable504.xml"/><Relationship Id="rId552" Type="http://schemas.openxmlformats.org/officeDocument/2006/relationships/queryTable" Target="../queryTables/queryTable546.xml"/><Relationship Id="rId594" Type="http://schemas.openxmlformats.org/officeDocument/2006/relationships/queryTable" Target="../queryTables/queryTable588.xml"/><Relationship Id="rId608" Type="http://schemas.openxmlformats.org/officeDocument/2006/relationships/queryTable" Target="../queryTables/queryTable602.xml"/><Relationship Id="rId191" Type="http://schemas.openxmlformats.org/officeDocument/2006/relationships/queryTable" Target="../queryTables/queryTable185.xml"/><Relationship Id="rId205" Type="http://schemas.openxmlformats.org/officeDocument/2006/relationships/queryTable" Target="../queryTables/queryTable199.xml"/><Relationship Id="rId247" Type="http://schemas.openxmlformats.org/officeDocument/2006/relationships/queryTable" Target="../queryTables/queryTable241.xml"/><Relationship Id="rId412" Type="http://schemas.openxmlformats.org/officeDocument/2006/relationships/queryTable" Target="../queryTables/queryTable406.xml"/><Relationship Id="rId107" Type="http://schemas.openxmlformats.org/officeDocument/2006/relationships/queryTable" Target="../queryTables/queryTable101.xml"/><Relationship Id="rId289" Type="http://schemas.openxmlformats.org/officeDocument/2006/relationships/queryTable" Target="../queryTables/queryTable283.xml"/><Relationship Id="rId454" Type="http://schemas.openxmlformats.org/officeDocument/2006/relationships/queryTable" Target="../queryTables/queryTable448.xml"/><Relationship Id="rId496" Type="http://schemas.openxmlformats.org/officeDocument/2006/relationships/queryTable" Target="../queryTables/queryTable490.xml"/><Relationship Id="rId661" Type="http://schemas.openxmlformats.org/officeDocument/2006/relationships/queryTable" Target="../queryTables/queryTable655.xml"/><Relationship Id="rId11" Type="http://schemas.openxmlformats.org/officeDocument/2006/relationships/queryTable" Target="../queryTables/queryTable5.xml"/><Relationship Id="rId53" Type="http://schemas.openxmlformats.org/officeDocument/2006/relationships/queryTable" Target="../queryTables/queryTable47.xml"/><Relationship Id="rId149" Type="http://schemas.openxmlformats.org/officeDocument/2006/relationships/queryTable" Target="../queryTables/queryTable143.xml"/><Relationship Id="rId314" Type="http://schemas.openxmlformats.org/officeDocument/2006/relationships/queryTable" Target="../queryTables/queryTable308.xml"/><Relationship Id="rId356" Type="http://schemas.openxmlformats.org/officeDocument/2006/relationships/queryTable" Target="../queryTables/queryTable350.xml"/><Relationship Id="rId398" Type="http://schemas.openxmlformats.org/officeDocument/2006/relationships/queryTable" Target="../queryTables/queryTable392.xml"/><Relationship Id="rId521" Type="http://schemas.openxmlformats.org/officeDocument/2006/relationships/queryTable" Target="../queryTables/queryTable515.xml"/><Relationship Id="rId563" Type="http://schemas.openxmlformats.org/officeDocument/2006/relationships/queryTable" Target="../queryTables/queryTable557.xml"/><Relationship Id="rId619" Type="http://schemas.openxmlformats.org/officeDocument/2006/relationships/queryTable" Target="../queryTables/queryTable613.xml"/><Relationship Id="rId95" Type="http://schemas.openxmlformats.org/officeDocument/2006/relationships/queryTable" Target="../queryTables/queryTable89.xml"/><Relationship Id="rId160" Type="http://schemas.openxmlformats.org/officeDocument/2006/relationships/queryTable" Target="../queryTables/queryTable154.xml"/><Relationship Id="rId216" Type="http://schemas.openxmlformats.org/officeDocument/2006/relationships/queryTable" Target="../queryTables/queryTable210.xml"/><Relationship Id="rId423" Type="http://schemas.openxmlformats.org/officeDocument/2006/relationships/queryTable" Target="../queryTables/queryTable417.xml"/><Relationship Id="rId258" Type="http://schemas.openxmlformats.org/officeDocument/2006/relationships/queryTable" Target="../queryTables/queryTable252.xml"/><Relationship Id="rId465" Type="http://schemas.openxmlformats.org/officeDocument/2006/relationships/queryTable" Target="../queryTables/queryTable459.xml"/><Relationship Id="rId630" Type="http://schemas.openxmlformats.org/officeDocument/2006/relationships/queryTable" Target="../queryTables/queryTable624.xml"/><Relationship Id="rId672" Type="http://schemas.openxmlformats.org/officeDocument/2006/relationships/queryTable" Target="../queryTables/queryTable666.xml"/><Relationship Id="rId22" Type="http://schemas.openxmlformats.org/officeDocument/2006/relationships/queryTable" Target="../queryTables/queryTable16.xml"/><Relationship Id="rId64" Type="http://schemas.openxmlformats.org/officeDocument/2006/relationships/queryTable" Target="../queryTables/queryTable58.xml"/><Relationship Id="rId118" Type="http://schemas.openxmlformats.org/officeDocument/2006/relationships/queryTable" Target="../queryTables/queryTable112.xml"/><Relationship Id="rId325" Type="http://schemas.openxmlformats.org/officeDocument/2006/relationships/queryTable" Target="../queryTables/queryTable319.xml"/><Relationship Id="rId367" Type="http://schemas.openxmlformats.org/officeDocument/2006/relationships/queryTable" Target="../queryTables/queryTable361.xml"/><Relationship Id="rId532" Type="http://schemas.openxmlformats.org/officeDocument/2006/relationships/queryTable" Target="../queryTables/queryTable526.xml"/><Relationship Id="rId574" Type="http://schemas.openxmlformats.org/officeDocument/2006/relationships/queryTable" Target="../queryTables/queryTable568.xml"/><Relationship Id="rId171" Type="http://schemas.openxmlformats.org/officeDocument/2006/relationships/queryTable" Target="../queryTables/queryTable165.xml"/><Relationship Id="rId227" Type="http://schemas.openxmlformats.org/officeDocument/2006/relationships/queryTable" Target="../queryTables/queryTable221.xml"/><Relationship Id="rId269" Type="http://schemas.openxmlformats.org/officeDocument/2006/relationships/queryTable" Target="../queryTables/queryTable263.xml"/><Relationship Id="rId434" Type="http://schemas.openxmlformats.org/officeDocument/2006/relationships/queryTable" Target="../queryTables/queryTable428.xml"/><Relationship Id="rId476" Type="http://schemas.openxmlformats.org/officeDocument/2006/relationships/queryTable" Target="../queryTables/queryTable470.xml"/><Relationship Id="rId641" Type="http://schemas.openxmlformats.org/officeDocument/2006/relationships/queryTable" Target="../queryTables/queryTable635.xml"/><Relationship Id="rId683" Type="http://schemas.openxmlformats.org/officeDocument/2006/relationships/queryTable" Target="../queryTables/queryTable677.xml"/><Relationship Id="rId33" Type="http://schemas.openxmlformats.org/officeDocument/2006/relationships/queryTable" Target="../queryTables/queryTable27.xml"/><Relationship Id="rId129" Type="http://schemas.openxmlformats.org/officeDocument/2006/relationships/queryTable" Target="../queryTables/queryTable123.xml"/><Relationship Id="rId280" Type="http://schemas.openxmlformats.org/officeDocument/2006/relationships/queryTable" Target="../queryTables/queryTable274.xml"/><Relationship Id="rId336" Type="http://schemas.openxmlformats.org/officeDocument/2006/relationships/queryTable" Target="../queryTables/queryTable330.xml"/><Relationship Id="rId501" Type="http://schemas.openxmlformats.org/officeDocument/2006/relationships/queryTable" Target="../queryTables/queryTable495.xml"/><Relationship Id="rId543" Type="http://schemas.openxmlformats.org/officeDocument/2006/relationships/queryTable" Target="../queryTables/queryTable537.xml"/><Relationship Id="rId75" Type="http://schemas.openxmlformats.org/officeDocument/2006/relationships/queryTable" Target="../queryTables/queryTable69.xml"/><Relationship Id="rId140" Type="http://schemas.openxmlformats.org/officeDocument/2006/relationships/queryTable" Target="../queryTables/queryTable134.xml"/><Relationship Id="rId182" Type="http://schemas.openxmlformats.org/officeDocument/2006/relationships/queryTable" Target="../queryTables/queryTable176.xml"/><Relationship Id="rId378" Type="http://schemas.openxmlformats.org/officeDocument/2006/relationships/queryTable" Target="../queryTables/queryTable372.xml"/><Relationship Id="rId403" Type="http://schemas.openxmlformats.org/officeDocument/2006/relationships/queryTable" Target="../queryTables/queryTable397.xml"/><Relationship Id="rId585" Type="http://schemas.openxmlformats.org/officeDocument/2006/relationships/queryTable" Target="../queryTables/queryTable579.xml"/><Relationship Id="rId6" Type="http://schemas.openxmlformats.org/officeDocument/2006/relationships/ctrlProp" Target="../ctrlProps/ctrlProp137.xml"/><Relationship Id="rId238" Type="http://schemas.openxmlformats.org/officeDocument/2006/relationships/queryTable" Target="../queryTables/queryTable232.xml"/><Relationship Id="rId445" Type="http://schemas.openxmlformats.org/officeDocument/2006/relationships/queryTable" Target="../queryTables/queryTable439.xml"/><Relationship Id="rId487" Type="http://schemas.openxmlformats.org/officeDocument/2006/relationships/queryTable" Target="../queryTables/queryTable481.xml"/><Relationship Id="rId610" Type="http://schemas.openxmlformats.org/officeDocument/2006/relationships/queryTable" Target="../queryTables/queryTable604.xml"/><Relationship Id="rId652" Type="http://schemas.openxmlformats.org/officeDocument/2006/relationships/queryTable" Target="../queryTables/queryTable646.xml"/><Relationship Id="rId291" Type="http://schemas.openxmlformats.org/officeDocument/2006/relationships/queryTable" Target="../queryTables/queryTable285.xml"/><Relationship Id="rId305" Type="http://schemas.openxmlformats.org/officeDocument/2006/relationships/queryTable" Target="../queryTables/queryTable299.xml"/><Relationship Id="rId347" Type="http://schemas.openxmlformats.org/officeDocument/2006/relationships/queryTable" Target="../queryTables/queryTable341.xml"/><Relationship Id="rId512" Type="http://schemas.openxmlformats.org/officeDocument/2006/relationships/queryTable" Target="../queryTables/queryTable506.xml"/><Relationship Id="rId44" Type="http://schemas.openxmlformats.org/officeDocument/2006/relationships/queryTable" Target="../queryTables/queryTable38.xml"/><Relationship Id="rId86" Type="http://schemas.openxmlformats.org/officeDocument/2006/relationships/queryTable" Target="../queryTables/queryTable80.xml"/><Relationship Id="rId151" Type="http://schemas.openxmlformats.org/officeDocument/2006/relationships/queryTable" Target="../queryTables/queryTable145.xml"/><Relationship Id="rId389" Type="http://schemas.openxmlformats.org/officeDocument/2006/relationships/queryTable" Target="../queryTables/queryTable383.xml"/><Relationship Id="rId554" Type="http://schemas.openxmlformats.org/officeDocument/2006/relationships/queryTable" Target="../queryTables/queryTable548.xml"/><Relationship Id="rId596" Type="http://schemas.openxmlformats.org/officeDocument/2006/relationships/queryTable" Target="../queryTables/queryTable590.xml"/><Relationship Id="rId193" Type="http://schemas.openxmlformats.org/officeDocument/2006/relationships/queryTable" Target="../queryTables/queryTable187.xml"/><Relationship Id="rId207" Type="http://schemas.openxmlformats.org/officeDocument/2006/relationships/queryTable" Target="../queryTables/queryTable201.xml"/><Relationship Id="rId249" Type="http://schemas.openxmlformats.org/officeDocument/2006/relationships/queryTable" Target="../queryTables/queryTable243.xml"/><Relationship Id="rId414" Type="http://schemas.openxmlformats.org/officeDocument/2006/relationships/queryTable" Target="../queryTables/queryTable408.xml"/><Relationship Id="rId456" Type="http://schemas.openxmlformats.org/officeDocument/2006/relationships/queryTable" Target="../queryTables/queryTable450.xml"/><Relationship Id="rId498" Type="http://schemas.openxmlformats.org/officeDocument/2006/relationships/queryTable" Target="../queryTables/queryTable492.xml"/><Relationship Id="rId621" Type="http://schemas.openxmlformats.org/officeDocument/2006/relationships/queryTable" Target="../queryTables/queryTable615.xml"/><Relationship Id="rId663" Type="http://schemas.openxmlformats.org/officeDocument/2006/relationships/queryTable" Target="../queryTables/queryTable657.xml"/><Relationship Id="rId13" Type="http://schemas.openxmlformats.org/officeDocument/2006/relationships/queryTable" Target="../queryTables/queryTable7.xml"/><Relationship Id="rId109" Type="http://schemas.openxmlformats.org/officeDocument/2006/relationships/queryTable" Target="../queryTables/queryTable103.xml"/><Relationship Id="rId260" Type="http://schemas.openxmlformats.org/officeDocument/2006/relationships/queryTable" Target="../queryTables/queryTable254.xml"/><Relationship Id="rId316" Type="http://schemas.openxmlformats.org/officeDocument/2006/relationships/queryTable" Target="../queryTables/queryTable310.xml"/><Relationship Id="rId523" Type="http://schemas.openxmlformats.org/officeDocument/2006/relationships/queryTable" Target="../queryTables/queryTable517.xml"/><Relationship Id="rId55" Type="http://schemas.openxmlformats.org/officeDocument/2006/relationships/queryTable" Target="../queryTables/queryTable49.xml"/><Relationship Id="rId97" Type="http://schemas.openxmlformats.org/officeDocument/2006/relationships/queryTable" Target="../queryTables/queryTable91.xml"/><Relationship Id="rId120" Type="http://schemas.openxmlformats.org/officeDocument/2006/relationships/queryTable" Target="../queryTables/queryTable114.xml"/><Relationship Id="rId358" Type="http://schemas.openxmlformats.org/officeDocument/2006/relationships/queryTable" Target="../queryTables/queryTable352.xml"/><Relationship Id="rId565" Type="http://schemas.openxmlformats.org/officeDocument/2006/relationships/queryTable" Target="../queryTables/queryTable559.xml"/><Relationship Id="rId162" Type="http://schemas.openxmlformats.org/officeDocument/2006/relationships/queryTable" Target="../queryTables/queryTable156.xml"/><Relationship Id="rId218" Type="http://schemas.openxmlformats.org/officeDocument/2006/relationships/queryTable" Target="../queryTables/queryTable212.xml"/><Relationship Id="rId425" Type="http://schemas.openxmlformats.org/officeDocument/2006/relationships/queryTable" Target="../queryTables/queryTable419.xml"/><Relationship Id="rId467" Type="http://schemas.openxmlformats.org/officeDocument/2006/relationships/queryTable" Target="../queryTables/queryTable461.xml"/><Relationship Id="rId632" Type="http://schemas.openxmlformats.org/officeDocument/2006/relationships/queryTable" Target="../queryTables/queryTable626.xml"/><Relationship Id="rId271" Type="http://schemas.openxmlformats.org/officeDocument/2006/relationships/queryTable" Target="../queryTables/queryTable265.xml"/><Relationship Id="rId674" Type="http://schemas.openxmlformats.org/officeDocument/2006/relationships/queryTable" Target="../queryTables/queryTable668.xml"/><Relationship Id="rId24" Type="http://schemas.openxmlformats.org/officeDocument/2006/relationships/queryTable" Target="../queryTables/queryTable18.xml"/><Relationship Id="rId66" Type="http://schemas.openxmlformats.org/officeDocument/2006/relationships/queryTable" Target="../queryTables/queryTable60.xml"/><Relationship Id="rId131" Type="http://schemas.openxmlformats.org/officeDocument/2006/relationships/queryTable" Target="../queryTables/queryTable125.xml"/><Relationship Id="rId327" Type="http://schemas.openxmlformats.org/officeDocument/2006/relationships/queryTable" Target="../queryTables/queryTable321.xml"/><Relationship Id="rId369" Type="http://schemas.openxmlformats.org/officeDocument/2006/relationships/queryTable" Target="../queryTables/queryTable363.xml"/><Relationship Id="rId534" Type="http://schemas.openxmlformats.org/officeDocument/2006/relationships/queryTable" Target="../queryTables/queryTable528.xml"/><Relationship Id="rId576" Type="http://schemas.openxmlformats.org/officeDocument/2006/relationships/queryTable" Target="../queryTables/queryTable570.xml"/><Relationship Id="rId173" Type="http://schemas.openxmlformats.org/officeDocument/2006/relationships/queryTable" Target="../queryTables/queryTable167.xml"/><Relationship Id="rId229" Type="http://schemas.openxmlformats.org/officeDocument/2006/relationships/queryTable" Target="../queryTables/queryTable223.xml"/><Relationship Id="rId380" Type="http://schemas.openxmlformats.org/officeDocument/2006/relationships/queryTable" Target="../queryTables/queryTable374.xml"/><Relationship Id="rId436" Type="http://schemas.openxmlformats.org/officeDocument/2006/relationships/queryTable" Target="../queryTables/queryTable430.xml"/><Relationship Id="rId601" Type="http://schemas.openxmlformats.org/officeDocument/2006/relationships/queryTable" Target="../queryTables/queryTable595.xml"/><Relationship Id="rId643" Type="http://schemas.openxmlformats.org/officeDocument/2006/relationships/queryTable" Target="../queryTables/queryTable637.xml"/><Relationship Id="rId240" Type="http://schemas.openxmlformats.org/officeDocument/2006/relationships/queryTable" Target="../queryTables/queryTable234.xml"/><Relationship Id="rId478" Type="http://schemas.openxmlformats.org/officeDocument/2006/relationships/queryTable" Target="../queryTables/queryTable472.xml"/><Relationship Id="rId685" Type="http://schemas.openxmlformats.org/officeDocument/2006/relationships/queryTable" Target="../queryTables/queryTable679.xml"/><Relationship Id="rId35" Type="http://schemas.openxmlformats.org/officeDocument/2006/relationships/queryTable" Target="../queryTables/queryTable29.xml"/><Relationship Id="rId77" Type="http://schemas.openxmlformats.org/officeDocument/2006/relationships/queryTable" Target="../queryTables/queryTable71.xml"/><Relationship Id="rId100" Type="http://schemas.openxmlformats.org/officeDocument/2006/relationships/queryTable" Target="../queryTables/queryTable94.xml"/><Relationship Id="rId282" Type="http://schemas.openxmlformats.org/officeDocument/2006/relationships/queryTable" Target="../queryTables/queryTable276.xml"/><Relationship Id="rId338" Type="http://schemas.openxmlformats.org/officeDocument/2006/relationships/queryTable" Target="../queryTables/queryTable332.xml"/><Relationship Id="rId503" Type="http://schemas.openxmlformats.org/officeDocument/2006/relationships/queryTable" Target="../queryTables/queryTable497.xml"/><Relationship Id="rId545" Type="http://schemas.openxmlformats.org/officeDocument/2006/relationships/queryTable" Target="../queryTables/queryTable539.xml"/><Relationship Id="rId587" Type="http://schemas.openxmlformats.org/officeDocument/2006/relationships/queryTable" Target="../queryTables/queryTable581.xml"/><Relationship Id="rId8" Type="http://schemas.openxmlformats.org/officeDocument/2006/relationships/queryTable" Target="../queryTables/queryTable2.xml"/><Relationship Id="rId142" Type="http://schemas.openxmlformats.org/officeDocument/2006/relationships/queryTable" Target="../queryTables/queryTable136.xml"/><Relationship Id="rId184" Type="http://schemas.openxmlformats.org/officeDocument/2006/relationships/queryTable" Target="../queryTables/queryTable178.xml"/><Relationship Id="rId391" Type="http://schemas.openxmlformats.org/officeDocument/2006/relationships/queryTable" Target="../queryTables/queryTable385.xml"/><Relationship Id="rId405" Type="http://schemas.openxmlformats.org/officeDocument/2006/relationships/queryTable" Target="../queryTables/queryTable399.xml"/><Relationship Id="rId447" Type="http://schemas.openxmlformats.org/officeDocument/2006/relationships/queryTable" Target="../queryTables/queryTable441.xml"/><Relationship Id="rId612" Type="http://schemas.openxmlformats.org/officeDocument/2006/relationships/queryTable" Target="../queryTables/queryTable606.xml"/><Relationship Id="rId251" Type="http://schemas.openxmlformats.org/officeDocument/2006/relationships/queryTable" Target="../queryTables/queryTable245.xml"/><Relationship Id="rId489" Type="http://schemas.openxmlformats.org/officeDocument/2006/relationships/queryTable" Target="../queryTables/queryTable483.xml"/><Relationship Id="rId654" Type="http://schemas.openxmlformats.org/officeDocument/2006/relationships/queryTable" Target="../queryTables/queryTable648.xml"/><Relationship Id="rId46" Type="http://schemas.openxmlformats.org/officeDocument/2006/relationships/queryTable" Target="../queryTables/queryTable40.xml"/><Relationship Id="rId293" Type="http://schemas.openxmlformats.org/officeDocument/2006/relationships/queryTable" Target="../queryTables/queryTable287.xml"/><Relationship Id="rId307" Type="http://schemas.openxmlformats.org/officeDocument/2006/relationships/queryTable" Target="../queryTables/queryTable301.xml"/><Relationship Id="rId349" Type="http://schemas.openxmlformats.org/officeDocument/2006/relationships/queryTable" Target="../queryTables/queryTable343.xml"/><Relationship Id="rId514" Type="http://schemas.openxmlformats.org/officeDocument/2006/relationships/queryTable" Target="../queryTables/queryTable508.xml"/><Relationship Id="rId556" Type="http://schemas.openxmlformats.org/officeDocument/2006/relationships/queryTable" Target="../queryTables/queryTable550.xml"/><Relationship Id="rId88" Type="http://schemas.openxmlformats.org/officeDocument/2006/relationships/queryTable" Target="../queryTables/queryTable82.xml"/><Relationship Id="rId111" Type="http://schemas.openxmlformats.org/officeDocument/2006/relationships/queryTable" Target="../queryTables/queryTable105.xml"/><Relationship Id="rId153" Type="http://schemas.openxmlformats.org/officeDocument/2006/relationships/queryTable" Target="../queryTables/queryTable147.xml"/><Relationship Id="rId195" Type="http://schemas.openxmlformats.org/officeDocument/2006/relationships/queryTable" Target="../queryTables/queryTable189.xml"/><Relationship Id="rId209" Type="http://schemas.openxmlformats.org/officeDocument/2006/relationships/queryTable" Target="../queryTables/queryTable203.xml"/><Relationship Id="rId360" Type="http://schemas.openxmlformats.org/officeDocument/2006/relationships/queryTable" Target="../queryTables/queryTable354.xml"/><Relationship Id="rId416" Type="http://schemas.openxmlformats.org/officeDocument/2006/relationships/queryTable" Target="../queryTables/queryTable410.xml"/><Relationship Id="rId598" Type="http://schemas.openxmlformats.org/officeDocument/2006/relationships/queryTable" Target="../queryTables/queryTable592.xml"/><Relationship Id="rId220" Type="http://schemas.openxmlformats.org/officeDocument/2006/relationships/queryTable" Target="../queryTables/queryTable214.xml"/><Relationship Id="rId458" Type="http://schemas.openxmlformats.org/officeDocument/2006/relationships/queryTable" Target="../queryTables/queryTable452.xml"/><Relationship Id="rId623" Type="http://schemas.openxmlformats.org/officeDocument/2006/relationships/queryTable" Target="../queryTables/queryTable617.xml"/><Relationship Id="rId665" Type="http://schemas.openxmlformats.org/officeDocument/2006/relationships/queryTable" Target="../queryTables/queryTable659.xml"/><Relationship Id="rId15" Type="http://schemas.openxmlformats.org/officeDocument/2006/relationships/queryTable" Target="../queryTables/queryTable9.xml"/><Relationship Id="rId57" Type="http://schemas.openxmlformats.org/officeDocument/2006/relationships/queryTable" Target="../queryTables/queryTable51.xml"/><Relationship Id="rId262" Type="http://schemas.openxmlformats.org/officeDocument/2006/relationships/queryTable" Target="../queryTables/queryTable256.xml"/><Relationship Id="rId318" Type="http://schemas.openxmlformats.org/officeDocument/2006/relationships/queryTable" Target="../queryTables/queryTable312.xml"/><Relationship Id="rId525" Type="http://schemas.openxmlformats.org/officeDocument/2006/relationships/queryTable" Target="../queryTables/queryTable519.xml"/><Relationship Id="rId567" Type="http://schemas.openxmlformats.org/officeDocument/2006/relationships/queryTable" Target="../queryTables/queryTable561.xml"/><Relationship Id="rId99" Type="http://schemas.openxmlformats.org/officeDocument/2006/relationships/queryTable" Target="../queryTables/queryTable93.xml"/><Relationship Id="rId122" Type="http://schemas.openxmlformats.org/officeDocument/2006/relationships/queryTable" Target="../queryTables/queryTable116.xml"/><Relationship Id="rId164" Type="http://schemas.openxmlformats.org/officeDocument/2006/relationships/queryTable" Target="../queryTables/queryTable158.xml"/><Relationship Id="rId371" Type="http://schemas.openxmlformats.org/officeDocument/2006/relationships/queryTable" Target="../queryTables/queryTable365.xml"/><Relationship Id="rId427" Type="http://schemas.openxmlformats.org/officeDocument/2006/relationships/queryTable" Target="../queryTables/queryTable421.xml"/><Relationship Id="rId469" Type="http://schemas.openxmlformats.org/officeDocument/2006/relationships/queryTable" Target="../queryTables/queryTable463.xml"/><Relationship Id="rId634" Type="http://schemas.openxmlformats.org/officeDocument/2006/relationships/queryTable" Target="../queryTables/queryTable628.xml"/><Relationship Id="rId676" Type="http://schemas.openxmlformats.org/officeDocument/2006/relationships/queryTable" Target="../queryTables/queryTable670.xml"/><Relationship Id="rId26" Type="http://schemas.openxmlformats.org/officeDocument/2006/relationships/queryTable" Target="../queryTables/queryTable20.xml"/><Relationship Id="rId231" Type="http://schemas.openxmlformats.org/officeDocument/2006/relationships/queryTable" Target="../queryTables/queryTable225.xml"/><Relationship Id="rId273" Type="http://schemas.openxmlformats.org/officeDocument/2006/relationships/queryTable" Target="../queryTables/queryTable267.xml"/><Relationship Id="rId329" Type="http://schemas.openxmlformats.org/officeDocument/2006/relationships/queryTable" Target="../queryTables/queryTable323.xml"/><Relationship Id="rId480" Type="http://schemas.openxmlformats.org/officeDocument/2006/relationships/queryTable" Target="../queryTables/queryTable474.xml"/><Relationship Id="rId536" Type="http://schemas.openxmlformats.org/officeDocument/2006/relationships/queryTable" Target="../queryTables/queryTable530.xml"/><Relationship Id="rId68" Type="http://schemas.openxmlformats.org/officeDocument/2006/relationships/queryTable" Target="../queryTables/queryTable62.xml"/><Relationship Id="rId133" Type="http://schemas.openxmlformats.org/officeDocument/2006/relationships/queryTable" Target="../queryTables/queryTable127.xml"/><Relationship Id="rId175" Type="http://schemas.openxmlformats.org/officeDocument/2006/relationships/queryTable" Target="../queryTables/queryTable169.xml"/><Relationship Id="rId340" Type="http://schemas.openxmlformats.org/officeDocument/2006/relationships/queryTable" Target="../queryTables/queryTable334.xml"/><Relationship Id="rId578" Type="http://schemas.openxmlformats.org/officeDocument/2006/relationships/queryTable" Target="../queryTables/queryTable572.xml"/><Relationship Id="rId200" Type="http://schemas.openxmlformats.org/officeDocument/2006/relationships/queryTable" Target="../queryTables/queryTable194.xml"/><Relationship Id="rId382" Type="http://schemas.openxmlformats.org/officeDocument/2006/relationships/queryTable" Target="../queryTables/queryTable376.xml"/><Relationship Id="rId438" Type="http://schemas.openxmlformats.org/officeDocument/2006/relationships/queryTable" Target="../queryTables/queryTable432.xml"/><Relationship Id="rId603" Type="http://schemas.openxmlformats.org/officeDocument/2006/relationships/queryTable" Target="../queryTables/queryTable597.xml"/><Relationship Id="rId645" Type="http://schemas.openxmlformats.org/officeDocument/2006/relationships/queryTable" Target="../queryTables/queryTable639.xml"/><Relationship Id="rId687" Type="http://schemas.openxmlformats.org/officeDocument/2006/relationships/queryTable" Target="../queryTables/queryTable681.xml"/><Relationship Id="rId242" Type="http://schemas.openxmlformats.org/officeDocument/2006/relationships/queryTable" Target="../queryTables/queryTable236.xml"/><Relationship Id="rId284" Type="http://schemas.openxmlformats.org/officeDocument/2006/relationships/queryTable" Target="../queryTables/queryTable278.xml"/><Relationship Id="rId491" Type="http://schemas.openxmlformats.org/officeDocument/2006/relationships/queryTable" Target="../queryTables/queryTable485.xml"/><Relationship Id="rId505" Type="http://schemas.openxmlformats.org/officeDocument/2006/relationships/queryTable" Target="../queryTables/queryTable499.xml"/><Relationship Id="rId37" Type="http://schemas.openxmlformats.org/officeDocument/2006/relationships/queryTable" Target="../queryTables/queryTable31.xml"/><Relationship Id="rId79" Type="http://schemas.openxmlformats.org/officeDocument/2006/relationships/queryTable" Target="../queryTables/queryTable73.xml"/><Relationship Id="rId102" Type="http://schemas.openxmlformats.org/officeDocument/2006/relationships/queryTable" Target="../queryTables/queryTable96.xml"/><Relationship Id="rId144" Type="http://schemas.openxmlformats.org/officeDocument/2006/relationships/queryTable" Target="../queryTables/queryTable138.xml"/><Relationship Id="rId547" Type="http://schemas.openxmlformats.org/officeDocument/2006/relationships/queryTable" Target="../queryTables/queryTable541.xml"/><Relationship Id="rId589" Type="http://schemas.openxmlformats.org/officeDocument/2006/relationships/queryTable" Target="../queryTables/queryTable583.xml"/><Relationship Id="rId90" Type="http://schemas.openxmlformats.org/officeDocument/2006/relationships/queryTable" Target="../queryTables/queryTable84.xml"/><Relationship Id="rId186" Type="http://schemas.openxmlformats.org/officeDocument/2006/relationships/queryTable" Target="../queryTables/queryTable180.xml"/><Relationship Id="rId351" Type="http://schemas.openxmlformats.org/officeDocument/2006/relationships/queryTable" Target="../queryTables/queryTable345.xml"/><Relationship Id="rId393" Type="http://schemas.openxmlformats.org/officeDocument/2006/relationships/queryTable" Target="../queryTables/queryTable387.xml"/><Relationship Id="rId407" Type="http://schemas.openxmlformats.org/officeDocument/2006/relationships/queryTable" Target="../queryTables/queryTable401.xml"/><Relationship Id="rId449" Type="http://schemas.openxmlformats.org/officeDocument/2006/relationships/queryTable" Target="../queryTables/queryTable443.xml"/><Relationship Id="rId614" Type="http://schemas.openxmlformats.org/officeDocument/2006/relationships/queryTable" Target="../queryTables/queryTable608.xml"/><Relationship Id="rId656" Type="http://schemas.openxmlformats.org/officeDocument/2006/relationships/queryTable" Target="../queryTables/queryTable650.xml"/><Relationship Id="rId211" Type="http://schemas.openxmlformats.org/officeDocument/2006/relationships/queryTable" Target="../queryTables/queryTable205.xml"/><Relationship Id="rId253" Type="http://schemas.openxmlformats.org/officeDocument/2006/relationships/queryTable" Target="../queryTables/queryTable247.xml"/><Relationship Id="rId295" Type="http://schemas.openxmlformats.org/officeDocument/2006/relationships/queryTable" Target="../queryTables/queryTable289.xml"/><Relationship Id="rId309" Type="http://schemas.openxmlformats.org/officeDocument/2006/relationships/queryTable" Target="../queryTables/queryTable303.xml"/><Relationship Id="rId460" Type="http://schemas.openxmlformats.org/officeDocument/2006/relationships/queryTable" Target="../queryTables/queryTable454.xml"/><Relationship Id="rId516" Type="http://schemas.openxmlformats.org/officeDocument/2006/relationships/queryTable" Target="../queryTables/queryTable510.xml"/><Relationship Id="rId48" Type="http://schemas.openxmlformats.org/officeDocument/2006/relationships/queryTable" Target="../queryTables/queryTable42.xml"/><Relationship Id="rId113" Type="http://schemas.openxmlformats.org/officeDocument/2006/relationships/queryTable" Target="../queryTables/queryTable107.xml"/><Relationship Id="rId320" Type="http://schemas.openxmlformats.org/officeDocument/2006/relationships/queryTable" Target="../queryTables/queryTable314.xml"/><Relationship Id="rId558" Type="http://schemas.openxmlformats.org/officeDocument/2006/relationships/queryTable" Target="../queryTables/queryTable552.xml"/><Relationship Id="rId155" Type="http://schemas.openxmlformats.org/officeDocument/2006/relationships/queryTable" Target="../queryTables/queryTable149.xml"/><Relationship Id="rId197" Type="http://schemas.openxmlformats.org/officeDocument/2006/relationships/queryTable" Target="../queryTables/queryTable191.xml"/><Relationship Id="rId362" Type="http://schemas.openxmlformats.org/officeDocument/2006/relationships/queryTable" Target="../queryTables/queryTable356.xml"/><Relationship Id="rId418" Type="http://schemas.openxmlformats.org/officeDocument/2006/relationships/queryTable" Target="../queryTables/queryTable412.xml"/><Relationship Id="rId625" Type="http://schemas.openxmlformats.org/officeDocument/2006/relationships/queryTable" Target="../queryTables/queryTable619.xml"/><Relationship Id="rId222" Type="http://schemas.openxmlformats.org/officeDocument/2006/relationships/queryTable" Target="../queryTables/queryTable216.xml"/><Relationship Id="rId264" Type="http://schemas.openxmlformats.org/officeDocument/2006/relationships/queryTable" Target="../queryTables/queryTable258.xml"/><Relationship Id="rId471" Type="http://schemas.openxmlformats.org/officeDocument/2006/relationships/queryTable" Target="../queryTables/queryTable465.xml"/><Relationship Id="rId667" Type="http://schemas.openxmlformats.org/officeDocument/2006/relationships/queryTable" Target="../queryTables/queryTable661.xml"/><Relationship Id="rId17" Type="http://schemas.openxmlformats.org/officeDocument/2006/relationships/queryTable" Target="../queryTables/queryTable11.xml"/><Relationship Id="rId59" Type="http://schemas.openxmlformats.org/officeDocument/2006/relationships/queryTable" Target="../queryTables/queryTable53.xml"/><Relationship Id="rId124" Type="http://schemas.openxmlformats.org/officeDocument/2006/relationships/queryTable" Target="../queryTables/queryTable118.xml"/><Relationship Id="rId527" Type="http://schemas.openxmlformats.org/officeDocument/2006/relationships/queryTable" Target="../queryTables/queryTable521.xml"/><Relationship Id="rId569" Type="http://schemas.openxmlformats.org/officeDocument/2006/relationships/queryTable" Target="../queryTables/queryTable563.xml"/><Relationship Id="rId70" Type="http://schemas.openxmlformats.org/officeDocument/2006/relationships/queryTable" Target="../queryTables/queryTable64.xml"/><Relationship Id="rId166" Type="http://schemas.openxmlformats.org/officeDocument/2006/relationships/queryTable" Target="../queryTables/queryTable160.xml"/><Relationship Id="rId331" Type="http://schemas.openxmlformats.org/officeDocument/2006/relationships/queryTable" Target="../queryTables/queryTable325.xml"/><Relationship Id="rId373" Type="http://schemas.openxmlformats.org/officeDocument/2006/relationships/queryTable" Target="../queryTables/queryTable367.xml"/><Relationship Id="rId429" Type="http://schemas.openxmlformats.org/officeDocument/2006/relationships/queryTable" Target="../queryTables/queryTable423.xml"/><Relationship Id="rId580" Type="http://schemas.openxmlformats.org/officeDocument/2006/relationships/queryTable" Target="../queryTables/queryTable574.xml"/><Relationship Id="rId636" Type="http://schemas.openxmlformats.org/officeDocument/2006/relationships/queryTable" Target="../queryTables/queryTable630.xml"/><Relationship Id="rId1" Type="http://schemas.openxmlformats.org/officeDocument/2006/relationships/printerSettings" Target="../printerSettings/printerSettings8.bin"/><Relationship Id="rId233" Type="http://schemas.openxmlformats.org/officeDocument/2006/relationships/queryTable" Target="../queryTables/queryTable227.xml"/><Relationship Id="rId440" Type="http://schemas.openxmlformats.org/officeDocument/2006/relationships/queryTable" Target="../queryTables/queryTable434.xml"/><Relationship Id="rId678" Type="http://schemas.openxmlformats.org/officeDocument/2006/relationships/queryTable" Target="../queryTables/queryTable672.xml"/><Relationship Id="rId28" Type="http://schemas.openxmlformats.org/officeDocument/2006/relationships/queryTable" Target="../queryTables/queryTable22.xml"/><Relationship Id="rId275" Type="http://schemas.openxmlformats.org/officeDocument/2006/relationships/queryTable" Target="../queryTables/queryTable269.xml"/><Relationship Id="rId300" Type="http://schemas.openxmlformats.org/officeDocument/2006/relationships/queryTable" Target="../queryTables/queryTable294.xml"/><Relationship Id="rId482" Type="http://schemas.openxmlformats.org/officeDocument/2006/relationships/queryTable" Target="../queryTables/queryTable476.xml"/><Relationship Id="rId538" Type="http://schemas.openxmlformats.org/officeDocument/2006/relationships/queryTable" Target="../queryTables/queryTable532.xml"/><Relationship Id="rId81" Type="http://schemas.openxmlformats.org/officeDocument/2006/relationships/queryTable" Target="../queryTables/queryTable75.xml"/><Relationship Id="rId135" Type="http://schemas.openxmlformats.org/officeDocument/2006/relationships/queryTable" Target="../queryTables/queryTable129.xml"/><Relationship Id="rId177" Type="http://schemas.openxmlformats.org/officeDocument/2006/relationships/queryTable" Target="../queryTables/queryTable171.xml"/><Relationship Id="rId342" Type="http://schemas.openxmlformats.org/officeDocument/2006/relationships/queryTable" Target="../queryTables/queryTable336.xml"/><Relationship Id="rId384" Type="http://schemas.openxmlformats.org/officeDocument/2006/relationships/queryTable" Target="../queryTables/queryTable378.xml"/><Relationship Id="rId591" Type="http://schemas.openxmlformats.org/officeDocument/2006/relationships/queryTable" Target="../queryTables/queryTable585.xml"/><Relationship Id="rId605" Type="http://schemas.openxmlformats.org/officeDocument/2006/relationships/queryTable" Target="../queryTables/queryTable599.xml"/><Relationship Id="rId202" Type="http://schemas.openxmlformats.org/officeDocument/2006/relationships/queryTable" Target="../queryTables/queryTable196.xml"/><Relationship Id="rId244" Type="http://schemas.openxmlformats.org/officeDocument/2006/relationships/queryTable" Target="../queryTables/queryTable238.xml"/><Relationship Id="rId647" Type="http://schemas.openxmlformats.org/officeDocument/2006/relationships/queryTable" Target="../queryTables/queryTable641.xml"/><Relationship Id="rId689" Type="http://schemas.openxmlformats.org/officeDocument/2006/relationships/queryTable" Target="../queryTables/queryTable683.xml"/><Relationship Id="rId39" Type="http://schemas.openxmlformats.org/officeDocument/2006/relationships/queryTable" Target="../queryTables/queryTable33.xml"/><Relationship Id="rId286" Type="http://schemas.openxmlformats.org/officeDocument/2006/relationships/queryTable" Target="../queryTables/queryTable280.xml"/><Relationship Id="rId451" Type="http://schemas.openxmlformats.org/officeDocument/2006/relationships/queryTable" Target="../queryTables/queryTable445.xml"/><Relationship Id="rId493" Type="http://schemas.openxmlformats.org/officeDocument/2006/relationships/queryTable" Target="../queryTables/queryTable487.xml"/><Relationship Id="rId507" Type="http://schemas.openxmlformats.org/officeDocument/2006/relationships/queryTable" Target="../queryTables/queryTable501.xml"/><Relationship Id="rId549" Type="http://schemas.openxmlformats.org/officeDocument/2006/relationships/queryTable" Target="../queryTables/queryTable543.xml"/><Relationship Id="rId50" Type="http://schemas.openxmlformats.org/officeDocument/2006/relationships/queryTable" Target="../queryTables/queryTable44.xml"/><Relationship Id="rId104" Type="http://schemas.openxmlformats.org/officeDocument/2006/relationships/queryTable" Target="../queryTables/queryTable98.xml"/><Relationship Id="rId146" Type="http://schemas.openxmlformats.org/officeDocument/2006/relationships/queryTable" Target="../queryTables/queryTable140.xml"/><Relationship Id="rId188" Type="http://schemas.openxmlformats.org/officeDocument/2006/relationships/queryTable" Target="../queryTables/queryTable182.xml"/><Relationship Id="rId311" Type="http://schemas.openxmlformats.org/officeDocument/2006/relationships/queryTable" Target="../queryTables/queryTable305.xml"/><Relationship Id="rId353" Type="http://schemas.openxmlformats.org/officeDocument/2006/relationships/queryTable" Target="../queryTables/queryTable347.xml"/><Relationship Id="rId395" Type="http://schemas.openxmlformats.org/officeDocument/2006/relationships/queryTable" Target="../queryTables/queryTable389.xml"/><Relationship Id="rId409" Type="http://schemas.openxmlformats.org/officeDocument/2006/relationships/queryTable" Target="../queryTables/queryTable403.xml"/><Relationship Id="rId560" Type="http://schemas.openxmlformats.org/officeDocument/2006/relationships/queryTable" Target="../queryTables/queryTable554.xml"/><Relationship Id="rId92" Type="http://schemas.openxmlformats.org/officeDocument/2006/relationships/queryTable" Target="../queryTables/queryTable86.xml"/><Relationship Id="rId213" Type="http://schemas.openxmlformats.org/officeDocument/2006/relationships/queryTable" Target="../queryTables/queryTable207.xml"/><Relationship Id="rId420" Type="http://schemas.openxmlformats.org/officeDocument/2006/relationships/queryTable" Target="../queryTables/queryTable414.xml"/><Relationship Id="rId616" Type="http://schemas.openxmlformats.org/officeDocument/2006/relationships/queryTable" Target="../queryTables/queryTable610.xml"/><Relationship Id="rId658" Type="http://schemas.openxmlformats.org/officeDocument/2006/relationships/queryTable" Target="../queryTables/queryTable652.xml"/><Relationship Id="rId255" Type="http://schemas.openxmlformats.org/officeDocument/2006/relationships/queryTable" Target="../queryTables/queryTable249.xml"/><Relationship Id="rId297" Type="http://schemas.openxmlformats.org/officeDocument/2006/relationships/queryTable" Target="../queryTables/queryTable291.xml"/><Relationship Id="rId462" Type="http://schemas.openxmlformats.org/officeDocument/2006/relationships/queryTable" Target="../queryTables/queryTable456.xml"/><Relationship Id="rId518" Type="http://schemas.openxmlformats.org/officeDocument/2006/relationships/queryTable" Target="../queryTables/queryTable512.xml"/><Relationship Id="rId115" Type="http://schemas.openxmlformats.org/officeDocument/2006/relationships/queryTable" Target="../queryTables/queryTable109.xml"/><Relationship Id="rId157" Type="http://schemas.openxmlformats.org/officeDocument/2006/relationships/queryTable" Target="../queryTables/queryTable151.xml"/><Relationship Id="rId322" Type="http://schemas.openxmlformats.org/officeDocument/2006/relationships/queryTable" Target="../queryTables/queryTable316.xml"/><Relationship Id="rId364" Type="http://schemas.openxmlformats.org/officeDocument/2006/relationships/queryTable" Target="../queryTables/queryTable358.xml"/><Relationship Id="rId61" Type="http://schemas.openxmlformats.org/officeDocument/2006/relationships/queryTable" Target="../queryTables/queryTable55.xml"/><Relationship Id="rId199" Type="http://schemas.openxmlformats.org/officeDocument/2006/relationships/queryTable" Target="../queryTables/queryTable193.xml"/><Relationship Id="rId571" Type="http://schemas.openxmlformats.org/officeDocument/2006/relationships/queryTable" Target="../queryTables/queryTable565.xml"/><Relationship Id="rId627" Type="http://schemas.openxmlformats.org/officeDocument/2006/relationships/queryTable" Target="../queryTables/queryTable621.xml"/><Relationship Id="rId669" Type="http://schemas.openxmlformats.org/officeDocument/2006/relationships/queryTable" Target="../queryTables/queryTable663.xml"/><Relationship Id="rId19" Type="http://schemas.openxmlformats.org/officeDocument/2006/relationships/queryTable" Target="../queryTables/queryTable13.xml"/><Relationship Id="rId224" Type="http://schemas.openxmlformats.org/officeDocument/2006/relationships/queryTable" Target="../queryTables/queryTable218.xml"/><Relationship Id="rId266" Type="http://schemas.openxmlformats.org/officeDocument/2006/relationships/queryTable" Target="../queryTables/queryTable260.xml"/><Relationship Id="rId431" Type="http://schemas.openxmlformats.org/officeDocument/2006/relationships/queryTable" Target="../queryTables/queryTable425.xml"/><Relationship Id="rId473" Type="http://schemas.openxmlformats.org/officeDocument/2006/relationships/queryTable" Target="../queryTables/queryTable467.xml"/><Relationship Id="rId529" Type="http://schemas.openxmlformats.org/officeDocument/2006/relationships/queryTable" Target="../queryTables/queryTable523.xml"/><Relationship Id="rId680" Type="http://schemas.openxmlformats.org/officeDocument/2006/relationships/queryTable" Target="../queryTables/queryTable674.xml"/><Relationship Id="rId30" Type="http://schemas.openxmlformats.org/officeDocument/2006/relationships/queryTable" Target="../queryTables/queryTable24.xml"/><Relationship Id="rId126" Type="http://schemas.openxmlformats.org/officeDocument/2006/relationships/queryTable" Target="../queryTables/queryTable120.xml"/><Relationship Id="rId168" Type="http://schemas.openxmlformats.org/officeDocument/2006/relationships/queryTable" Target="../queryTables/queryTable162.xml"/><Relationship Id="rId333" Type="http://schemas.openxmlformats.org/officeDocument/2006/relationships/queryTable" Target="../queryTables/queryTable327.xml"/><Relationship Id="rId540" Type="http://schemas.openxmlformats.org/officeDocument/2006/relationships/queryTable" Target="../queryTables/queryTable534.xml"/><Relationship Id="rId72" Type="http://schemas.openxmlformats.org/officeDocument/2006/relationships/queryTable" Target="../queryTables/queryTable66.xml"/><Relationship Id="rId375" Type="http://schemas.openxmlformats.org/officeDocument/2006/relationships/queryTable" Target="../queryTables/queryTable369.xml"/><Relationship Id="rId582" Type="http://schemas.openxmlformats.org/officeDocument/2006/relationships/queryTable" Target="../queryTables/queryTable576.xml"/><Relationship Id="rId638" Type="http://schemas.openxmlformats.org/officeDocument/2006/relationships/queryTable" Target="../queryTables/queryTable632.xml"/><Relationship Id="rId3" Type="http://schemas.openxmlformats.org/officeDocument/2006/relationships/vmlDrawing" Target="../drawings/vmlDrawing8.vml"/><Relationship Id="rId235" Type="http://schemas.openxmlformats.org/officeDocument/2006/relationships/queryTable" Target="../queryTables/queryTable229.xml"/><Relationship Id="rId277" Type="http://schemas.openxmlformats.org/officeDocument/2006/relationships/queryTable" Target="../queryTables/queryTable271.xml"/><Relationship Id="rId400" Type="http://schemas.openxmlformats.org/officeDocument/2006/relationships/queryTable" Target="../queryTables/queryTable394.xml"/><Relationship Id="rId442" Type="http://schemas.openxmlformats.org/officeDocument/2006/relationships/queryTable" Target="../queryTables/queryTable436.xml"/><Relationship Id="rId484" Type="http://schemas.openxmlformats.org/officeDocument/2006/relationships/queryTable" Target="../queryTables/queryTable478.xml"/><Relationship Id="rId137" Type="http://schemas.openxmlformats.org/officeDocument/2006/relationships/queryTable" Target="../queryTables/queryTable131.xml"/><Relationship Id="rId302" Type="http://schemas.openxmlformats.org/officeDocument/2006/relationships/queryTable" Target="../queryTables/queryTable296.xml"/><Relationship Id="rId344" Type="http://schemas.openxmlformats.org/officeDocument/2006/relationships/queryTable" Target="../queryTables/queryTable338.xml"/><Relationship Id="rId691" Type="http://schemas.openxmlformats.org/officeDocument/2006/relationships/queryTable" Target="../queryTables/queryTable685.xml"/><Relationship Id="rId41" Type="http://schemas.openxmlformats.org/officeDocument/2006/relationships/queryTable" Target="../queryTables/queryTable35.xml"/><Relationship Id="rId83" Type="http://schemas.openxmlformats.org/officeDocument/2006/relationships/queryTable" Target="../queryTables/queryTable77.xml"/><Relationship Id="rId179" Type="http://schemas.openxmlformats.org/officeDocument/2006/relationships/queryTable" Target="../queryTables/queryTable173.xml"/><Relationship Id="rId386" Type="http://schemas.openxmlformats.org/officeDocument/2006/relationships/queryTable" Target="../queryTables/queryTable380.xml"/><Relationship Id="rId551" Type="http://schemas.openxmlformats.org/officeDocument/2006/relationships/queryTable" Target="../queryTables/queryTable545.xml"/><Relationship Id="rId593" Type="http://schemas.openxmlformats.org/officeDocument/2006/relationships/queryTable" Target="../queryTables/queryTable587.xml"/><Relationship Id="rId607" Type="http://schemas.openxmlformats.org/officeDocument/2006/relationships/queryTable" Target="../queryTables/queryTable601.xml"/><Relationship Id="rId649" Type="http://schemas.openxmlformats.org/officeDocument/2006/relationships/queryTable" Target="../queryTables/queryTable643.xml"/><Relationship Id="rId190" Type="http://schemas.openxmlformats.org/officeDocument/2006/relationships/queryTable" Target="../queryTables/queryTable184.xml"/><Relationship Id="rId204" Type="http://schemas.openxmlformats.org/officeDocument/2006/relationships/queryTable" Target="../queryTables/queryTable198.xml"/><Relationship Id="rId246" Type="http://schemas.openxmlformats.org/officeDocument/2006/relationships/queryTable" Target="../queryTables/queryTable240.xml"/><Relationship Id="rId288" Type="http://schemas.openxmlformats.org/officeDocument/2006/relationships/queryTable" Target="../queryTables/queryTable282.xml"/><Relationship Id="rId411" Type="http://schemas.openxmlformats.org/officeDocument/2006/relationships/queryTable" Target="../queryTables/queryTable405.xml"/><Relationship Id="rId453" Type="http://schemas.openxmlformats.org/officeDocument/2006/relationships/queryTable" Target="../queryTables/queryTable447.xml"/><Relationship Id="rId509" Type="http://schemas.openxmlformats.org/officeDocument/2006/relationships/queryTable" Target="../queryTables/queryTable503.xml"/><Relationship Id="rId660" Type="http://schemas.openxmlformats.org/officeDocument/2006/relationships/queryTable" Target="../queryTables/queryTable654.xml"/><Relationship Id="rId106" Type="http://schemas.openxmlformats.org/officeDocument/2006/relationships/queryTable" Target="../queryTables/queryTable100.xml"/><Relationship Id="rId313" Type="http://schemas.openxmlformats.org/officeDocument/2006/relationships/queryTable" Target="../queryTables/queryTable307.xml"/><Relationship Id="rId495" Type="http://schemas.openxmlformats.org/officeDocument/2006/relationships/queryTable" Target="../queryTables/queryTable489.xml"/><Relationship Id="rId10" Type="http://schemas.openxmlformats.org/officeDocument/2006/relationships/queryTable" Target="../queryTables/queryTable4.xml"/><Relationship Id="rId52" Type="http://schemas.openxmlformats.org/officeDocument/2006/relationships/queryTable" Target="../queryTables/queryTable46.xml"/><Relationship Id="rId94" Type="http://schemas.openxmlformats.org/officeDocument/2006/relationships/queryTable" Target="../queryTables/queryTable88.xml"/><Relationship Id="rId148" Type="http://schemas.openxmlformats.org/officeDocument/2006/relationships/queryTable" Target="../queryTables/queryTable142.xml"/><Relationship Id="rId355" Type="http://schemas.openxmlformats.org/officeDocument/2006/relationships/queryTable" Target="../queryTables/queryTable349.xml"/><Relationship Id="rId397" Type="http://schemas.openxmlformats.org/officeDocument/2006/relationships/queryTable" Target="../queryTables/queryTable391.xml"/><Relationship Id="rId520" Type="http://schemas.openxmlformats.org/officeDocument/2006/relationships/queryTable" Target="../queryTables/queryTable514.xml"/><Relationship Id="rId562" Type="http://schemas.openxmlformats.org/officeDocument/2006/relationships/queryTable" Target="../queryTables/queryTable556.xml"/><Relationship Id="rId618" Type="http://schemas.openxmlformats.org/officeDocument/2006/relationships/queryTable" Target="../queryTables/queryTable612.xml"/><Relationship Id="rId215" Type="http://schemas.openxmlformats.org/officeDocument/2006/relationships/queryTable" Target="../queryTables/queryTable209.xml"/><Relationship Id="rId257" Type="http://schemas.openxmlformats.org/officeDocument/2006/relationships/queryTable" Target="../queryTables/queryTable251.xml"/><Relationship Id="rId422" Type="http://schemas.openxmlformats.org/officeDocument/2006/relationships/queryTable" Target="../queryTables/queryTable416.xml"/><Relationship Id="rId464" Type="http://schemas.openxmlformats.org/officeDocument/2006/relationships/queryTable" Target="../queryTables/queryTable458.xml"/><Relationship Id="rId299" Type="http://schemas.openxmlformats.org/officeDocument/2006/relationships/queryTable" Target="../queryTables/queryTable293.xml"/><Relationship Id="rId63" Type="http://schemas.openxmlformats.org/officeDocument/2006/relationships/queryTable" Target="../queryTables/queryTable57.xml"/><Relationship Id="rId159" Type="http://schemas.openxmlformats.org/officeDocument/2006/relationships/queryTable" Target="../queryTables/queryTable153.xml"/><Relationship Id="rId366" Type="http://schemas.openxmlformats.org/officeDocument/2006/relationships/queryTable" Target="../queryTables/queryTable360.xml"/><Relationship Id="rId573" Type="http://schemas.openxmlformats.org/officeDocument/2006/relationships/queryTable" Target="../queryTables/queryTable567.xml"/><Relationship Id="rId226" Type="http://schemas.openxmlformats.org/officeDocument/2006/relationships/queryTable" Target="../queryTables/queryTable220.xml"/><Relationship Id="rId433" Type="http://schemas.openxmlformats.org/officeDocument/2006/relationships/queryTable" Target="../queryTables/queryTable427.xml"/><Relationship Id="rId640" Type="http://schemas.openxmlformats.org/officeDocument/2006/relationships/queryTable" Target="../queryTables/queryTable634.xml"/><Relationship Id="rId74" Type="http://schemas.openxmlformats.org/officeDocument/2006/relationships/queryTable" Target="../queryTables/queryTable68.xml"/><Relationship Id="rId377" Type="http://schemas.openxmlformats.org/officeDocument/2006/relationships/queryTable" Target="../queryTables/queryTable371.xml"/><Relationship Id="rId500" Type="http://schemas.openxmlformats.org/officeDocument/2006/relationships/queryTable" Target="../queryTables/queryTable494.xml"/><Relationship Id="rId584" Type="http://schemas.openxmlformats.org/officeDocument/2006/relationships/queryTable" Target="../queryTables/queryTable578.xml"/><Relationship Id="rId5" Type="http://schemas.openxmlformats.org/officeDocument/2006/relationships/ctrlProp" Target="../ctrlProps/ctrlProp136.xml"/><Relationship Id="rId237" Type="http://schemas.openxmlformats.org/officeDocument/2006/relationships/queryTable" Target="../queryTables/queryTable231.xml"/><Relationship Id="rId444" Type="http://schemas.openxmlformats.org/officeDocument/2006/relationships/queryTable" Target="../queryTables/queryTable438.xml"/><Relationship Id="rId651" Type="http://schemas.openxmlformats.org/officeDocument/2006/relationships/queryTable" Target="../queryTables/queryTable645.xml"/><Relationship Id="rId290" Type="http://schemas.openxmlformats.org/officeDocument/2006/relationships/queryTable" Target="../queryTables/queryTable284.xml"/><Relationship Id="rId304" Type="http://schemas.openxmlformats.org/officeDocument/2006/relationships/queryTable" Target="../queryTables/queryTable298.xml"/><Relationship Id="rId388" Type="http://schemas.openxmlformats.org/officeDocument/2006/relationships/queryTable" Target="../queryTables/queryTable382.xml"/><Relationship Id="rId511" Type="http://schemas.openxmlformats.org/officeDocument/2006/relationships/queryTable" Target="../queryTables/queryTable505.xml"/><Relationship Id="rId609" Type="http://schemas.openxmlformats.org/officeDocument/2006/relationships/queryTable" Target="../queryTables/queryTable603.xml"/><Relationship Id="rId85" Type="http://schemas.openxmlformats.org/officeDocument/2006/relationships/queryTable" Target="../queryTables/queryTable79.xml"/><Relationship Id="rId150" Type="http://schemas.openxmlformats.org/officeDocument/2006/relationships/queryTable" Target="../queryTables/queryTable144.xml"/><Relationship Id="rId595" Type="http://schemas.openxmlformats.org/officeDocument/2006/relationships/queryTable" Target="../queryTables/queryTable589.xml"/><Relationship Id="rId248" Type="http://schemas.openxmlformats.org/officeDocument/2006/relationships/queryTable" Target="../queryTables/queryTable242.xml"/><Relationship Id="rId455" Type="http://schemas.openxmlformats.org/officeDocument/2006/relationships/queryTable" Target="../queryTables/queryTable449.xml"/><Relationship Id="rId662" Type="http://schemas.openxmlformats.org/officeDocument/2006/relationships/queryTable" Target="../queryTables/queryTable656.xml"/><Relationship Id="rId12" Type="http://schemas.openxmlformats.org/officeDocument/2006/relationships/queryTable" Target="../queryTables/queryTable6.xml"/><Relationship Id="rId108" Type="http://schemas.openxmlformats.org/officeDocument/2006/relationships/queryTable" Target="../queryTables/queryTable102.xml"/><Relationship Id="rId315" Type="http://schemas.openxmlformats.org/officeDocument/2006/relationships/queryTable" Target="../queryTables/queryTable309.xml"/><Relationship Id="rId522" Type="http://schemas.openxmlformats.org/officeDocument/2006/relationships/queryTable" Target="../queryTables/queryTable516.xml"/><Relationship Id="rId96" Type="http://schemas.openxmlformats.org/officeDocument/2006/relationships/queryTable" Target="../queryTables/queryTable90.xml"/><Relationship Id="rId161" Type="http://schemas.openxmlformats.org/officeDocument/2006/relationships/queryTable" Target="../queryTables/queryTable155.xml"/><Relationship Id="rId399" Type="http://schemas.openxmlformats.org/officeDocument/2006/relationships/queryTable" Target="../queryTables/queryTable393.xml"/><Relationship Id="rId259" Type="http://schemas.openxmlformats.org/officeDocument/2006/relationships/queryTable" Target="../queryTables/queryTable253.xml"/><Relationship Id="rId466" Type="http://schemas.openxmlformats.org/officeDocument/2006/relationships/queryTable" Target="../queryTables/queryTable460.xml"/><Relationship Id="rId673" Type="http://schemas.openxmlformats.org/officeDocument/2006/relationships/queryTable" Target="../queryTables/queryTable667.xml"/><Relationship Id="rId23" Type="http://schemas.openxmlformats.org/officeDocument/2006/relationships/queryTable" Target="../queryTables/queryTable17.xml"/><Relationship Id="rId119" Type="http://schemas.openxmlformats.org/officeDocument/2006/relationships/queryTable" Target="../queryTables/queryTable113.xml"/><Relationship Id="rId326" Type="http://schemas.openxmlformats.org/officeDocument/2006/relationships/queryTable" Target="../queryTables/queryTable320.xml"/><Relationship Id="rId533" Type="http://schemas.openxmlformats.org/officeDocument/2006/relationships/queryTable" Target="../queryTables/queryTable527.xml"/><Relationship Id="rId172" Type="http://schemas.openxmlformats.org/officeDocument/2006/relationships/queryTable" Target="../queryTables/queryTable166.xml"/><Relationship Id="rId477" Type="http://schemas.openxmlformats.org/officeDocument/2006/relationships/queryTable" Target="../queryTables/queryTable471.xml"/><Relationship Id="rId600" Type="http://schemas.openxmlformats.org/officeDocument/2006/relationships/queryTable" Target="../queryTables/queryTable594.xml"/><Relationship Id="rId684" Type="http://schemas.openxmlformats.org/officeDocument/2006/relationships/queryTable" Target="../queryTables/queryTable678.xml"/><Relationship Id="rId337" Type="http://schemas.openxmlformats.org/officeDocument/2006/relationships/queryTable" Target="../queryTables/queryTable331.xml"/><Relationship Id="rId34" Type="http://schemas.openxmlformats.org/officeDocument/2006/relationships/queryTable" Target="../queryTables/queryTable28.xml"/><Relationship Id="rId544" Type="http://schemas.openxmlformats.org/officeDocument/2006/relationships/queryTable" Target="../queryTables/queryTable538.xml"/><Relationship Id="rId183" Type="http://schemas.openxmlformats.org/officeDocument/2006/relationships/queryTable" Target="../queryTables/queryTable177.xml"/><Relationship Id="rId390" Type="http://schemas.openxmlformats.org/officeDocument/2006/relationships/queryTable" Target="../queryTables/queryTable384.xml"/><Relationship Id="rId404" Type="http://schemas.openxmlformats.org/officeDocument/2006/relationships/queryTable" Target="../queryTables/queryTable398.xml"/><Relationship Id="rId611" Type="http://schemas.openxmlformats.org/officeDocument/2006/relationships/queryTable" Target="../queryTables/queryTable605.xml"/><Relationship Id="rId250" Type="http://schemas.openxmlformats.org/officeDocument/2006/relationships/queryTable" Target="../queryTables/queryTable244.xml"/><Relationship Id="rId488" Type="http://schemas.openxmlformats.org/officeDocument/2006/relationships/queryTable" Target="../queryTables/queryTable482.xml"/><Relationship Id="rId45" Type="http://schemas.openxmlformats.org/officeDocument/2006/relationships/queryTable" Target="../queryTables/queryTable39.xml"/><Relationship Id="rId110" Type="http://schemas.openxmlformats.org/officeDocument/2006/relationships/queryTable" Target="../queryTables/queryTable104.xml"/><Relationship Id="rId348" Type="http://schemas.openxmlformats.org/officeDocument/2006/relationships/queryTable" Target="../queryTables/queryTable342.xml"/><Relationship Id="rId555" Type="http://schemas.openxmlformats.org/officeDocument/2006/relationships/queryTable" Target="../queryTables/queryTable549.xml"/><Relationship Id="rId194" Type="http://schemas.openxmlformats.org/officeDocument/2006/relationships/queryTable" Target="../queryTables/queryTable188.xml"/><Relationship Id="rId208" Type="http://schemas.openxmlformats.org/officeDocument/2006/relationships/queryTable" Target="../queryTables/queryTable202.xml"/><Relationship Id="rId415" Type="http://schemas.openxmlformats.org/officeDocument/2006/relationships/queryTable" Target="../queryTables/queryTable409.xml"/><Relationship Id="rId622" Type="http://schemas.openxmlformats.org/officeDocument/2006/relationships/queryTable" Target="../queryTables/queryTable616.xml"/><Relationship Id="rId261" Type="http://schemas.openxmlformats.org/officeDocument/2006/relationships/queryTable" Target="../queryTables/queryTable255.xml"/><Relationship Id="rId499" Type="http://schemas.openxmlformats.org/officeDocument/2006/relationships/queryTable" Target="../queryTables/queryTable493.xml"/><Relationship Id="rId56" Type="http://schemas.openxmlformats.org/officeDocument/2006/relationships/queryTable" Target="../queryTables/queryTable50.xml"/><Relationship Id="rId359" Type="http://schemas.openxmlformats.org/officeDocument/2006/relationships/queryTable" Target="../queryTables/queryTable353.xml"/><Relationship Id="rId566" Type="http://schemas.openxmlformats.org/officeDocument/2006/relationships/queryTable" Target="../queryTables/queryTable560.xml"/><Relationship Id="rId121" Type="http://schemas.openxmlformats.org/officeDocument/2006/relationships/queryTable" Target="../queryTables/queryTable115.xml"/><Relationship Id="rId219" Type="http://schemas.openxmlformats.org/officeDocument/2006/relationships/queryTable" Target="../queryTables/queryTable213.xml"/><Relationship Id="rId426" Type="http://schemas.openxmlformats.org/officeDocument/2006/relationships/queryTable" Target="../queryTables/queryTable420.xml"/><Relationship Id="rId633" Type="http://schemas.openxmlformats.org/officeDocument/2006/relationships/queryTable" Target="../queryTables/queryTable627.xml"/><Relationship Id="rId67" Type="http://schemas.openxmlformats.org/officeDocument/2006/relationships/queryTable" Target="../queryTables/queryTable61.xml"/><Relationship Id="rId272" Type="http://schemas.openxmlformats.org/officeDocument/2006/relationships/queryTable" Target="../queryTables/queryTable266.xml"/><Relationship Id="rId577" Type="http://schemas.openxmlformats.org/officeDocument/2006/relationships/queryTable" Target="../queryTables/queryTable571.xml"/><Relationship Id="rId132" Type="http://schemas.openxmlformats.org/officeDocument/2006/relationships/queryTable" Target="../queryTables/queryTable126.xml"/><Relationship Id="rId437" Type="http://schemas.openxmlformats.org/officeDocument/2006/relationships/queryTable" Target="../queryTables/queryTable431.xml"/><Relationship Id="rId644" Type="http://schemas.openxmlformats.org/officeDocument/2006/relationships/queryTable" Target="../queryTables/queryTable638.xml"/><Relationship Id="rId283" Type="http://schemas.openxmlformats.org/officeDocument/2006/relationships/queryTable" Target="../queryTables/queryTable277.xml"/><Relationship Id="rId490" Type="http://schemas.openxmlformats.org/officeDocument/2006/relationships/queryTable" Target="../queryTables/queryTable484.xml"/><Relationship Id="rId504" Type="http://schemas.openxmlformats.org/officeDocument/2006/relationships/queryTable" Target="../queryTables/queryTable498.xml"/><Relationship Id="rId78" Type="http://schemas.openxmlformats.org/officeDocument/2006/relationships/queryTable" Target="../queryTables/queryTable72.xml"/><Relationship Id="rId143" Type="http://schemas.openxmlformats.org/officeDocument/2006/relationships/queryTable" Target="../queryTables/queryTable137.xml"/><Relationship Id="rId350" Type="http://schemas.openxmlformats.org/officeDocument/2006/relationships/queryTable" Target="../queryTables/queryTable344.xml"/><Relationship Id="rId588" Type="http://schemas.openxmlformats.org/officeDocument/2006/relationships/queryTable" Target="../queryTables/queryTable582.xml"/><Relationship Id="rId9" Type="http://schemas.openxmlformats.org/officeDocument/2006/relationships/queryTable" Target="../queryTables/queryTable3.xml"/><Relationship Id="rId210" Type="http://schemas.openxmlformats.org/officeDocument/2006/relationships/queryTable" Target="../queryTables/queryTable204.xml"/><Relationship Id="rId448" Type="http://schemas.openxmlformats.org/officeDocument/2006/relationships/queryTable" Target="../queryTables/queryTable442.xml"/><Relationship Id="rId655" Type="http://schemas.openxmlformats.org/officeDocument/2006/relationships/queryTable" Target="../queryTables/queryTable649.xml"/><Relationship Id="rId294" Type="http://schemas.openxmlformats.org/officeDocument/2006/relationships/queryTable" Target="../queryTables/queryTable288.xml"/><Relationship Id="rId308" Type="http://schemas.openxmlformats.org/officeDocument/2006/relationships/queryTable" Target="../queryTables/queryTable302.xml"/><Relationship Id="rId515" Type="http://schemas.openxmlformats.org/officeDocument/2006/relationships/queryTable" Target="../queryTables/queryTable509.xml"/><Relationship Id="rId89" Type="http://schemas.openxmlformats.org/officeDocument/2006/relationships/queryTable" Target="../queryTables/queryTable83.xml"/><Relationship Id="rId154" Type="http://schemas.openxmlformats.org/officeDocument/2006/relationships/queryTable" Target="../queryTables/queryTable148.xml"/><Relationship Id="rId361" Type="http://schemas.openxmlformats.org/officeDocument/2006/relationships/queryTable" Target="../queryTables/queryTable355.xml"/><Relationship Id="rId599" Type="http://schemas.openxmlformats.org/officeDocument/2006/relationships/queryTable" Target="../queryTables/queryTable593.xml"/><Relationship Id="rId459" Type="http://schemas.openxmlformats.org/officeDocument/2006/relationships/queryTable" Target="../queryTables/queryTable453.xml"/><Relationship Id="rId666" Type="http://schemas.openxmlformats.org/officeDocument/2006/relationships/queryTable" Target="../queryTables/queryTable660.xml"/><Relationship Id="rId16" Type="http://schemas.openxmlformats.org/officeDocument/2006/relationships/queryTable" Target="../queryTables/queryTable10.xml"/><Relationship Id="rId221" Type="http://schemas.openxmlformats.org/officeDocument/2006/relationships/queryTable" Target="../queryTables/queryTable215.xml"/><Relationship Id="rId319" Type="http://schemas.openxmlformats.org/officeDocument/2006/relationships/queryTable" Target="../queryTables/queryTable313.xml"/><Relationship Id="rId526" Type="http://schemas.openxmlformats.org/officeDocument/2006/relationships/queryTable" Target="../queryTables/queryTable520.xml"/><Relationship Id="rId165" Type="http://schemas.openxmlformats.org/officeDocument/2006/relationships/queryTable" Target="../queryTables/queryTable159.xml"/><Relationship Id="rId372" Type="http://schemas.openxmlformats.org/officeDocument/2006/relationships/queryTable" Target="../queryTables/queryTable366.xml"/><Relationship Id="rId677" Type="http://schemas.openxmlformats.org/officeDocument/2006/relationships/queryTable" Target="../queryTables/queryTable671.xml"/><Relationship Id="rId232" Type="http://schemas.openxmlformats.org/officeDocument/2006/relationships/queryTable" Target="../queryTables/queryTable226.xml"/><Relationship Id="rId27" Type="http://schemas.openxmlformats.org/officeDocument/2006/relationships/queryTable" Target="../queryTables/queryTable21.xml"/><Relationship Id="rId537" Type="http://schemas.openxmlformats.org/officeDocument/2006/relationships/queryTable" Target="../queryTables/queryTable531.xml"/><Relationship Id="rId80" Type="http://schemas.openxmlformats.org/officeDocument/2006/relationships/queryTable" Target="../queryTables/queryTable74.xml"/><Relationship Id="rId176" Type="http://schemas.openxmlformats.org/officeDocument/2006/relationships/queryTable" Target="../queryTables/queryTable170.xml"/><Relationship Id="rId383" Type="http://schemas.openxmlformats.org/officeDocument/2006/relationships/queryTable" Target="../queryTables/queryTable377.xml"/><Relationship Id="rId590" Type="http://schemas.openxmlformats.org/officeDocument/2006/relationships/queryTable" Target="../queryTables/queryTable584.xml"/><Relationship Id="rId604" Type="http://schemas.openxmlformats.org/officeDocument/2006/relationships/queryTable" Target="../queryTables/queryTable598.xml"/><Relationship Id="rId243" Type="http://schemas.openxmlformats.org/officeDocument/2006/relationships/queryTable" Target="../queryTables/queryTable237.xml"/><Relationship Id="rId450" Type="http://schemas.openxmlformats.org/officeDocument/2006/relationships/queryTable" Target="../queryTables/queryTable444.xml"/><Relationship Id="rId688" Type="http://schemas.openxmlformats.org/officeDocument/2006/relationships/queryTable" Target="../queryTables/queryTable682.xml"/><Relationship Id="rId38" Type="http://schemas.openxmlformats.org/officeDocument/2006/relationships/queryTable" Target="../queryTables/queryTable32.xml"/><Relationship Id="rId103" Type="http://schemas.openxmlformats.org/officeDocument/2006/relationships/queryTable" Target="../queryTables/queryTable97.xml"/><Relationship Id="rId310" Type="http://schemas.openxmlformats.org/officeDocument/2006/relationships/queryTable" Target="../queryTables/queryTable304.xml"/><Relationship Id="rId548" Type="http://schemas.openxmlformats.org/officeDocument/2006/relationships/queryTable" Target="../queryTables/queryTable542.xml"/><Relationship Id="rId91" Type="http://schemas.openxmlformats.org/officeDocument/2006/relationships/queryTable" Target="../queryTables/queryTable85.xml"/><Relationship Id="rId187" Type="http://schemas.openxmlformats.org/officeDocument/2006/relationships/queryTable" Target="../queryTables/queryTable181.xml"/><Relationship Id="rId394" Type="http://schemas.openxmlformats.org/officeDocument/2006/relationships/queryTable" Target="../queryTables/queryTable388.xml"/><Relationship Id="rId408" Type="http://schemas.openxmlformats.org/officeDocument/2006/relationships/queryTable" Target="../queryTables/queryTable402.xml"/><Relationship Id="rId615" Type="http://schemas.openxmlformats.org/officeDocument/2006/relationships/queryTable" Target="../queryTables/queryTable609.xml"/><Relationship Id="rId254" Type="http://schemas.openxmlformats.org/officeDocument/2006/relationships/queryTable" Target="../queryTables/queryTable24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hyperlink" Target="https://docs.google.com/spreadsheets/d/17GEzinxg02Ny9Q8Ugfxuw0Ay9PncesTh_ISUrPN6B_M/export?format=csv&amp;gid=151134227" TargetMode="External"/><Relationship Id="rId1" Type="http://schemas.openxmlformats.org/officeDocument/2006/relationships/hyperlink" Target="https://docs.google.com/spreadsheets/d/1HIzzNCeNoM8HOb7HLqTH8V-FdFdb8hRRXNP6PZr4xlE/export?format=csv&amp;gid=1314403448"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26" Type="http://schemas.openxmlformats.org/officeDocument/2006/relationships/queryTable" Target="../queryTables/queryTable712.xml"/><Relationship Id="rId21" Type="http://schemas.openxmlformats.org/officeDocument/2006/relationships/queryTable" Target="../queryTables/queryTable707.xml"/><Relationship Id="rId42" Type="http://schemas.openxmlformats.org/officeDocument/2006/relationships/queryTable" Target="../queryTables/queryTable728.xml"/><Relationship Id="rId47" Type="http://schemas.openxmlformats.org/officeDocument/2006/relationships/queryTable" Target="../queryTables/queryTable733.xml"/><Relationship Id="rId63" Type="http://schemas.openxmlformats.org/officeDocument/2006/relationships/queryTable" Target="../queryTables/queryTable749.xml"/><Relationship Id="rId68" Type="http://schemas.openxmlformats.org/officeDocument/2006/relationships/queryTable" Target="../queryTables/queryTable754.xml"/><Relationship Id="rId84" Type="http://schemas.openxmlformats.org/officeDocument/2006/relationships/queryTable" Target="../queryTables/queryTable770.xml"/><Relationship Id="rId89" Type="http://schemas.openxmlformats.org/officeDocument/2006/relationships/queryTable" Target="../queryTables/queryTable775.xml"/><Relationship Id="rId16" Type="http://schemas.openxmlformats.org/officeDocument/2006/relationships/queryTable" Target="../queryTables/queryTable702.xml"/><Relationship Id="rId11" Type="http://schemas.openxmlformats.org/officeDocument/2006/relationships/queryTable" Target="../queryTables/queryTable697.xml"/><Relationship Id="rId32" Type="http://schemas.openxmlformats.org/officeDocument/2006/relationships/queryTable" Target="../queryTables/queryTable718.xml"/><Relationship Id="rId37" Type="http://schemas.openxmlformats.org/officeDocument/2006/relationships/queryTable" Target="../queryTables/queryTable723.xml"/><Relationship Id="rId53" Type="http://schemas.openxmlformats.org/officeDocument/2006/relationships/queryTable" Target="../queryTables/queryTable739.xml"/><Relationship Id="rId58" Type="http://schemas.openxmlformats.org/officeDocument/2006/relationships/queryTable" Target="../queryTables/queryTable744.xml"/><Relationship Id="rId74" Type="http://schemas.openxmlformats.org/officeDocument/2006/relationships/queryTable" Target="../queryTables/queryTable760.xml"/><Relationship Id="rId79" Type="http://schemas.openxmlformats.org/officeDocument/2006/relationships/queryTable" Target="../queryTables/queryTable765.xml"/><Relationship Id="rId5" Type="http://schemas.openxmlformats.org/officeDocument/2006/relationships/queryTable" Target="../queryTables/queryTable691.xml"/><Relationship Id="rId90" Type="http://schemas.openxmlformats.org/officeDocument/2006/relationships/queryTable" Target="../queryTables/queryTable776.xml"/><Relationship Id="rId14" Type="http://schemas.openxmlformats.org/officeDocument/2006/relationships/queryTable" Target="../queryTables/queryTable700.xml"/><Relationship Id="rId22" Type="http://schemas.openxmlformats.org/officeDocument/2006/relationships/queryTable" Target="../queryTables/queryTable708.xml"/><Relationship Id="rId27" Type="http://schemas.openxmlformats.org/officeDocument/2006/relationships/queryTable" Target="../queryTables/queryTable713.xml"/><Relationship Id="rId30" Type="http://schemas.openxmlformats.org/officeDocument/2006/relationships/queryTable" Target="../queryTables/queryTable716.xml"/><Relationship Id="rId35" Type="http://schemas.openxmlformats.org/officeDocument/2006/relationships/queryTable" Target="../queryTables/queryTable721.xml"/><Relationship Id="rId43" Type="http://schemas.openxmlformats.org/officeDocument/2006/relationships/queryTable" Target="../queryTables/queryTable729.xml"/><Relationship Id="rId48" Type="http://schemas.openxmlformats.org/officeDocument/2006/relationships/queryTable" Target="../queryTables/queryTable734.xml"/><Relationship Id="rId56" Type="http://schemas.openxmlformats.org/officeDocument/2006/relationships/queryTable" Target="../queryTables/queryTable742.xml"/><Relationship Id="rId64" Type="http://schemas.openxmlformats.org/officeDocument/2006/relationships/queryTable" Target="../queryTables/queryTable750.xml"/><Relationship Id="rId69" Type="http://schemas.openxmlformats.org/officeDocument/2006/relationships/queryTable" Target="../queryTables/queryTable755.xml"/><Relationship Id="rId77" Type="http://schemas.openxmlformats.org/officeDocument/2006/relationships/queryTable" Target="../queryTables/queryTable763.xml"/><Relationship Id="rId8" Type="http://schemas.openxmlformats.org/officeDocument/2006/relationships/queryTable" Target="../queryTables/queryTable694.xml"/><Relationship Id="rId51" Type="http://schemas.openxmlformats.org/officeDocument/2006/relationships/queryTable" Target="../queryTables/queryTable737.xml"/><Relationship Id="rId72" Type="http://schemas.openxmlformats.org/officeDocument/2006/relationships/queryTable" Target="../queryTables/queryTable758.xml"/><Relationship Id="rId80" Type="http://schemas.openxmlformats.org/officeDocument/2006/relationships/queryTable" Target="../queryTables/queryTable766.xml"/><Relationship Id="rId85" Type="http://schemas.openxmlformats.org/officeDocument/2006/relationships/queryTable" Target="../queryTables/queryTable771.xml"/><Relationship Id="rId3" Type="http://schemas.openxmlformats.org/officeDocument/2006/relationships/queryTable" Target="../queryTables/queryTable689.xml"/><Relationship Id="rId12" Type="http://schemas.openxmlformats.org/officeDocument/2006/relationships/queryTable" Target="../queryTables/queryTable698.xml"/><Relationship Id="rId17" Type="http://schemas.openxmlformats.org/officeDocument/2006/relationships/queryTable" Target="../queryTables/queryTable703.xml"/><Relationship Id="rId25" Type="http://schemas.openxmlformats.org/officeDocument/2006/relationships/queryTable" Target="../queryTables/queryTable711.xml"/><Relationship Id="rId33" Type="http://schemas.openxmlformats.org/officeDocument/2006/relationships/queryTable" Target="../queryTables/queryTable719.xml"/><Relationship Id="rId38" Type="http://schemas.openxmlformats.org/officeDocument/2006/relationships/queryTable" Target="../queryTables/queryTable724.xml"/><Relationship Id="rId46" Type="http://schemas.openxmlformats.org/officeDocument/2006/relationships/queryTable" Target="../queryTables/queryTable732.xml"/><Relationship Id="rId59" Type="http://schemas.openxmlformats.org/officeDocument/2006/relationships/queryTable" Target="../queryTables/queryTable745.xml"/><Relationship Id="rId67" Type="http://schemas.openxmlformats.org/officeDocument/2006/relationships/queryTable" Target="../queryTables/queryTable753.xml"/><Relationship Id="rId20" Type="http://schemas.openxmlformats.org/officeDocument/2006/relationships/queryTable" Target="../queryTables/queryTable706.xml"/><Relationship Id="rId41" Type="http://schemas.openxmlformats.org/officeDocument/2006/relationships/queryTable" Target="../queryTables/queryTable727.xml"/><Relationship Id="rId54" Type="http://schemas.openxmlformats.org/officeDocument/2006/relationships/queryTable" Target="../queryTables/queryTable740.xml"/><Relationship Id="rId62" Type="http://schemas.openxmlformats.org/officeDocument/2006/relationships/queryTable" Target="../queryTables/queryTable748.xml"/><Relationship Id="rId70" Type="http://schemas.openxmlformats.org/officeDocument/2006/relationships/queryTable" Target="../queryTables/queryTable756.xml"/><Relationship Id="rId75" Type="http://schemas.openxmlformats.org/officeDocument/2006/relationships/queryTable" Target="../queryTables/queryTable761.xml"/><Relationship Id="rId83" Type="http://schemas.openxmlformats.org/officeDocument/2006/relationships/queryTable" Target="../queryTables/queryTable769.xml"/><Relationship Id="rId88" Type="http://schemas.openxmlformats.org/officeDocument/2006/relationships/queryTable" Target="../queryTables/queryTable774.xml"/><Relationship Id="rId91" Type="http://schemas.openxmlformats.org/officeDocument/2006/relationships/queryTable" Target="../queryTables/queryTable777.xml"/><Relationship Id="rId1" Type="http://schemas.openxmlformats.org/officeDocument/2006/relationships/queryTable" Target="../queryTables/queryTable687.xml"/><Relationship Id="rId6" Type="http://schemas.openxmlformats.org/officeDocument/2006/relationships/queryTable" Target="../queryTables/queryTable692.xml"/><Relationship Id="rId15" Type="http://schemas.openxmlformats.org/officeDocument/2006/relationships/queryTable" Target="../queryTables/queryTable701.xml"/><Relationship Id="rId23" Type="http://schemas.openxmlformats.org/officeDocument/2006/relationships/queryTable" Target="../queryTables/queryTable709.xml"/><Relationship Id="rId28" Type="http://schemas.openxmlformats.org/officeDocument/2006/relationships/queryTable" Target="../queryTables/queryTable714.xml"/><Relationship Id="rId36" Type="http://schemas.openxmlformats.org/officeDocument/2006/relationships/queryTable" Target="../queryTables/queryTable722.xml"/><Relationship Id="rId49" Type="http://schemas.openxmlformats.org/officeDocument/2006/relationships/queryTable" Target="../queryTables/queryTable735.xml"/><Relationship Id="rId57" Type="http://schemas.openxmlformats.org/officeDocument/2006/relationships/queryTable" Target="../queryTables/queryTable743.xml"/><Relationship Id="rId10" Type="http://schemas.openxmlformats.org/officeDocument/2006/relationships/queryTable" Target="../queryTables/queryTable696.xml"/><Relationship Id="rId31" Type="http://schemas.openxmlformats.org/officeDocument/2006/relationships/queryTable" Target="../queryTables/queryTable717.xml"/><Relationship Id="rId44" Type="http://schemas.openxmlformats.org/officeDocument/2006/relationships/queryTable" Target="../queryTables/queryTable730.xml"/><Relationship Id="rId52" Type="http://schemas.openxmlformats.org/officeDocument/2006/relationships/queryTable" Target="../queryTables/queryTable738.xml"/><Relationship Id="rId60" Type="http://schemas.openxmlformats.org/officeDocument/2006/relationships/queryTable" Target="../queryTables/queryTable746.xml"/><Relationship Id="rId65" Type="http://schemas.openxmlformats.org/officeDocument/2006/relationships/queryTable" Target="../queryTables/queryTable751.xml"/><Relationship Id="rId73" Type="http://schemas.openxmlformats.org/officeDocument/2006/relationships/queryTable" Target="../queryTables/queryTable759.xml"/><Relationship Id="rId78" Type="http://schemas.openxmlformats.org/officeDocument/2006/relationships/queryTable" Target="../queryTables/queryTable764.xml"/><Relationship Id="rId81" Type="http://schemas.openxmlformats.org/officeDocument/2006/relationships/queryTable" Target="../queryTables/queryTable767.xml"/><Relationship Id="rId86" Type="http://schemas.openxmlformats.org/officeDocument/2006/relationships/queryTable" Target="../queryTables/queryTable772.xml"/><Relationship Id="rId4" Type="http://schemas.openxmlformats.org/officeDocument/2006/relationships/queryTable" Target="../queryTables/queryTable690.xml"/><Relationship Id="rId9" Type="http://schemas.openxmlformats.org/officeDocument/2006/relationships/queryTable" Target="../queryTables/queryTable695.xml"/><Relationship Id="rId13" Type="http://schemas.openxmlformats.org/officeDocument/2006/relationships/queryTable" Target="../queryTables/queryTable699.xml"/><Relationship Id="rId18" Type="http://schemas.openxmlformats.org/officeDocument/2006/relationships/queryTable" Target="../queryTables/queryTable704.xml"/><Relationship Id="rId39" Type="http://schemas.openxmlformats.org/officeDocument/2006/relationships/queryTable" Target="../queryTables/queryTable725.xml"/><Relationship Id="rId34" Type="http://schemas.openxmlformats.org/officeDocument/2006/relationships/queryTable" Target="../queryTables/queryTable720.xml"/><Relationship Id="rId50" Type="http://schemas.openxmlformats.org/officeDocument/2006/relationships/queryTable" Target="../queryTables/queryTable736.xml"/><Relationship Id="rId55" Type="http://schemas.openxmlformats.org/officeDocument/2006/relationships/queryTable" Target="../queryTables/queryTable741.xml"/><Relationship Id="rId76" Type="http://schemas.openxmlformats.org/officeDocument/2006/relationships/queryTable" Target="../queryTables/queryTable762.xml"/><Relationship Id="rId7" Type="http://schemas.openxmlformats.org/officeDocument/2006/relationships/queryTable" Target="../queryTables/queryTable693.xml"/><Relationship Id="rId71" Type="http://schemas.openxmlformats.org/officeDocument/2006/relationships/queryTable" Target="../queryTables/queryTable757.xml"/><Relationship Id="rId92" Type="http://schemas.openxmlformats.org/officeDocument/2006/relationships/queryTable" Target="../queryTables/queryTable778.xml"/><Relationship Id="rId2" Type="http://schemas.openxmlformats.org/officeDocument/2006/relationships/queryTable" Target="../queryTables/queryTable688.xml"/><Relationship Id="rId29" Type="http://schemas.openxmlformats.org/officeDocument/2006/relationships/queryTable" Target="../queryTables/queryTable715.xml"/><Relationship Id="rId24" Type="http://schemas.openxmlformats.org/officeDocument/2006/relationships/queryTable" Target="../queryTables/queryTable710.xml"/><Relationship Id="rId40" Type="http://schemas.openxmlformats.org/officeDocument/2006/relationships/queryTable" Target="../queryTables/queryTable726.xml"/><Relationship Id="rId45" Type="http://schemas.openxmlformats.org/officeDocument/2006/relationships/queryTable" Target="../queryTables/queryTable731.xml"/><Relationship Id="rId66" Type="http://schemas.openxmlformats.org/officeDocument/2006/relationships/queryTable" Target="../queryTables/queryTable752.xml"/><Relationship Id="rId87" Type="http://schemas.openxmlformats.org/officeDocument/2006/relationships/queryTable" Target="../queryTables/queryTable773.xml"/><Relationship Id="rId61" Type="http://schemas.openxmlformats.org/officeDocument/2006/relationships/queryTable" Target="../queryTables/queryTable747.xml"/><Relationship Id="rId82" Type="http://schemas.openxmlformats.org/officeDocument/2006/relationships/queryTable" Target="../queryTables/queryTable768.xml"/><Relationship Id="rId19" Type="http://schemas.openxmlformats.org/officeDocument/2006/relationships/queryTable" Target="../queryTables/queryTable705.xml"/></Relationships>
</file>

<file path=xl/worksheets/_rels/sheet16.xml.rels><?xml version="1.0" encoding="UTF-8" standalone="yes"?>
<Relationships xmlns="http://schemas.openxmlformats.org/package/2006/relationships"><Relationship Id="rId26" Type="http://schemas.openxmlformats.org/officeDocument/2006/relationships/queryTable" Target="../queryTables/queryTable804.xml"/><Relationship Id="rId21" Type="http://schemas.openxmlformats.org/officeDocument/2006/relationships/queryTable" Target="../queryTables/queryTable799.xml"/><Relationship Id="rId42" Type="http://schemas.openxmlformats.org/officeDocument/2006/relationships/queryTable" Target="../queryTables/queryTable820.xml"/><Relationship Id="rId47" Type="http://schemas.openxmlformats.org/officeDocument/2006/relationships/queryTable" Target="../queryTables/queryTable825.xml"/><Relationship Id="rId63" Type="http://schemas.openxmlformats.org/officeDocument/2006/relationships/queryTable" Target="../queryTables/queryTable841.xml"/><Relationship Id="rId68" Type="http://schemas.openxmlformats.org/officeDocument/2006/relationships/queryTable" Target="../queryTables/queryTable846.xml"/><Relationship Id="rId16" Type="http://schemas.openxmlformats.org/officeDocument/2006/relationships/queryTable" Target="../queryTables/queryTable794.xml"/><Relationship Id="rId11" Type="http://schemas.openxmlformats.org/officeDocument/2006/relationships/queryTable" Target="../queryTables/queryTable789.xml"/><Relationship Id="rId24" Type="http://schemas.openxmlformats.org/officeDocument/2006/relationships/queryTable" Target="../queryTables/queryTable802.xml"/><Relationship Id="rId32" Type="http://schemas.openxmlformats.org/officeDocument/2006/relationships/queryTable" Target="../queryTables/queryTable810.xml"/><Relationship Id="rId37" Type="http://schemas.openxmlformats.org/officeDocument/2006/relationships/queryTable" Target="../queryTables/queryTable815.xml"/><Relationship Id="rId40" Type="http://schemas.openxmlformats.org/officeDocument/2006/relationships/queryTable" Target="../queryTables/queryTable818.xml"/><Relationship Id="rId45" Type="http://schemas.openxmlformats.org/officeDocument/2006/relationships/queryTable" Target="../queryTables/queryTable823.xml"/><Relationship Id="rId53" Type="http://schemas.openxmlformats.org/officeDocument/2006/relationships/queryTable" Target="../queryTables/queryTable831.xml"/><Relationship Id="rId58" Type="http://schemas.openxmlformats.org/officeDocument/2006/relationships/queryTable" Target="../queryTables/queryTable836.xml"/><Relationship Id="rId66" Type="http://schemas.openxmlformats.org/officeDocument/2006/relationships/queryTable" Target="../queryTables/queryTable844.xml"/><Relationship Id="rId74" Type="http://schemas.openxmlformats.org/officeDocument/2006/relationships/queryTable" Target="../queryTables/queryTable852.xml"/><Relationship Id="rId79" Type="http://schemas.openxmlformats.org/officeDocument/2006/relationships/queryTable" Target="../queryTables/queryTable857.xml"/><Relationship Id="rId5" Type="http://schemas.openxmlformats.org/officeDocument/2006/relationships/queryTable" Target="../queryTables/queryTable783.xml"/><Relationship Id="rId61" Type="http://schemas.openxmlformats.org/officeDocument/2006/relationships/queryTable" Target="../queryTables/queryTable839.xml"/><Relationship Id="rId19" Type="http://schemas.openxmlformats.org/officeDocument/2006/relationships/queryTable" Target="../queryTables/queryTable797.xml"/><Relationship Id="rId14" Type="http://schemas.openxmlformats.org/officeDocument/2006/relationships/queryTable" Target="../queryTables/queryTable792.xml"/><Relationship Id="rId22" Type="http://schemas.openxmlformats.org/officeDocument/2006/relationships/queryTable" Target="../queryTables/queryTable800.xml"/><Relationship Id="rId27" Type="http://schemas.openxmlformats.org/officeDocument/2006/relationships/queryTable" Target="../queryTables/queryTable805.xml"/><Relationship Id="rId30" Type="http://schemas.openxmlformats.org/officeDocument/2006/relationships/queryTable" Target="../queryTables/queryTable808.xml"/><Relationship Id="rId35" Type="http://schemas.openxmlformats.org/officeDocument/2006/relationships/queryTable" Target="../queryTables/queryTable813.xml"/><Relationship Id="rId43" Type="http://schemas.openxmlformats.org/officeDocument/2006/relationships/queryTable" Target="../queryTables/queryTable821.xml"/><Relationship Id="rId48" Type="http://schemas.openxmlformats.org/officeDocument/2006/relationships/queryTable" Target="../queryTables/queryTable826.xml"/><Relationship Id="rId56" Type="http://schemas.openxmlformats.org/officeDocument/2006/relationships/queryTable" Target="../queryTables/queryTable834.xml"/><Relationship Id="rId64" Type="http://schemas.openxmlformats.org/officeDocument/2006/relationships/queryTable" Target="../queryTables/queryTable842.xml"/><Relationship Id="rId69" Type="http://schemas.openxmlformats.org/officeDocument/2006/relationships/queryTable" Target="../queryTables/queryTable847.xml"/><Relationship Id="rId77" Type="http://schemas.openxmlformats.org/officeDocument/2006/relationships/queryTable" Target="../queryTables/queryTable855.xml"/><Relationship Id="rId8" Type="http://schemas.openxmlformats.org/officeDocument/2006/relationships/queryTable" Target="../queryTables/queryTable786.xml"/><Relationship Id="rId51" Type="http://schemas.openxmlformats.org/officeDocument/2006/relationships/queryTable" Target="../queryTables/queryTable829.xml"/><Relationship Id="rId72" Type="http://schemas.openxmlformats.org/officeDocument/2006/relationships/queryTable" Target="../queryTables/queryTable850.xml"/><Relationship Id="rId3" Type="http://schemas.openxmlformats.org/officeDocument/2006/relationships/queryTable" Target="../queryTables/queryTable781.xml"/><Relationship Id="rId12" Type="http://schemas.openxmlformats.org/officeDocument/2006/relationships/queryTable" Target="../queryTables/queryTable790.xml"/><Relationship Id="rId17" Type="http://schemas.openxmlformats.org/officeDocument/2006/relationships/queryTable" Target="../queryTables/queryTable795.xml"/><Relationship Id="rId25" Type="http://schemas.openxmlformats.org/officeDocument/2006/relationships/queryTable" Target="../queryTables/queryTable803.xml"/><Relationship Id="rId33" Type="http://schemas.openxmlformats.org/officeDocument/2006/relationships/queryTable" Target="../queryTables/queryTable811.xml"/><Relationship Id="rId38" Type="http://schemas.openxmlformats.org/officeDocument/2006/relationships/queryTable" Target="../queryTables/queryTable816.xml"/><Relationship Id="rId46" Type="http://schemas.openxmlformats.org/officeDocument/2006/relationships/queryTable" Target="../queryTables/queryTable824.xml"/><Relationship Id="rId59" Type="http://schemas.openxmlformats.org/officeDocument/2006/relationships/queryTable" Target="../queryTables/queryTable837.xml"/><Relationship Id="rId67" Type="http://schemas.openxmlformats.org/officeDocument/2006/relationships/queryTable" Target="../queryTables/queryTable845.xml"/><Relationship Id="rId20" Type="http://schemas.openxmlformats.org/officeDocument/2006/relationships/queryTable" Target="../queryTables/queryTable798.xml"/><Relationship Id="rId41" Type="http://schemas.openxmlformats.org/officeDocument/2006/relationships/queryTable" Target="../queryTables/queryTable819.xml"/><Relationship Id="rId54" Type="http://schemas.openxmlformats.org/officeDocument/2006/relationships/queryTable" Target="../queryTables/queryTable832.xml"/><Relationship Id="rId62" Type="http://schemas.openxmlformats.org/officeDocument/2006/relationships/queryTable" Target="../queryTables/queryTable840.xml"/><Relationship Id="rId70" Type="http://schemas.openxmlformats.org/officeDocument/2006/relationships/queryTable" Target="../queryTables/queryTable848.xml"/><Relationship Id="rId75" Type="http://schemas.openxmlformats.org/officeDocument/2006/relationships/queryTable" Target="../queryTables/queryTable853.xml"/><Relationship Id="rId1" Type="http://schemas.openxmlformats.org/officeDocument/2006/relationships/queryTable" Target="../queryTables/queryTable779.xml"/><Relationship Id="rId6" Type="http://schemas.openxmlformats.org/officeDocument/2006/relationships/queryTable" Target="../queryTables/queryTable784.xml"/><Relationship Id="rId15" Type="http://schemas.openxmlformats.org/officeDocument/2006/relationships/queryTable" Target="../queryTables/queryTable793.xml"/><Relationship Id="rId23" Type="http://schemas.openxmlformats.org/officeDocument/2006/relationships/queryTable" Target="../queryTables/queryTable801.xml"/><Relationship Id="rId28" Type="http://schemas.openxmlformats.org/officeDocument/2006/relationships/queryTable" Target="../queryTables/queryTable806.xml"/><Relationship Id="rId36" Type="http://schemas.openxmlformats.org/officeDocument/2006/relationships/queryTable" Target="../queryTables/queryTable814.xml"/><Relationship Id="rId49" Type="http://schemas.openxmlformats.org/officeDocument/2006/relationships/queryTable" Target="../queryTables/queryTable827.xml"/><Relationship Id="rId57" Type="http://schemas.openxmlformats.org/officeDocument/2006/relationships/queryTable" Target="../queryTables/queryTable835.xml"/><Relationship Id="rId10" Type="http://schemas.openxmlformats.org/officeDocument/2006/relationships/queryTable" Target="../queryTables/queryTable788.xml"/><Relationship Id="rId31" Type="http://schemas.openxmlformats.org/officeDocument/2006/relationships/queryTable" Target="../queryTables/queryTable809.xml"/><Relationship Id="rId44" Type="http://schemas.openxmlformats.org/officeDocument/2006/relationships/queryTable" Target="../queryTables/queryTable822.xml"/><Relationship Id="rId52" Type="http://schemas.openxmlformats.org/officeDocument/2006/relationships/queryTable" Target="../queryTables/queryTable830.xml"/><Relationship Id="rId60" Type="http://schemas.openxmlformats.org/officeDocument/2006/relationships/queryTable" Target="../queryTables/queryTable838.xml"/><Relationship Id="rId65" Type="http://schemas.openxmlformats.org/officeDocument/2006/relationships/queryTable" Target="../queryTables/queryTable843.xml"/><Relationship Id="rId73" Type="http://schemas.openxmlformats.org/officeDocument/2006/relationships/queryTable" Target="../queryTables/queryTable851.xml"/><Relationship Id="rId78" Type="http://schemas.openxmlformats.org/officeDocument/2006/relationships/queryTable" Target="../queryTables/queryTable856.xml"/><Relationship Id="rId4" Type="http://schemas.openxmlformats.org/officeDocument/2006/relationships/queryTable" Target="../queryTables/queryTable782.xml"/><Relationship Id="rId9" Type="http://schemas.openxmlformats.org/officeDocument/2006/relationships/queryTable" Target="../queryTables/queryTable787.xml"/><Relationship Id="rId13" Type="http://schemas.openxmlformats.org/officeDocument/2006/relationships/queryTable" Target="../queryTables/queryTable791.xml"/><Relationship Id="rId18" Type="http://schemas.openxmlformats.org/officeDocument/2006/relationships/queryTable" Target="../queryTables/queryTable796.xml"/><Relationship Id="rId39" Type="http://schemas.openxmlformats.org/officeDocument/2006/relationships/queryTable" Target="../queryTables/queryTable817.xml"/><Relationship Id="rId34" Type="http://schemas.openxmlformats.org/officeDocument/2006/relationships/queryTable" Target="../queryTables/queryTable812.xml"/><Relationship Id="rId50" Type="http://schemas.openxmlformats.org/officeDocument/2006/relationships/queryTable" Target="../queryTables/queryTable828.xml"/><Relationship Id="rId55" Type="http://schemas.openxmlformats.org/officeDocument/2006/relationships/queryTable" Target="../queryTables/queryTable833.xml"/><Relationship Id="rId76" Type="http://schemas.openxmlformats.org/officeDocument/2006/relationships/queryTable" Target="../queryTables/queryTable854.xml"/><Relationship Id="rId7" Type="http://schemas.openxmlformats.org/officeDocument/2006/relationships/queryTable" Target="../queryTables/queryTable785.xml"/><Relationship Id="rId71" Type="http://schemas.openxmlformats.org/officeDocument/2006/relationships/queryTable" Target="../queryTables/queryTable849.xml"/><Relationship Id="rId2" Type="http://schemas.openxmlformats.org/officeDocument/2006/relationships/queryTable" Target="../queryTables/queryTable780.xml"/><Relationship Id="rId29" Type="http://schemas.openxmlformats.org/officeDocument/2006/relationships/queryTable" Target="../queryTables/queryTable807.xml"/></Relationships>
</file>

<file path=xl/worksheets/_rels/sheet17.xml.rels><?xml version="1.0" encoding="UTF-8" standalone="yes"?>
<Relationships xmlns="http://schemas.openxmlformats.org/package/2006/relationships"><Relationship Id="rId8" Type="http://schemas.openxmlformats.org/officeDocument/2006/relationships/queryTable" Target="../queryTables/queryTable860.xml"/><Relationship Id="rId13" Type="http://schemas.openxmlformats.org/officeDocument/2006/relationships/queryTable" Target="../queryTables/queryTable865.xml"/><Relationship Id="rId18" Type="http://schemas.openxmlformats.org/officeDocument/2006/relationships/queryTable" Target="../queryTables/queryTable870.xml"/><Relationship Id="rId3" Type="http://schemas.openxmlformats.org/officeDocument/2006/relationships/ctrlProp" Target="../ctrlProps/ctrlProp138.xml"/><Relationship Id="rId21" Type="http://schemas.openxmlformats.org/officeDocument/2006/relationships/queryTable" Target="../queryTables/queryTable873.xml"/><Relationship Id="rId7" Type="http://schemas.openxmlformats.org/officeDocument/2006/relationships/queryTable" Target="../queryTables/queryTable859.xml"/><Relationship Id="rId12" Type="http://schemas.openxmlformats.org/officeDocument/2006/relationships/queryTable" Target="../queryTables/queryTable864.xml"/><Relationship Id="rId17" Type="http://schemas.openxmlformats.org/officeDocument/2006/relationships/queryTable" Target="../queryTables/queryTable869.xml"/><Relationship Id="rId2" Type="http://schemas.openxmlformats.org/officeDocument/2006/relationships/vmlDrawing" Target="../drawings/vmlDrawing10.vml"/><Relationship Id="rId16" Type="http://schemas.openxmlformats.org/officeDocument/2006/relationships/queryTable" Target="../queryTables/queryTable868.xml"/><Relationship Id="rId20" Type="http://schemas.openxmlformats.org/officeDocument/2006/relationships/queryTable" Target="../queryTables/queryTable872.xml"/><Relationship Id="rId1" Type="http://schemas.openxmlformats.org/officeDocument/2006/relationships/drawing" Target="../drawings/drawing9.xml"/><Relationship Id="rId6" Type="http://schemas.openxmlformats.org/officeDocument/2006/relationships/queryTable" Target="../queryTables/queryTable858.xml"/><Relationship Id="rId11" Type="http://schemas.openxmlformats.org/officeDocument/2006/relationships/queryTable" Target="../queryTables/queryTable863.xml"/><Relationship Id="rId5" Type="http://schemas.openxmlformats.org/officeDocument/2006/relationships/ctrlProp" Target="../ctrlProps/ctrlProp140.xml"/><Relationship Id="rId15" Type="http://schemas.openxmlformats.org/officeDocument/2006/relationships/queryTable" Target="../queryTables/queryTable867.xml"/><Relationship Id="rId10" Type="http://schemas.openxmlformats.org/officeDocument/2006/relationships/queryTable" Target="../queryTables/queryTable862.xml"/><Relationship Id="rId19" Type="http://schemas.openxmlformats.org/officeDocument/2006/relationships/queryTable" Target="../queryTables/queryTable871.xml"/><Relationship Id="rId4" Type="http://schemas.openxmlformats.org/officeDocument/2006/relationships/ctrlProp" Target="../ctrlProps/ctrlProp139.xml"/><Relationship Id="rId9" Type="http://schemas.openxmlformats.org/officeDocument/2006/relationships/queryTable" Target="../queryTables/queryTable861.xml"/><Relationship Id="rId14" Type="http://schemas.openxmlformats.org/officeDocument/2006/relationships/queryTable" Target="../queryTables/queryTable8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5EDB6-78B6-4B4F-8CEB-1C398A337AC5}">
  <sheetPr codeName="Sheet1"/>
  <dimension ref="A1:P131"/>
  <sheetViews>
    <sheetView showGridLines="0" topLeftCell="A2" zoomScale="74" zoomScaleNormal="76" workbookViewId="0">
      <selection activeCell="B18" sqref="B18"/>
    </sheetView>
  </sheetViews>
  <sheetFormatPr defaultRowHeight="21" x14ac:dyDescent="0.4"/>
  <cols>
    <col min="1" max="1" width="9.44140625" bestFit="1" customWidth="1"/>
    <col min="2" max="2" width="29" bestFit="1" customWidth="1"/>
    <col min="3" max="3" width="16.77734375" bestFit="1" customWidth="1"/>
    <col min="4" max="4" width="8" customWidth="1"/>
    <col min="5" max="5" width="1.44140625" customWidth="1"/>
    <col min="6" max="6" width="27.88671875" customWidth="1"/>
    <col min="7" max="7" width="5" customWidth="1"/>
    <col min="8" max="8" width="21.44140625" customWidth="1"/>
    <col min="9" max="9" width="24.21875" customWidth="1"/>
    <col min="10" max="10" width="28.109375" customWidth="1"/>
    <col min="11" max="11" width="4.5546875" customWidth="1"/>
    <col min="12" max="12" width="15.109375" hidden="1" customWidth="1"/>
    <col min="13" max="13" width="9.5546875" style="4" bestFit="1" customWidth="1"/>
    <col min="14" max="14" width="7.33203125" style="4" bestFit="1" customWidth="1"/>
    <col min="15" max="15" width="29.88671875" style="4" bestFit="1" customWidth="1"/>
    <col min="16" max="16" width="16.77734375" style="4" bestFit="1" customWidth="1"/>
  </cols>
  <sheetData>
    <row r="1" spans="1:16" x14ac:dyDescent="0.4">
      <c r="H1" s="134"/>
      <c r="I1" s="134"/>
      <c r="J1" s="134"/>
      <c r="K1" s="134"/>
    </row>
    <row r="2" spans="1:16" x14ac:dyDescent="0.4">
      <c r="H2" s="134"/>
      <c r="I2" s="134"/>
      <c r="J2" s="134"/>
      <c r="K2" s="134"/>
      <c r="M2" s="68"/>
      <c r="N2" s="143" t="str" cm="1">
        <f t="array" ref="N2">_xlfn.IFNA(IF(INDEX(PlayerEntries!$1:$242,ROW(),$L$5)&lt;&gt;0,INDEX(PlayerEntries!$1:$242,ROW(),$L$5),""),"")</f>
        <v>Men Doubles</v>
      </c>
      <c r="O2" s="143"/>
      <c r="P2" s="144"/>
    </row>
    <row r="3" spans="1:16" x14ac:dyDescent="0.4">
      <c r="A3" s="10" t="s">
        <v>10</v>
      </c>
      <c r="B3" s="10" t="s">
        <v>11</v>
      </c>
      <c r="C3" s="10" t="s">
        <v>13</v>
      </c>
      <c r="D3" s="10" t="s">
        <v>12</v>
      </c>
      <c r="H3" s="145" t="str">
        <f>'General Inputs'!B2</f>
        <v>STAG GLOBAL CORPORATE CHAMPIONSHIP</v>
      </c>
      <c r="I3" s="146"/>
      <c r="J3" s="147"/>
      <c r="L3" s="1" t="s">
        <v>15</v>
      </c>
      <c r="M3" s="50" t="s">
        <v>12</v>
      </c>
      <c r="N3" s="50" t="s">
        <v>14</v>
      </c>
      <c r="O3" s="50" t="s">
        <v>0</v>
      </c>
      <c r="P3" s="50" t="s">
        <v>1</v>
      </c>
    </row>
    <row r="4" spans="1:16" ht="23.4" x14ac:dyDescent="0.45">
      <c r="A4" s="4">
        <f>IF(FinalSeedTable[[#This Row],[Player Name]]&lt;&gt;"",1,"")</f>
        <v>1</v>
      </c>
      <c r="B4" s="4" t="str">
        <f>_xlfn.IFNA(VLOOKUP(FinalSeedTable[[#This Row],[Draw'#]],$M$4:$P$4,3,FALSE),"")</f>
        <v>Ashish Kumar/Md.Izazuddin</v>
      </c>
      <c r="C4" s="4" t="str">
        <f>_xlfn.IFNA(VLOOKUP(FinalSeedTable[[#This Row],[Draw'#]],$M$4:$P$4,4,FALSE),"")</f>
        <v>OMNI</v>
      </c>
      <c r="D4" s="84">
        <v>1</v>
      </c>
      <c r="F4" s="15" t="s">
        <v>9</v>
      </c>
      <c r="H4" s="148"/>
      <c r="I4" s="149"/>
      <c r="J4" s="150"/>
      <c r="L4" s="3" t="s">
        <v>16</v>
      </c>
      <c r="M4" s="51">
        <v>1</v>
      </c>
      <c r="N4" s="51">
        <v>1</v>
      </c>
      <c r="O4" s="53" t="str" cm="1">
        <f t="array" ref="O4">_xlfn.IFNA(IF(INDEX(PlayerEntries!$1:$242,ROW(),$L$5+1)&lt;&gt;0,INDEX(PlayerEntries!$1:$242,ROW(),$L$5+1),""),"")</f>
        <v>Ashish Kumar/Md.Izazuddin</v>
      </c>
      <c r="P4" s="53" t="str" cm="1">
        <f t="array" ref="P4">_xlfn.IFNA(IF(INDEX(PlayerEntries!$1:$242,ROW(),$L$5+2)&lt;&gt;0,INDEX(PlayerEntries!$1:$242,ROW(),$L$5+2),""),"")</f>
        <v>OMNI</v>
      </c>
    </row>
    <row r="5" spans="1:16" ht="23.4" x14ac:dyDescent="0.45">
      <c r="A5" s="4">
        <f>IF(FinalSeedTable[[#This Row],[Player Name]]&lt;&gt;"",1+ROW()-ROW($A$4),"")</f>
        <v>2</v>
      </c>
      <c r="B5" s="4" t="str">
        <f>_xlfn.IFNA(VLOOKUP(FinalSeedTable[[#This Row],[Draw'#]],$M$5:$P$5,3,FALSE),"")</f>
        <v>Ankit Aggarwal/Varun Sharma</v>
      </c>
      <c r="C5" s="4" t="str">
        <f>_xlfn.IFNA(VLOOKUP(FinalSeedTable[[#This Row],[Draw'#]],$M$5:$P$5,4,FALSE),"")</f>
        <v>SALESFORCE</v>
      </c>
      <c r="D5" s="85">
        <v>1</v>
      </c>
      <c r="F5" s="49" t="s">
        <v>2140</v>
      </c>
      <c r="H5" s="154" t="str">
        <f>'General Inputs'!B3</f>
        <v>Powered by STAG GLOBAL</v>
      </c>
      <c r="I5" s="155"/>
      <c r="J5" s="155"/>
      <c r="K5" s="5"/>
      <c r="L5" s="3">
        <f>MATCH(F5,PlayerEntries!2:2,0)</f>
        <v>21</v>
      </c>
      <c r="M5" s="78">
        <v>1</v>
      </c>
      <c r="N5" s="78">
        <v>2</v>
      </c>
      <c r="O5" s="79" t="str" cm="1">
        <f t="array" ref="O5">_xlfn.IFNA(IF(INDEX(PlayerEntries!$1:$242,ROW(),$L$5+1)&lt;&gt;0,INDEX(PlayerEntries!$1:$242,ROW(),$L$5+1),""),"")</f>
        <v>Ankit Aggarwal/Varun Sharma</v>
      </c>
      <c r="P5" s="79" t="str" cm="1">
        <f t="array" ref="P5">_xlfn.IFNA(IF(INDEX(PlayerEntries!$1:$242,ROW(),$L$5+2)&lt;&gt;0,INDEX(PlayerEntries!$1:$242,ROW(),$L$5+2),""),"")</f>
        <v>SALESFORCE</v>
      </c>
    </row>
    <row r="6" spans="1:16" ht="23.4" x14ac:dyDescent="0.45">
      <c r="A6" s="4">
        <f>IF(FinalSeedTable[[#This Row],[Player Name]]&lt;&gt;"",1+ROW()-ROW($A$4),"")</f>
        <v>3</v>
      </c>
      <c r="B6" s="4" t="str">
        <f>_xlfn.IFNA(VLOOKUP(FinalSeedTable[[#This Row],[Draw'#]],$M$6:$P$7,3,FALSE),"")</f>
        <v>Rajat karn/Biswender Singh</v>
      </c>
      <c r="C6" s="4" t="str">
        <f>_xlfn.IFNA(VLOOKUP(FinalSeedTable[[#This Row],[Draw'#]],$M$6:$P$7,4,FALSE),"")</f>
        <v>CAPGEMINI</v>
      </c>
      <c r="D6" s="86">
        <v>1</v>
      </c>
      <c r="G6" s="11"/>
      <c r="H6" s="156" t="str">
        <f>'General Inputs'!B4</f>
        <v>Organized by STAG Global</v>
      </c>
      <c r="I6" s="157"/>
      <c r="J6" s="158"/>
      <c r="L6" s="1" t="s">
        <v>20</v>
      </c>
      <c r="M6" s="80">
        <v>1</v>
      </c>
      <c r="N6" s="80">
        <v>3</v>
      </c>
      <c r="O6" s="81" t="str" cm="1">
        <f t="array" ref="O6">_xlfn.IFNA(IF(INDEX(PlayerEntries!$1:$242,ROW(),$L$5+1)&lt;&gt;0,INDEX(PlayerEntries!$1:$242,ROW(),$L$5+1),""),"")</f>
        <v>Rajat karn/Biswender Singh</v>
      </c>
      <c r="P6" s="81" t="str" cm="1">
        <f t="array" ref="P6">_xlfn.IFNA(IF(INDEX(PlayerEntries!$1:$242,ROW(),$L$5+2)&lt;&gt;0,INDEX(PlayerEntries!$1:$242,ROW(),$L$5+2),""),"")</f>
        <v>CAPGEMINI</v>
      </c>
    </row>
    <row r="7" spans="1:16" ht="23.4" x14ac:dyDescent="0.45">
      <c r="A7" s="4">
        <f>IF(FinalSeedTable[[#This Row],[Player Name]]&lt;&gt;"",1+ROW()-ROW($A$4),"")</f>
        <v>4</v>
      </c>
      <c r="B7" s="4" t="str">
        <f>_xlfn.IFNA(VLOOKUP(FinalSeedTable[[#This Row],[Draw'#]],$M$6:$P$7,3,FALSE),"")</f>
        <v>Subrat Raj Verma/Vishal Raj</v>
      </c>
      <c r="C7" s="4" t="str">
        <f>_xlfn.IFNA(VLOOKUP(FinalSeedTable[[#This Row],[Draw'#]],$M$6:$P$7,4,FALSE),"")</f>
        <v>UPPOLICE</v>
      </c>
      <c r="D7" s="86">
        <v>2</v>
      </c>
      <c r="H7" s="151" t="str">
        <f>'General Inputs'!B5</f>
        <v>At Noida Indoor Stadium, Sec 21A</v>
      </c>
      <c r="I7" s="152"/>
      <c r="J7" s="153"/>
      <c r="L7" cm="1">
        <f t="array" ref="L7">SUMPRODUCT(--(LEN(TRIM(TablePreSeed[Name of Player])) &gt; 0))</f>
        <v>14</v>
      </c>
      <c r="M7" s="80">
        <v>2</v>
      </c>
      <c r="N7" s="80"/>
      <c r="O7" s="81" t="str" cm="1">
        <f t="array" ref="O7">_xlfn.IFNA(IF(INDEX(PlayerEntries!$1:$242,ROW(),$L$5+1)&lt;&gt;0,INDEX(PlayerEntries!$1:$242,ROW(),$L$5+1),""),"")</f>
        <v>Subrat Raj Verma/Vishal Raj</v>
      </c>
      <c r="P7" s="81" t="str" cm="1">
        <f t="array" ref="P7">_xlfn.IFNA(IF(INDEX(PlayerEntries!$1:$242,ROW(),$L$5+2)&lt;&gt;0,INDEX(PlayerEntries!$1:$242,ROW(),$L$5+2),""),"")</f>
        <v>UPPOLICE</v>
      </c>
    </row>
    <row r="8" spans="1:16" ht="23.4" x14ac:dyDescent="0.45">
      <c r="A8" s="4">
        <f>IF(FinalSeedTable[[#This Row],[Player Name]]&lt;&gt;"",1+ROW()-ROW($A$4),"")</f>
        <v>5</v>
      </c>
      <c r="B8" s="4" t="str">
        <f>_xlfn.IFNA(VLOOKUP(FinalSeedTable[[#This Row],[Draw'#]],$M$8:$P$11,3,FALSE),"")</f>
        <v>Piyush Dua/Shreyan Majumder</v>
      </c>
      <c r="C8" s="4" t="str">
        <f>_xlfn.IFNA(VLOOKUP(FinalSeedTable[[#This Row],[Draw'#]],$M$8:$P$11,4,FALSE),"")</f>
        <v>DBS</v>
      </c>
      <c r="D8" s="87">
        <v>4</v>
      </c>
      <c r="H8" s="135" t="str">
        <f>'General Inputs'!B6</f>
        <v>22-23rd March 2025</v>
      </c>
      <c r="I8" s="136"/>
      <c r="J8" s="136"/>
      <c r="K8" s="5"/>
      <c r="M8" s="82">
        <v>1</v>
      </c>
      <c r="N8" s="82">
        <v>5</v>
      </c>
      <c r="O8" s="83" t="str" cm="1">
        <f t="array" ref="O8">_xlfn.IFNA(IF(INDEX(PlayerEntries!$1:$242,ROW(),$L$5+1)&lt;&gt;0,INDEX(PlayerEntries!$1:$242,ROW(),$L$5+1),""),"")</f>
        <v>Shashank Jain/Rohan Singh</v>
      </c>
      <c r="P8" s="83" t="str" cm="1">
        <f t="array" ref="P8">_xlfn.IFNA(IF(INDEX(PlayerEntries!$1:$242,ROW(),$L$5+2)&lt;&gt;0,INDEX(PlayerEntries!$1:$242,ROW(),$L$5+2),""),"")</f>
        <v>ADIDAS</v>
      </c>
    </row>
    <row r="9" spans="1:16" ht="23.4" x14ac:dyDescent="0.45">
      <c r="A9" s="4">
        <f>IF(FinalSeedTable[[#This Row],[Player Name]]&lt;&gt;"",1+ROW()-ROW($A$4),"")</f>
        <v>6</v>
      </c>
      <c r="B9" s="4" t="str">
        <f>_xlfn.IFNA(VLOOKUP(FinalSeedTable[[#This Row],[Draw'#]],$M$8:$P$11,3,FALSE),"")</f>
        <v>Shashank Jain/Rohan Singh</v>
      </c>
      <c r="C9" s="4" t="str">
        <f>_xlfn.IFNA(VLOOKUP(FinalSeedTable[[#This Row],[Draw'#]],$M$8:$P$11,4,FALSE),"")</f>
        <v>ADIDAS</v>
      </c>
      <c r="D9" s="87">
        <v>1</v>
      </c>
      <c r="H9" s="137">
        <f>'General Inputs'!B8</f>
        <v>0</v>
      </c>
      <c r="I9" s="139" t="e" vm="1">
        <f>'General Inputs'!B7</f>
        <v>#VALUE!</v>
      </c>
      <c r="J9" s="139">
        <f>'General Inputs'!B9</f>
        <v>0</v>
      </c>
      <c r="K9" s="5"/>
      <c r="M9" s="82">
        <v>2</v>
      </c>
      <c r="N9" s="82"/>
      <c r="O9" s="83" t="str" cm="1">
        <f t="array" ref="O9">_xlfn.IFNA(IF(INDEX(PlayerEntries!$1:$242,ROW(),$L$5+1)&lt;&gt;0,INDEX(PlayerEntries!$1:$242,ROW(),$L$5+1),""),"")</f>
        <v>Ashutosh Singh/Badal</v>
      </c>
      <c r="P9" s="83" t="str" cm="1">
        <f t="array" ref="P9">_xlfn.IFNA(IF(INDEX(PlayerEntries!$1:$242,ROW(),$L$5+2)&lt;&gt;0,INDEX(PlayerEntries!$1:$242,ROW(),$L$5+2),""),"")</f>
        <v>OMNI</v>
      </c>
    </row>
    <row r="10" spans="1:16" ht="23.4" x14ac:dyDescent="0.45">
      <c r="A10" s="4">
        <f>IF(FinalSeedTable[[#This Row],[Player Name]]&lt;&gt;"",1+ROW()-ROW($A$4),"")</f>
        <v>7</v>
      </c>
      <c r="B10" s="4" t="str">
        <f>_xlfn.IFNA(VLOOKUP(FinalSeedTable[[#This Row],[Draw'#]],$M$8:$P$11,3,FALSE),"")</f>
        <v>Ashutosh Singh/Badal</v>
      </c>
      <c r="C10" s="4" t="str">
        <f>_xlfn.IFNA(VLOOKUP(FinalSeedTable[[#This Row],[Draw'#]],$M$8:$P$11,4,FALSE),"")</f>
        <v>OMNI</v>
      </c>
      <c r="D10" s="87">
        <v>2</v>
      </c>
      <c r="H10" s="138"/>
      <c r="I10" s="140"/>
      <c r="J10" s="141"/>
      <c r="M10" s="82">
        <v>3</v>
      </c>
      <c r="N10" s="82"/>
      <c r="O10" s="83" t="str" cm="1">
        <f t="array" ref="O10">_xlfn.IFNA(IF(INDEX(PlayerEntries!$1:$242,ROW(),$L$5+1)&lt;&gt;0,INDEX(PlayerEntries!$1:$242,ROW(),$L$5+1),""),"")</f>
        <v>Arvind Choudhary/Rahul Chaudhary</v>
      </c>
      <c r="P10" s="83" t="str" cm="1">
        <f t="array" ref="P10">_xlfn.IFNA(IF(INDEX(PlayerEntries!$1:$242,ROW(),$L$5+2)&lt;&gt;0,INDEX(PlayerEntries!$1:$242,ROW(),$L$5+2),""),"")</f>
        <v>UPPOLICE</v>
      </c>
    </row>
    <row r="11" spans="1:16" ht="23.4" customHeight="1" x14ac:dyDescent="0.45">
      <c r="A11" s="4">
        <f>IF(FinalSeedTable[[#This Row],[Player Name]]&lt;&gt;"",1+ROW()-ROW($A$4),"")</f>
        <v>8</v>
      </c>
      <c r="B11" s="4" t="str">
        <f>_xlfn.IFNA(VLOOKUP(FinalSeedTable[[#This Row],[Draw'#]],$M$8:$P$11,3,FALSE),"")</f>
        <v>Arvind Choudhary/Rahul Chaudhary</v>
      </c>
      <c r="C11" s="4" t="str">
        <f>_xlfn.IFNA(VLOOKUP(FinalSeedTable[[#This Row],[Draw'#]],$M$8:$P$11,4,FALSE),"")</f>
        <v>UPPOLICE</v>
      </c>
      <c r="D11" s="87">
        <v>3</v>
      </c>
      <c r="H11" s="138"/>
      <c r="I11" s="140"/>
      <c r="J11" s="140"/>
      <c r="K11" s="5"/>
      <c r="M11" s="82">
        <v>4</v>
      </c>
      <c r="N11" s="82"/>
      <c r="O11" s="83" t="str" cm="1">
        <f t="array" ref="O11">_xlfn.IFNA(IF(INDEX(PlayerEntries!$1:$242,ROW(),$L$5+1)&lt;&gt;0,INDEX(PlayerEntries!$1:$242,ROW(),$L$5+1),""),"")</f>
        <v>Piyush Dua/Shreyan Majumder</v>
      </c>
      <c r="P11" s="83" t="str" cm="1">
        <f t="array" ref="P11">_xlfn.IFNA(IF(INDEX(PlayerEntries!$1:$242,ROW(),$L$5+2)&lt;&gt;0,INDEX(PlayerEntries!$1:$242,ROW(),$L$5+2),""),"")</f>
        <v>DBS</v>
      </c>
    </row>
    <row r="12" spans="1:16" ht="23.4" x14ac:dyDescent="0.45">
      <c r="A12" s="4">
        <f>IF(FinalSeedTable[[#This Row],[Player Name]]&lt;&gt;"",1+ROW()-ROW($A$4),"")</f>
        <v>9</v>
      </c>
      <c r="B12" s="4" t="str">
        <f>_xlfn.IFNA(VLOOKUP(FinalSeedTable[[#This Row],[Draw'#]],$M$12:$P$19,3,FALSE),"")</f>
        <v>bye1</v>
      </c>
      <c r="C12" s="4" t="str">
        <f>_xlfn.IFNA(VLOOKUP(FinalSeedTable[[#This Row],[Draw'#]],$M$12:$P$19,4,FALSE),"")</f>
        <v>_</v>
      </c>
      <c r="D12" s="88">
        <v>5</v>
      </c>
      <c r="F12" s="9"/>
      <c r="H12" s="142"/>
      <c r="I12" s="142"/>
      <c r="J12" s="142"/>
      <c r="M12" s="114">
        <v>1</v>
      </c>
      <c r="N12" s="114">
        <v>9</v>
      </c>
      <c r="O12" s="115" t="str" cm="1">
        <f t="array" ref="O12">_xlfn.IFNA(IF(INDEX(PlayerEntries!$1:$242,ROW(),$L$5+1)&lt;&gt;0,INDEX(PlayerEntries!$1:$242,ROW(),$L$5+1),""),"")</f>
        <v>Karan Bohra/Apoorv Jain</v>
      </c>
      <c r="P12" s="115" t="str" cm="1">
        <f t="array" ref="P12">_xlfn.IFNA(IF(INDEX(PlayerEntries!$1:$242,ROW(),$L$5+2)&lt;&gt;0,INDEX(PlayerEntries!$1:$242,ROW(),$L$5+2),""),"")</f>
        <v>ROOTER</v>
      </c>
    </row>
    <row r="13" spans="1:16" ht="23.4" x14ac:dyDescent="0.45">
      <c r="A13" s="4">
        <f>IF(FinalSeedTable[[#This Row],[Player Name]]&lt;&gt;"",1+ROW()-ROW($A$4),"")</f>
        <v>10</v>
      </c>
      <c r="B13" s="4" t="str">
        <f>_xlfn.IFNA(VLOOKUP(FinalSeedTable[[#This Row],[Draw'#]],$M$12:$P$19,3,FALSE),"")</f>
        <v>bye2</v>
      </c>
      <c r="C13" s="4" t="str">
        <f>_xlfn.IFNA(VLOOKUP(FinalSeedTable[[#This Row],[Draw'#]],$M$12:$P$19,4,FALSE),"")</f>
        <v>_</v>
      </c>
      <c r="D13" s="88">
        <v>6</v>
      </c>
      <c r="F13" s="14" t="s">
        <v>29</v>
      </c>
      <c r="H13" s="164" t="e" vm="2">
        <f>'General Inputs'!B10</f>
        <v>#VALUE!</v>
      </c>
      <c r="I13" s="165"/>
      <c r="J13" s="166"/>
      <c r="K13" s="5"/>
      <c r="M13" s="114">
        <v>2</v>
      </c>
      <c r="N13" s="114"/>
      <c r="O13" s="115" t="str" cm="1">
        <f t="array" ref="O13">_xlfn.IFNA(IF(INDEX(PlayerEntries!$1:$242,ROW(),$L$5+1)&lt;&gt;0,INDEX(PlayerEntries!$1:$242,ROW(),$L$5+1),""),"")</f>
        <v>Pushpendra kumar/Deepak Gupta</v>
      </c>
      <c r="P13" s="115" t="str" cm="1">
        <f t="array" ref="P13">_xlfn.IFNA(IF(INDEX(PlayerEntries!$1:$242,ROW(),$L$5+2)&lt;&gt;0,INDEX(PlayerEntries!$1:$242,ROW(),$L$5+2),""),"")</f>
        <v>DRDO</v>
      </c>
    </row>
    <row r="14" spans="1:16" ht="23.4" x14ac:dyDescent="0.45">
      <c r="A14" s="4">
        <f>IF(FinalSeedTable[[#This Row],[Player Name]]&lt;&gt;"",1+ROW()-ROW($A$4),"")</f>
        <v>11</v>
      </c>
      <c r="B14" s="4" t="str">
        <f>_xlfn.IFNA(VLOOKUP(FinalSeedTable[[#This Row],[Draw'#]],$M$12:$P$19,3,FALSE),"")</f>
        <v>Ashish/Abheesh</v>
      </c>
      <c r="C14" s="4" t="str">
        <f>_xlfn.IFNA(VLOOKUP(FinalSeedTable[[#This Row],[Draw'#]],$M$12:$P$19,4,FALSE),"")</f>
        <v>CLYNOX</v>
      </c>
      <c r="D14" s="88">
        <v>3</v>
      </c>
      <c r="F14" s="22"/>
      <c r="H14" s="167"/>
      <c r="I14" s="161"/>
      <c r="J14" s="168"/>
      <c r="K14" s="5"/>
      <c r="M14" s="114">
        <v>3</v>
      </c>
      <c r="N14" s="114"/>
      <c r="O14" s="115" t="str" cm="1">
        <f t="array" ref="O14">_xlfn.IFNA(IF(INDEX(PlayerEntries!$1:$242,ROW(),$L$5+1)&lt;&gt;0,INDEX(PlayerEntries!$1:$242,ROW(),$L$5+1),""),"")</f>
        <v>Ashish/Abheesh</v>
      </c>
      <c r="P14" s="115" t="str" cm="1">
        <f t="array" ref="P14">_xlfn.IFNA(IF(INDEX(PlayerEntries!$1:$242,ROW(),$L$5+2)&lt;&gt;0,INDEX(PlayerEntries!$1:$242,ROW(),$L$5+2),""),"")</f>
        <v>CLYNOX</v>
      </c>
    </row>
    <row r="15" spans="1:16" ht="23.4" x14ac:dyDescent="0.45">
      <c r="A15" s="4">
        <f>IF(FinalSeedTable[[#This Row],[Player Name]]&lt;&gt;"",1+ROW()-ROW($A$4),"")</f>
        <v>12</v>
      </c>
      <c r="B15" s="4" t="str">
        <f>_xlfn.IFNA(VLOOKUP(FinalSeedTable[[#This Row],[Draw'#]],$M$12:$P$19,3,FALSE),"")</f>
        <v>Karan Bohra/Apoorv Jain</v>
      </c>
      <c r="C15" s="4" t="str">
        <f>_xlfn.IFNA(VLOOKUP(FinalSeedTable[[#This Row],[Draw'#]],$M$12:$P$19,4,FALSE),"")</f>
        <v>ROOTER</v>
      </c>
      <c r="D15" s="88">
        <v>1</v>
      </c>
      <c r="F15" s="14" t="s">
        <v>28</v>
      </c>
      <c r="H15" s="167"/>
      <c r="I15" s="161"/>
      <c r="J15" s="168"/>
      <c r="K15" s="5"/>
      <c r="M15" s="114">
        <v>4</v>
      </c>
      <c r="N15" s="114"/>
      <c r="O15" s="115" t="str" cm="1">
        <f t="array" ref="O15">_xlfn.IFNA(IF(INDEX(PlayerEntries!$1:$242,ROW(),$L$5+1)&lt;&gt;0,INDEX(PlayerEntries!$1:$242,ROW(),$L$5+1),""),"")</f>
        <v>Ajay Kumar Gond/Surya Patel</v>
      </c>
      <c r="P15" s="115" t="str" cm="1">
        <f t="array" ref="P15">_xlfn.IFNA(IF(INDEX(PlayerEntries!$1:$242,ROW(),$L$5+2)&lt;&gt;0,INDEX(PlayerEntries!$1:$242,ROW(),$L$5+2),""),"")</f>
        <v>Optum</v>
      </c>
    </row>
    <row r="16" spans="1:16" ht="23.4" x14ac:dyDescent="0.45">
      <c r="A16" s="4">
        <f>IF(FinalSeedTable[[#This Row],[Player Name]]&lt;&gt;"",1+ROW()-ROW($A$4),"")</f>
        <v>13</v>
      </c>
      <c r="B16" s="4" t="str">
        <f>_xlfn.IFNA(VLOOKUP(FinalSeedTable[[#This Row],[Draw'#]],$M$12:$P$19,3,FALSE),"")</f>
        <v>Ajay Kumar Gond/Surya Patel</v>
      </c>
      <c r="C16" s="4" t="str">
        <f>_xlfn.IFNA(VLOOKUP(FinalSeedTable[[#This Row],[Draw'#]],$M$12:$P$19,4,FALSE),"")</f>
        <v>Optum</v>
      </c>
      <c r="D16" s="88">
        <v>4</v>
      </c>
      <c r="F16" s="23"/>
      <c r="H16" s="169" t="s">
        <v>19</v>
      </c>
      <c r="I16" s="170"/>
      <c r="J16" s="171"/>
      <c r="K16" s="5"/>
      <c r="M16" s="114">
        <v>5</v>
      </c>
      <c r="N16" s="114"/>
      <c r="O16" s="115" t="str" cm="1">
        <f t="array" ref="O16">_xlfn.IFNA(IF(INDEX(PlayerEntries!$1:$242,ROW(),$L$5+1)&lt;&gt;0,INDEX(PlayerEntries!$1:$242,ROW(),$L$5+1),""),"")</f>
        <v>bye1</v>
      </c>
      <c r="P16" s="115" t="str" cm="1">
        <f t="array" ref="P16">_xlfn.IFNA(IF(INDEX(PlayerEntries!$1:$242,ROW(),$L$5+2)&lt;&gt;0,INDEX(PlayerEntries!$1:$242,ROW(),$L$5+2),""),"")</f>
        <v>_</v>
      </c>
    </row>
    <row r="17" spans="1:16" ht="23.4" x14ac:dyDescent="0.45">
      <c r="A17" s="4">
        <f>IF(FinalSeedTable[[#This Row],[Player Name]]&lt;&gt;"",1+ROW()-ROW($A$4),"")</f>
        <v>14</v>
      </c>
      <c r="B17" s="4" t="str">
        <f>_xlfn.IFNA(VLOOKUP(FinalSeedTable[[#This Row],[Draw'#]],$M$12:$P$19,3,FALSE),"")</f>
        <v>Pushpendra kumar/Deepak Gupta</v>
      </c>
      <c r="C17" s="4" t="str">
        <f>_xlfn.IFNA(VLOOKUP(FinalSeedTable[[#This Row],[Draw'#]],$M$12:$P$19,4,FALSE),"")</f>
        <v>DRDO</v>
      </c>
      <c r="D17" s="88">
        <v>2</v>
      </c>
      <c r="F17" s="14" t="s">
        <v>30</v>
      </c>
      <c r="M17" s="114">
        <v>6</v>
      </c>
      <c r="N17" s="114"/>
      <c r="O17" s="115" t="str" cm="1">
        <f t="array" ref="O17">_xlfn.IFNA(IF(INDEX(PlayerEntries!$1:$242,ROW(),$L$5+1)&lt;&gt;0,INDEX(PlayerEntries!$1:$242,ROW(),$L$5+1),""),"")</f>
        <v>bye2</v>
      </c>
      <c r="P17" s="115" t="str" cm="1">
        <f t="array" ref="P17">_xlfn.IFNA(IF(INDEX(PlayerEntries!$1:$242,ROW(),$L$5+2)&lt;&gt;0,INDEX(PlayerEntries!$1:$242,ROW(),$L$5+2),""),"")</f>
        <v>_</v>
      </c>
    </row>
    <row r="18" spans="1:16" ht="23.4" x14ac:dyDescent="0.45">
      <c r="A18" s="4" t="str">
        <f>IF(FinalSeedTable[[#This Row],[Player Name]]&lt;&gt;"",1+ROW()-ROW($A$4),"")</f>
        <v/>
      </c>
      <c r="B18" s="4" t="str">
        <f>_xlfn.IFNA(VLOOKUP(FinalSeedTable[[#This Row],[Draw'#]],$M$12:$P$19,3,FALSE),"")</f>
        <v/>
      </c>
      <c r="C18" s="4" t="str">
        <f>_xlfn.IFNA(VLOOKUP(FinalSeedTable[[#This Row],[Draw'#]],$M$12:$P$19,4,FALSE),"")</f>
        <v/>
      </c>
      <c r="D18" s="88"/>
      <c r="F18" s="24">
        <f ca="1">TODAY()+1</f>
        <v>45753</v>
      </c>
      <c r="H18" s="159" t="s">
        <v>2362</v>
      </c>
      <c r="I18" s="160"/>
      <c r="J18" s="160"/>
      <c r="K18" s="12"/>
      <c r="M18" s="114">
        <v>7</v>
      </c>
      <c r="N18" s="114"/>
      <c r="O18" s="115" t="str" cm="1">
        <f t="array" ref="O18">_xlfn.IFNA(IF(INDEX(PlayerEntries!$1:$242,ROW(),$L$5+1)&lt;&gt;0,INDEX(PlayerEntries!$1:$242,ROW(),$L$5+1),""),"")</f>
        <v/>
      </c>
      <c r="P18" s="115" t="str" cm="1">
        <f t="array" ref="P18">_xlfn.IFNA(IF(INDEX(PlayerEntries!$1:$242,ROW(),$L$5+2)&lt;&gt;0,INDEX(PlayerEntries!$1:$242,ROW(),$L$5+2),""),"")</f>
        <v/>
      </c>
    </row>
    <row r="19" spans="1:16" ht="23.4" x14ac:dyDescent="0.45">
      <c r="A19" s="4" t="str">
        <f>IF(FinalSeedTable[[#This Row],[Player Name]]&lt;&gt;"",1+ROW()-ROW($A$4),"")</f>
        <v/>
      </c>
      <c r="B19" s="4" t="str">
        <f>_xlfn.IFNA(VLOOKUP(FinalSeedTable[[#This Row],[Draw'#]],$M$12:$P$19,3,FALSE),"")</f>
        <v/>
      </c>
      <c r="C19" s="4" t="str">
        <f>_xlfn.IFNA(VLOOKUP(FinalSeedTable[[#This Row],[Draw'#]],$M$12:$P$19,4,FALSE),"")</f>
        <v/>
      </c>
      <c r="D19" s="88"/>
      <c r="H19" s="16"/>
      <c r="I19" s="162"/>
      <c r="J19" s="163"/>
      <c r="K19" s="12"/>
      <c r="M19" s="114">
        <v>8</v>
      </c>
      <c r="N19" s="114"/>
      <c r="O19" s="115" t="str" cm="1">
        <f t="array" ref="O19">_xlfn.IFNA(IF(INDEX(PlayerEntries!$1:$242,ROW(),$L$5+1)&lt;&gt;0,INDEX(PlayerEntries!$1:$242,ROW(),$L$5+1),""),"")</f>
        <v/>
      </c>
      <c r="P19" s="115" t="str" cm="1">
        <f t="array" ref="P19">_xlfn.IFNA(IF(INDEX(PlayerEntries!$1:$242,ROW(),$L$5+2)&lt;&gt;0,INDEX(PlayerEntries!$1:$242,ROW(),$L$5+2),""),"")</f>
        <v/>
      </c>
    </row>
    <row r="20" spans="1:16" x14ac:dyDescent="0.4">
      <c r="A20" s="4" t="str">
        <f>IF(FinalSeedTable[[#This Row],[Player Name]]&lt;&gt;"",1+ROW()-ROW($A$4),"")</f>
        <v/>
      </c>
      <c r="B20" s="4" t="str">
        <f>_xlfn.IFNA(VLOOKUP(FinalSeedTable[[#This Row],[Draw'#]],$M$20:$P$35,3,FALSE),"")</f>
        <v/>
      </c>
      <c r="C20" s="4" t="str">
        <f>_xlfn.IFNA(VLOOKUP(FinalSeedTable[[#This Row],[Draw'#]],$M$20:$P$35,4,FALSE),"")</f>
        <v/>
      </c>
      <c r="D20" s="89"/>
      <c r="H20" s="161"/>
      <c r="I20" s="161"/>
      <c r="J20" s="161"/>
      <c r="M20" s="80">
        <v>1</v>
      </c>
      <c r="N20" s="80">
        <v>17</v>
      </c>
      <c r="O20" s="81" t="str" cm="1">
        <f t="array" ref="O20">_xlfn.IFNA(IF(INDEX(PlayerEntries!$1:$242,ROW(),$L$5+1)&lt;&gt;0,INDEX(PlayerEntries!$1:$242,ROW(),$L$5+1),""),"")</f>
        <v/>
      </c>
      <c r="P20" s="81" t="str" cm="1">
        <f t="array" ref="P20">_xlfn.IFNA(IF(INDEX(PlayerEntries!$1:$242,ROW(),$L$5+2)&lt;&gt;0,INDEX(PlayerEntries!$1:$242,ROW(),$L$5+2),""),"")</f>
        <v/>
      </c>
    </row>
    <row r="21" spans="1:16" x14ac:dyDescent="0.4">
      <c r="A21" s="4" t="str">
        <f>IF(FinalSeedTable[[#This Row],[Player Name]]&lt;&gt;"",1+ROW()-ROW($A$4),"")</f>
        <v/>
      </c>
      <c r="B21" s="4" t="str">
        <f>_xlfn.IFNA(VLOOKUP(FinalSeedTable[[#This Row],[Draw'#]],$M$20:$P$35,3,FALSE),"")</f>
        <v/>
      </c>
      <c r="C21" s="4" t="str">
        <f>_xlfn.IFNA(VLOOKUP(FinalSeedTable[[#This Row],[Draw'#]],$M$20:$P$35,4,FALSE),"")</f>
        <v/>
      </c>
      <c r="D21" s="89"/>
      <c r="J21" s="110"/>
      <c r="M21" s="80">
        <v>2</v>
      </c>
      <c r="N21" s="80"/>
      <c r="O21" s="81" t="str" cm="1">
        <f t="array" ref="O21">_xlfn.IFNA(IF(INDEX(PlayerEntries!$1:$242,ROW(),$L$5+1)&lt;&gt;0,INDEX(PlayerEntries!$1:$242,ROW(),$L$5+1),""),"")</f>
        <v/>
      </c>
      <c r="P21" s="81" t="str" cm="1">
        <f t="array" ref="P21">_xlfn.IFNA(IF(INDEX(PlayerEntries!$1:$242,ROW(),$L$5+2)&lt;&gt;0,INDEX(PlayerEntries!$1:$242,ROW(),$L$5+2),""),"")</f>
        <v/>
      </c>
    </row>
    <row r="22" spans="1:16" x14ac:dyDescent="0.4">
      <c r="A22" s="4" t="str">
        <f>IF(FinalSeedTable[[#This Row],[Player Name]]&lt;&gt;"",1+ROW()-ROW($A$4),"")</f>
        <v/>
      </c>
      <c r="B22" s="4" t="str">
        <f>_xlfn.IFNA(VLOOKUP(FinalSeedTable[[#This Row],[Draw'#]],$M$20:$P$35,3,FALSE),"")</f>
        <v/>
      </c>
      <c r="C22" s="4" t="str">
        <f>_xlfn.IFNA(VLOOKUP(FinalSeedTable[[#This Row],[Draw'#]],$M$20:$P$35,4,FALSE),"")</f>
        <v/>
      </c>
      <c r="D22" s="89"/>
      <c r="M22" s="80">
        <v>3</v>
      </c>
      <c r="N22" s="80"/>
      <c r="O22" s="81" t="str" cm="1">
        <f t="array" ref="O22">_xlfn.IFNA(IF(INDEX(PlayerEntries!$1:$242,ROW(),$L$5+1)&lt;&gt;0,INDEX(PlayerEntries!$1:$242,ROW(),$L$5+1),""),"")</f>
        <v/>
      </c>
      <c r="P22" s="81" t="str" cm="1">
        <f t="array" ref="P22">_xlfn.IFNA(IF(INDEX(PlayerEntries!$1:$242,ROW(),$L$5+2)&lt;&gt;0,INDEX(PlayerEntries!$1:$242,ROW(),$L$5+2),""),"")</f>
        <v/>
      </c>
    </row>
    <row r="23" spans="1:16" x14ac:dyDescent="0.4">
      <c r="A23" s="4" t="str">
        <f>IF(FinalSeedTable[[#This Row],[Player Name]]&lt;&gt;"",1+ROW()-ROW($A$4),"")</f>
        <v/>
      </c>
      <c r="B23" s="4" t="str">
        <f>_xlfn.IFNA(VLOOKUP(FinalSeedTable[[#This Row],[Draw'#]],$M$20:$P$35,3,FALSE),"")</f>
        <v/>
      </c>
      <c r="C23" s="4" t="str">
        <f>_xlfn.IFNA(VLOOKUP(FinalSeedTable[[#This Row],[Draw'#]],$M$20:$P$35,4,FALSE),"")</f>
        <v/>
      </c>
      <c r="D23" s="89"/>
      <c r="M23" s="80">
        <v>4</v>
      </c>
      <c r="N23" s="80"/>
      <c r="O23" s="81" t="str" cm="1">
        <f t="array" ref="O23">_xlfn.IFNA(IF(INDEX(PlayerEntries!$1:$242,ROW(),$L$5+1)&lt;&gt;0,INDEX(PlayerEntries!$1:$242,ROW(),$L$5+1),""),"")</f>
        <v/>
      </c>
      <c r="P23" s="81" t="str" cm="1">
        <f t="array" ref="P23">_xlfn.IFNA(IF(INDEX(PlayerEntries!$1:$242,ROW(),$L$5+2)&lt;&gt;0,INDEX(PlayerEntries!$1:$242,ROW(),$L$5+2),""),"")</f>
        <v/>
      </c>
    </row>
    <row r="24" spans="1:16" x14ac:dyDescent="0.4">
      <c r="A24" s="4" t="str">
        <f>IF(FinalSeedTable[[#This Row],[Player Name]]&lt;&gt;"",1+ROW()-ROW($A$4),"")</f>
        <v/>
      </c>
      <c r="B24" s="4" t="str">
        <f>_xlfn.IFNA(VLOOKUP(FinalSeedTable[[#This Row],[Draw'#]],$M$20:$P$35,3,FALSE),"")</f>
        <v/>
      </c>
      <c r="C24" s="4" t="str">
        <f>_xlfn.IFNA(VLOOKUP(FinalSeedTable[[#This Row],[Draw'#]],$M$20:$P$35,4,FALSE),"")</f>
        <v/>
      </c>
      <c r="D24" s="89"/>
      <c r="M24" s="80">
        <v>5</v>
      </c>
      <c r="N24" s="80"/>
      <c r="O24" s="81" t="str" cm="1">
        <f t="array" ref="O24">_xlfn.IFNA(IF(INDEX(PlayerEntries!$1:$242,ROW(),$L$5+1)&lt;&gt;0,INDEX(PlayerEntries!$1:$242,ROW(),$L$5+1),""),"")</f>
        <v/>
      </c>
      <c r="P24" s="81" t="str" cm="1">
        <f t="array" ref="P24">_xlfn.IFNA(IF(INDEX(PlayerEntries!$1:$242,ROW(),$L$5+2)&lt;&gt;0,INDEX(PlayerEntries!$1:$242,ROW(),$L$5+2),""),"")</f>
        <v/>
      </c>
    </row>
    <row r="25" spans="1:16" x14ac:dyDescent="0.4">
      <c r="A25" s="4" t="str">
        <f>IF(FinalSeedTable[[#This Row],[Player Name]]&lt;&gt;"",1+ROW()-ROW($A$4),"")</f>
        <v/>
      </c>
      <c r="B25" s="4" t="str">
        <f>_xlfn.IFNA(VLOOKUP(FinalSeedTable[[#This Row],[Draw'#]],$M$20:$P$35,3,FALSE),"")</f>
        <v/>
      </c>
      <c r="C25" s="4" t="str">
        <f>_xlfn.IFNA(VLOOKUP(FinalSeedTable[[#This Row],[Draw'#]],$M$20:$P$35,4,FALSE),"")</f>
        <v/>
      </c>
      <c r="D25" s="89"/>
      <c r="M25" s="80">
        <v>6</v>
      </c>
      <c r="N25" s="80"/>
      <c r="O25" s="81" t="str" cm="1">
        <f t="array" ref="O25">_xlfn.IFNA(IF(INDEX(PlayerEntries!$1:$242,ROW(),$L$5+1)&lt;&gt;0,INDEX(PlayerEntries!$1:$242,ROW(),$L$5+1),""),"")</f>
        <v/>
      </c>
      <c r="P25" s="81" t="str" cm="1">
        <f t="array" ref="P25">_xlfn.IFNA(IF(INDEX(PlayerEntries!$1:$242,ROW(),$L$5+2)&lt;&gt;0,INDEX(PlayerEntries!$1:$242,ROW(),$L$5+2),""),"")</f>
        <v/>
      </c>
    </row>
    <row r="26" spans="1:16" x14ac:dyDescent="0.4">
      <c r="A26" s="4" t="str">
        <f>IF(FinalSeedTable[[#This Row],[Player Name]]&lt;&gt;"",1+ROW()-ROW($A$4),"")</f>
        <v/>
      </c>
      <c r="B26" s="4" t="str">
        <f>_xlfn.IFNA(VLOOKUP(FinalSeedTable[[#This Row],[Draw'#]],$M$20:$P$35,3,FALSE),"")</f>
        <v/>
      </c>
      <c r="C26" s="4" t="str">
        <f>_xlfn.IFNA(VLOOKUP(FinalSeedTable[[#This Row],[Draw'#]],$M$20:$P$35,4,FALSE),"")</f>
        <v/>
      </c>
      <c r="D26" s="89"/>
      <c r="M26" s="80">
        <v>7</v>
      </c>
      <c r="N26" s="80"/>
      <c r="O26" s="81" t="str" cm="1">
        <f t="array" ref="O26">_xlfn.IFNA(IF(INDEX(PlayerEntries!$1:$242,ROW(),$L$5+1)&lt;&gt;0,INDEX(PlayerEntries!$1:$242,ROW(),$L$5+1),""),"")</f>
        <v/>
      </c>
      <c r="P26" s="81" t="str" cm="1">
        <f t="array" ref="P26">_xlfn.IFNA(IF(INDEX(PlayerEntries!$1:$242,ROW(),$L$5+2)&lt;&gt;0,INDEX(PlayerEntries!$1:$242,ROW(),$L$5+2),""),"")</f>
        <v/>
      </c>
    </row>
    <row r="27" spans="1:16" x14ac:dyDescent="0.4">
      <c r="A27" s="4" t="str">
        <f>IF(FinalSeedTable[[#This Row],[Player Name]]&lt;&gt;"",1+ROW()-ROW($A$4),"")</f>
        <v/>
      </c>
      <c r="B27" s="4" t="str">
        <f>_xlfn.IFNA(VLOOKUP(FinalSeedTable[[#This Row],[Draw'#]],$M$20:$P$35,3,FALSE),"")</f>
        <v/>
      </c>
      <c r="C27" s="4" t="str">
        <f>_xlfn.IFNA(VLOOKUP(FinalSeedTable[[#This Row],[Draw'#]],$M$20:$P$35,4,FALSE),"")</f>
        <v/>
      </c>
      <c r="D27" s="89"/>
      <c r="M27" s="80">
        <v>8</v>
      </c>
      <c r="N27" s="80"/>
      <c r="O27" s="81" t="str" cm="1">
        <f t="array" ref="O27">_xlfn.IFNA(IF(INDEX(PlayerEntries!$1:$242,ROW(),$L$5+1)&lt;&gt;0,INDEX(PlayerEntries!$1:$242,ROW(),$L$5+1),""),"")</f>
        <v/>
      </c>
      <c r="P27" s="81" t="str" cm="1">
        <f t="array" ref="P27">_xlfn.IFNA(IF(INDEX(PlayerEntries!$1:$242,ROW(),$L$5+2)&lt;&gt;0,INDEX(PlayerEntries!$1:$242,ROW(),$L$5+2),""),"")</f>
        <v/>
      </c>
    </row>
    <row r="28" spans="1:16" x14ac:dyDescent="0.4">
      <c r="A28" s="4" t="str">
        <f>IF(FinalSeedTable[[#This Row],[Player Name]]&lt;&gt;"",1+ROW()-ROW($A$4),"")</f>
        <v/>
      </c>
      <c r="B28" s="4" t="str">
        <f>_xlfn.IFNA(VLOOKUP(FinalSeedTable[[#This Row],[Draw'#]],$M$20:$P$35,3,FALSE),"")</f>
        <v/>
      </c>
      <c r="C28" s="4" t="str">
        <f>_xlfn.IFNA(VLOOKUP(FinalSeedTable[[#This Row],[Draw'#]],$M$20:$P$35,4,FALSE),"")</f>
        <v/>
      </c>
      <c r="D28" s="89"/>
      <c r="M28" s="80">
        <v>9</v>
      </c>
      <c r="N28" s="80"/>
      <c r="O28" s="81" t="str" cm="1">
        <f t="array" ref="O28">_xlfn.IFNA(IF(INDEX(PlayerEntries!$1:$242,ROW(),$L$5+1)&lt;&gt;0,INDEX(PlayerEntries!$1:$242,ROW(),$L$5+1),""),"")</f>
        <v/>
      </c>
      <c r="P28" s="81" t="str" cm="1">
        <f t="array" ref="P28">_xlfn.IFNA(IF(INDEX(PlayerEntries!$1:$242,ROW(),$L$5+2)&lt;&gt;0,INDEX(PlayerEntries!$1:$242,ROW(),$L$5+2),""),"")</f>
        <v/>
      </c>
    </row>
    <row r="29" spans="1:16" x14ac:dyDescent="0.4">
      <c r="A29" s="4" t="str">
        <f>IF(FinalSeedTable[[#This Row],[Player Name]]&lt;&gt;"",1+ROW()-ROW($A$4),"")</f>
        <v/>
      </c>
      <c r="B29" s="4" t="str">
        <f>_xlfn.IFNA(VLOOKUP(FinalSeedTable[[#This Row],[Draw'#]],$M$20:$P$35,3,FALSE),"")</f>
        <v/>
      </c>
      <c r="C29" s="4" t="str">
        <f>_xlfn.IFNA(VLOOKUP(FinalSeedTable[[#This Row],[Draw'#]],$M$20:$P$35,4,FALSE),"")</f>
        <v/>
      </c>
      <c r="D29" s="89"/>
      <c r="M29" s="80">
        <v>10</v>
      </c>
      <c r="N29" s="80"/>
      <c r="O29" s="81" t="str" cm="1">
        <f t="array" ref="O29">_xlfn.IFNA(IF(INDEX(PlayerEntries!$1:$242,ROW(),$L$5+1)&lt;&gt;0,INDEX(PlayerEntries!$1:$242,ROW(),$L$5+1),""),"")</f>
        <v/>
      </c>
      <c r="P29" s="81" t="str" cm="1">
        <f t="array" ref="P29">_xlfn.IFNA(IF(INDEX(PlayerEntries!$1:$242,ROW(),$L$5+2)&lt;&gt;0,INDEX(PlayerEntries!$1:$242,ROW(),$L$5+2),""),"")</f>
        <v/>
      </c>
    </row>
    <row r="30" spans="1:16" x14ac:dyDescent="0.4">
      <c r="A30" s="4" t="str">
        <f>IF(FinalSeedTable[[#This Row],[Player Name]]&lt;&gt;"",1+ROW()-ROW($A$4),"")</f>
        <v/>
      </c>
      <c r="B30" s="4" t="str">
        <f>_xlfn.IFNA(VLOOKUP(FinalSeedTable[[#This Row],[Draw'#]],$M$20:$P$35,3,FALSE),"")</f>
        <v/>
      </c>
      <c r="C30" s="4" t="str">
        <f>_xlfn.IFNA(VLOOKUP(FinalSeedTable[[#This Row],[Draw'#]],$M$20:$P$35,4,FALSE),"")</f>
        <v/>
      </c>
      <c r="D30" s="89"/>
      <c r="M30" s="80">
        <v>11</v>
      </c>
      <c r="N30" s="80"/>
      <c r="O30" s="81" t="str" cm="1">
        <f t="array" ref="O30">_xlfn.IFNA(IF(INDEX(PlayerEntries!$1:$242,ROW(),$L$5+1)&lt;&gt;0,INDEX(PlayerEntries!$1:$242,ROW(),$L$5+1),""),"")</f>
        <v/>
      </c>
      <c r="P30" s="81" t="str" cm="1">
        <f t="array" ref="P30">_xlfn.IFNA(IF(INDEX(PlayerEntries!$1:$242,ROW(),$L$5+2)&lt;&gt;0,INDEX(PlayerEntries!$1:$242,ROW(),$L$5+2),""),"")</f>
        <v/>
      </c>
    </row>
    <row r="31" spans="1:16" x14ac:dyDescent="0.4">
      <c r="A31" s="4" t="str">
        <f>IF(FinalSeedTable[[#This Row],[Player Name]]&lt;&gt;"",1+ROW()-ROW($A$4),"")</f>
        <v/>
      </c>
      <c r="B31" s="4" t="str">
        <f>_xlfn.IFNA(VLOOKUP(FinalSeedTable[[#This Row],[Draw'#]],$M$20:$P$35,3,FALSE),"")</f>
        <v/>
      </c>
      <c r="C31" s="4" t="str">
        <f>_xlfn.IFNA(VLOOKUP(FinalSeedTable[[#This Row],[Draw'#]],$M$20:$P$35,4,FALSE),"")</f>
        <v/>
      </c>
      <c r="D31" s="89"/>
      <c r="M31" s="80">
        <v>12</v>
      </c>
      <c r="N31" s="80"/>
      <c r="O31" s="81" t="str" cm="1">
        <f t="array" ref="O31">_xlfn.IFNA(IF(INDEX(PlayerEntries!$1:$242,ROW(),$L$5+1)&lt;&gt;0,INDEX(PlayerEntries!$1:$242,ROW(),$L$5+1),""),"")</f>
        <v/>
      </c>
      <c r="P31" s="81" t="str" cm="1">
        <f t="array" ref="P31">_xlfn.IFNA(IF(INDEX(PlayerEntries!$1:$242,ROW(),$L$5+2)&lt;&gt;0,INDEX(PlayerEntries!$1:$242,ROW(),$L$5+2),""),"")</f>
        <v/>
      </c>
    </row>
    <row r="32" spans="1:16" x14ac:dyDescent="0.4">
      <c r="A32" s="4" t="str">
        <f>IF(FinalSeedTable[[#This Row],[Player Name]]&lt;&gt;"",1+ROW()-ROW($A$4),"")</f>
        <v/>
      </c>
      <c r="B32" s="4" t="str">
        <f>_xlfn.IFNA(VLOOKUP(FinalSeedTable[[#This Row],[Draw'#]],$M$20:$P$35,3,FALSE),"")</f>
        <v/>
      </c>
      <c r="C32" s="4" t="str">
        <f>_xlfn.IFNA(VLOOKUP(FinalSeedTable[[#This Row],[Draw'#]],$M$20:$P$35,4,FALSE),"")</f>
        <v/>
      </c>
      <c r="D32" s="89"/>
      <c r="M32" s="80">
        <v>13</v>
      </c>
      <c r="N32" s="80"/>
      <c r="O32" s="81" t="str" cm="1">
        <f t="array" ref="O32">_xlfn.IFNA(IF(INDEX(PlayerEntries!$1:$242,ROW(),$L$5+1)&lt;&gt;0,INDEX(PlayerEntries!$1:$242,ROW(),$L$5+1),""),"")</f>
        <v/>
      </c>
      <c r="P32" s="81" t="str" cm="1">
        <f t="array" ref="P32">_xlfn.IFNA(IF(INDEX(PlayerEntries!$1:$242,ROW(),$L$5+2)&lt;&gt;0,INDEX(PlayerEntries!$1:$242,ROW(),$L$5+2),""),"")</f>
        <v/>
      </c>
    </row>
    <row r="33" spans="1:16" x14ac:dyDescent="0.4">
      <c r="A33" s="4" t="str">
        <f>IF(FinalSeedTable[[#This Row],[Player Name]]&lt;&gt;"",1+ROW()-ROW($A$4),"")</f>
        <v/>
      </c>
      <c r="B33" s="4" t="str">
        <f>_xlfn.IFNA(VLOOKUP(FinalSeedTable[[#This Row],[Draw'#]],$M$20:$P$35,3,FALSE),"")</f>
        <v/>
      </c>
      <c r="C33" s="4" t="str">
        <f>_xlfn.IFNA(VLOOKUP(FinalSeedTable[[#This Row],[Draw'#]],$M$20:$P$35,4,FALSE),"")</f>
        <v/>
      </c>
      <c r="D33" s="89"/>
      <c r="M33" s="80">
        <v>14</v>
      </c>
      <c r="N33" s="80"/>
      <c r="O33" s="81" t="str" cm="1">
        <f t="array" ref="O33">_xlfn.IFNA(IF(INDEX(PlayerEntries!$1:$242,ROW(),$L$5+1)&lt;&gt;0,INDEX(PlayerEntries!$1:$242,ROW(),$L$5+1),""),"")</f>
        <v/>
      </c>
      <c r="P33" s="81" t="str" cm="1">
        <f t="array" ref="P33">_xlfn.IFNA(IF(INDEX(PlayerEntries!$1:$242,ROW(),$L$5+2)&lt;&gt;0,INDEX(PlayerEntries!$1:$242,ROW(),$L$5+2),""),"")</f>
        <v/>
      </c>
    </row>
    <row r="34" spans="1:16" x14ac:dyDescent="0.4">
      <c r="A34" s="4" t="str">
        <f>IF(FinalSeedTable[[#This Row],[Player Name]]&lt;&gt;"",1+ROW()-ROW($A$4),"")</f>
        <v/>
      </c>
      <c r="B34" s="4" t="str">
        <f>_xlfn.IFNA(VLOOKUP(FinalSeedTable[[#This Row],[Draw'#]],$M$20:$P$35,3,FALSE),"")</f>
        <v/>
      </c>
      <c r="C34" s="4" t="str">
        <f>_xlfn.IFNA(VLOOKUP(FinalSeedTable[[#This Row],[Draw'#]],$M$20:$P$35,4,FALSE),"")</f>
        <v/>
      </c>
      <c r="D34" s="89"/>
      <c r="H34" s="164" t="e" vm="2">
        <f>$H$13</f>
        <v>#VALUE!</v>
      </c>
      <c r="I34" s="165"/>
      <c r="J34" s="166"/>
      <c r="M34" s="80">
        <v>15</v>
      </c>
      <c r="N34" s="80"/>
      <c r="O34" s="81" t="str" cm="1">
        <f t="array" ref="O34">_xlfn.IFNA(IF(INDEX(PlayerEntries!$1:$242,ROW(),$L$5+1)&lt;&gt;0,INDEX(PlayerEntries!$1:$242,ROW(),$L$5+1),""),"")</f>
        <v/>
      </c>
      <c r="P34" s="81" t="str" cm="1">
        <f t="array" ref="P34">_xlfn.IFNA(IF(INDEX(PlayerEntries!$1:$242,ROW(),$L$5+2)&lt;&gt;0,INDEX(PlayerEntries!$1:$242,ROW(),$L$5+2),""),"")</f>
        <v/>
      </c>
    </row>
    <row r="35" spans="1:16" x14ac:dyDescent="0.4">
      <c r="A35" s="4" t="str">
        <f>IF(FinalSeedTable[[#This Row],[Player Name]]&lt;&gt;"",1+ROW()-ROW($A$4),"")</f>
        <v/>
      </c>
      <c r="B35" s="4" t="str">
        <f>_xlfn.IFNA(VLOOKUP(FinalSeedTable[[#This Row],[Draw'#]],$M$20:$P$35,3,FALSE),"")</f>
        <v/>
      </c>
      <c r="C35" s="4" t="str">
        <f>_xlfn.IFNA(VLOOKUP(FinalSeedTable[[#This Row],[Draw'#]],$M$20:$P$35,4,FALSE),"")</f>
        <v/>
      </c>
      <c r="D35" s="89"/>
      <c r="H35" s="167"/>
      <c r="I35" s="161"/>
      <c r="J35" s="168"/>
      <c r="M35" s="80">
        <v>16</v>
      </c>
      <c r="N35" s="80"/>
      <c r="O35" s="81" t="str" cm="1">
        <f t="array" ref="O35">_xlfn.IFNA(IF(INDEX(PlayerEntries!$1:$242,ROW(),$L$5+1)&lt;&gt;0,INDEX(PlayerEntries!$1:$242,ROW(),$L$5+1),""),"")</f>
        <v/>
      </c>
      <c r="P35" s="81" t="str" cm="1">
        <f t="array" ref="P35">_xlfn.IFNA(IF(INDEX(PlayerEntries!$1:$242,ROW(),$L$5+2)&lt;&gt;0,INDEX(PlayerEntries!$1:$242,ROW(),$L$5+2),""),"")</f>
        <v/>
      </c>
    </row>
    <row r="36" spans="1:16" x14ac:dyDescent="0.4">
      <c r="A36" s="4" t="str">
        <f>IF(FinalSeedTable[[#This Row],[Player Name]]&lt;&gt;"",1+ROW()-ROW($A$4),"")</f>
        <v/>
      </c>
      <c r="B36" s="4" t="str">
        <f>_xlfn.IFNA(VLOOKUP(FinalSeedTable[[#This Row],[Draw'#]],$M$36:$P$131,3,FALSE),"")</f>
        <v/>
      </c>
      <c r="C36" s="4" t="str">
        <f>_xlfn.IFNA(VLOOKUP(FinalSeedTable[[#This Row],[Draw'#]],$M$36:$P$131,4,FALSE),"")</f>
        <v/>
      </c>
      <c r="D36" s="47"/>
      <c r="H36" s="167"/>
      <c r="I36" s="161"/>
      <c r="J36" s="168"/>
      <c r="M36" s="91">
        <v>1</v>
      </c>
      <c r="N36" s="91">
        <v>33</v>
      </c>
      <c r="O36" s="92" t="str" cm="1">
        <f t="array" ref="O36">_xlfn.IFNA(IF(INDEX(PlayerEntries!$1:$242,ROW(),$L$5+1)&lt;&gt;0,INDEX(PlayerEntries!$1:$242,ROW(),$L$5+1),""),"")</f>
        <v/>
      </c>
      <c r="P36" s="92" t="str" cm="1">
        <f t="array" ref="P36">_xlfn.IFNA(IF(INDEX(PlayerEntries!$1:$242,ROW(),$L$5+2)&lt;&gt;0,INDEX(PlayerEntries!$1:$242,ROW(),$L$5+2),""),"")</f>
        <v/>
      </c>
    </row>
    <row r="37" spans="1:16" x14ac:dyDescent="0.4">
      <c r="A37" s="4" t="str">
        <f>IF(FinalSeedTable[[#This Row],[Player Name]]&lt;&gt;"",1+ROW()-ROW($A$4),"")</f>
        <v/>
      </c>
      <c r="B37" s="4" t="str">
        <f>_xlfn.IFNA(VLOOKUP(FinalSeedTable[[#This Row],[Draw'#]],$M$36:$P$131,3,FALSE),"")</f>
        <v/>
      </c>
      <c r="C37" s="4" t="str">
        <f>_xlfn.IFNA(VLOOKUP(FinalSeedTable[[#This Row],[Draw'#]],$M$36:$P$131,4,FALSE),"")</f>
        <v/>
      </c>
      <c r="D37" s="47"/>
      <c r="H37" s="169" t="s">
        <v>19</v>
      </c>
      <c r="I37" s="170"/>
      <c r="J37" s="171"/>
      <c r="M37" s="91">
        <v>2</v>
      </c>
      <c r="N37" s="91"/>
      <c r="O37" s="92" t="str" cm="1">
        <f t="array" ref="O37">_xlfn.IFNA(IF(INDEX(PlayerEntries!$1:$242,ROW(),$L$5+1)&lt;&gt;0,INDEX(PlayerEntries!$1:$242,ROW(),$L$5+1),""),"")</f>
        <v/>
      </c>
      <c r="P37" s="92" t="str" cm="1">
        <f t="array" ref="P37">_xlfn.IFNA(IF(INDEX(PlayerEntries!$1:$242,ROW(),$L$5+2)&lt;&gt;0,INDEX(PlayerEntries!$1:$242,ROW(),$L$5+2),""),"")</f>
        <v/>
      </c>
    </row>
    <row r="38" spans="1:16" x14ac:dyDescent="0.4">
      <c r="A38" s="4" t="str">
        <f>IF(FinalSeedTable[[#This Row],[Player Name]]&lt;&gt;"",1+ROW()-ROW($A$4),"")</f>
        <v/>
      </c>
      <c r="B38" s="4" t="str">
        <f>_xlfn.IFNA(VLOOKUP(FinalSeedTable[[#This Row],[Draw'#]],$M$36:$P$131,3,FALSE),"")</f>
        <v/>
      </c>
      <c r="C38" s="4" t="str">
        <f>_xlfn.IFNA(VLOOKUP(FinalSeedTable[[#This Row],[Draw'#]],$M$36:$P$131,4,FALSE),"")</f>
        <v/>
      </c>
      <c r="D38" s="47"/>
      <c r="M38" s="91">
        <v>3</v>
      </c>
      <c r="N38" s="91"/>
      <c r="O38" s="92" t="str" cm="1">
        <f t="array" ref="O38">_xlfn.IFNA(IF(INDEX(PlayerEntries!$1:$242,ROW(),$L$5+1)&lt;&gt;0,INDEX(PlayerEntries!$1:$242,ROW(),$L$5+1),""),"")</f>
        <v/>
      </c>
      <c r="P38" s="92" t="str" cm="1">
        <f t="array" ref="P38">_xlfn.IFNA(IF(INDEX(PlayerEntries!$1:$242,ROW(),$L$5+2)&lt;&gt;0,INDEX(PlayerEntries!$1:$242,ROW(),$L$5+2),""),"")</f>
        <v/>
      </c>
    </row>
    <row r="39" spans="1:16" x14ac:dyDescent="0.4">
      <c r="A39" s="4" t="str">
        <f>IF(FinalSeedTable[[#This Row],[Player Name]]&lt;&gt;"",1+ROW()-ROW($A$4),"")</f>
        <v/>
      </c>
      <c r="B39" s="4" t="str">
        <f>_xlfn.IFNA(VLOOKUP(FinalSeedTable[[#This Row],[Draw'#]],$M$36:$P$131,3,FALSE),"")</f>
        <v/>
      </c>
      <c r="C39" s="4" t="str">
        <f>_xlfn.IFNA(VLOOKUP(FinalSeedTable[[#This Row],[Draw'#]],$M$36:$P$131,4,FALSE),"")</f>
        <v/>
      </c>
      <c r="D39" s="47"/>
      <c r="H39" s="159" t="str">
        <f>IF($H$18&lt;&gt;0,$H$18,"")</f>
        <v>Tournament iBracket Generated</v>
      </c>
      <c r="I39" s="160"/>
      <c r="J39" s="160"/>
      <c r="M39" s="91">
        <v>4</v>
      </c>
      <c r="N39" s="91"/>
      <c r="O39" s="92" t="str" cm="1">
        <f t="array" ref="O39">_xlfn.IFNA(IF(INDEX(PlayerEntries!$1:$242,ROW(),$L$5+1)&lt;&gt;0,INDEX(PlayerEntries!$1:$242,ROW(),$L$5+1),""),"")</f>
        <v/>
      </c>
      <c r="P39" s="92" t="str" cm="1">
        <f t="array" ref="P39">_xlfn.IFNA(IF(INDEX(PlayerEntries!$1:$242,ROW(),$L$5+2)&lt;&gt;0,INDEX(PlayerEntries!$1:$242,ROW(),$L$5+2),""),"")</f>
        <v/>
      </c>
    </row>
    <row r="40" spans="1:16" x14ac:dyDescent="0.4">
      <c r="A40" s="4" t="str">
        <f>IF(FinalSeedTable[[#This Row],[Player Name]]&lt;&gt;"",1+ROW()-ROW($A$4),"")</f>
        <v/>
      </c>
      <c r="B40" s="4" t="str">
        <f>_xlfn.IFNA(VLOOKUP(FinalSeedTable[[#This Row],[Draw'#]],$M$36:$P$131,3,FALSE),"")</f>
        <v/>
      </c>
      <c r="C40" s="4" t="str">
        <f>_xlfn.IFNA(VLOOKUP(FinalSeedTable[[#This Row],[Draw'#]],$M$36:$P$131,4,FALSE),"")</f>
        <v/>
      </c>
      <c r="D40" s="47"/>
      <c r="H40" s="16" t="str">
        <f>IF($H$19&lt;&gt;0,$H$19,"")</f>
        <v/>
      </c>
      <c r="I40" s="162" t="str">
        <f>IF($I$19&lt;&gt;0,$I$19,"")</f>
        <v/>
      </c>
      <c r="J40" s="163"/>
      <c r="M40" s="91">
        <v>5</v>
      </c>
      <c r="N40" s="91"/>
      <c r="O40" s="92" t="str" cm="1">
        <f t="array" ref="O40">_xlfn.IFNA(IF(INDEX(PlayerEntries!$1:$242,ROW(),$L$5+1)&lt;&gt;0,INDEX(PlayerEntries!$1:$242,ROW(),$L$5+1),""),"")</f>
        <v/>
      </c>
      <c r="P40" s="92" t="str" cm="1">
        <f t="array" ref="P40">_xlfn.IFNA(IF(INDEX(PlayerEntries!$1:$242,ROW(),$L$5+2)&lt;&gt;0,INDEX(PlayerEntries!$1:$242,ROW(),$L$5+2),""),"")</f>
        <v/>
      </c>
    </row>
    <row r="41" spans="1:16" x14ac:dyDescent="0.4">
      <c r="A41" s="4" t="str">
        <f>IF(FinalSeedTable[[#This Row],[Player Name]]&lt;&gt;"",1+ROW()-ROW($A$4),"")</f>
        <v/>
      </c>
      <c r="B41" s="4" t="str">
        <f>_xlfn.IFNA(VLOOKUP(FinalSeedTable[[#This Row],[Draw'#]],$M$36:$P$131,3,FALSE),"")</f>
        <v/>
      </c>
      <c r="C41" s="4" t="str">
        <f>_xlfn.IFNA(VLOOKUP(FinalSeedTable[[#This Row],[Draw'#]],$M$36:$P$131,4,FALSE),"")</f>
        <v/>
      </c>
      <c r="D41" s="47"/>
      <c r="M41" s="91">
        <v>6</v>
      </c>
      <c r="N41" s="91"/>
      <c r="O41" s="92" t="str" cm="1">
        <f t="array" ref="O41">_xlfn.IFNA(IF(INDEX(PlayerEntries!$1:$242,ROW(),$L$5+1)&lt;&gt;0,INDEX(PlayerEntries!$1:$242,ROW(),$L$5+1),""),"")</f>
        <v/>
      </c>
      <c r="P41" s="92" t="str" cm="1">
        <f t="array" ref="P41">_xlfn.IFNA(IF(INDEX(PlayerEntries!$1:$242,ROW(),$L$5+2)&lt;&gt;0,INDEX(PlayerEntries!$1:$242,ROW(),$L$5+2),""),"")</f>
        <v/>
      </c>
    </row>
    <row r="42" spans="1:16" x14ac:dyDescent="0.4">
      <c r="A42" s="4" t="str">
        <f>IF(FinalSeedTable[[#This Row],[Player Name]]&lt;&gt;"",1+ROW()-ROW($A$4),"")</f>
        <v/>
      </c>
      <c r="B42" s="4" t="str">
        <f>_xlfn.IFNA(VLOOKUP(FinalSeedTable[[#This Row],[Draw'#]],$M$36:$P$131,3,FALSE),"")</f>
        <v/>
      </c>
      <c r="C42" s="4" t="str">
        <f>_xlfn.IFNA(VLOOKUP(FinalSeedTable[[#This Row],[Draw'#]],$M$36:$P$131,4,FALSE),"")</f>
        <v/>
      </c>
      <c r="D42" s="47"/>
      <c r="M42" s="91">
        <v>7</v>
      </c>
      <c r="N42" s="91"/>
      <c r="O42" s="92" t="str" cm="1">
        <f t="array" ref="O42">_xlfn.IFNA(IF(INDEX(PlayerEntries!$1:$242,ROW(),$L$5+1)&lt;&gt;0,INDEX(PlayerEntries!$1:$242,ROW(),$L$5+1),""),"")</f>
        <v/>
      </c>
      <c r="P42" s="92" t="str" cm="1">
        <f t="array" ref="P42">_xlfn.IFNA(IF(INDEX(PlayerEntries!$1:$242,ROW(),$L$5+2)&lt;&gt;0,INDEX(PlayerEntries!$1:$242,ROW(),$L$5+2),""),"")</f>
        <v/>
      </c>
    </row>
    <row r="43" spans="1:16" x14ac:dyDescent="0.4">
      <c r="A43" s="4" t="str">
        <f>IF(FinalSeedTable[[#This Row],[Player Name]]&lt;&gt;"",1+ROW()-ROW($A$4),"")</f>
        <v/>
      </c>
      <c r="B43" s="4" t="str">
        <f>_xlfn.IFNA(VLOOKUP(FinalSeedTable[[#This Row],[Draw'#]],$M$36:$P$131,3,FALSE),"")</f>
        <v/>
      </c>
      <c r="C43" s="4" t="str">
        <f>_xlfn.IFNA(VLOOKUP(FinalSeedTable[[#This Row],[Draw'#]],$M$36:$P$131,4,FALSE),"")</f>
        <v/>
      </c>
      <c r="D43" s="47"/>
      <c r="M43" s="91">
        <v>8</v>
      </c>
      <c r="N43" s="91"/>
      <c r="O43" s="92" t="str" cm="1">
        <f t="array" ref="O43">_xlfn.IFNA(IF(INDEX(PlayerEntries!$1:$242,ROW(),$L$5+1)&lt;&gt;0,INDEX(PlayerEntries!$1:$242,ROW(),$L$5+1),""),"")</f>
        <v/>
      </c>
      <c r="P43" s="92" t="str" cm="1">
        <f t="array" ref="P43">_xlfn.IFNA(IF(INDEX(PlayerEntries!$1:$242,ROW(),$L$5+2)&lt;&gt;0,INDEX(PlayerEntries!$1:$242,ROW(),$L$5+2),""),"")</f>
        <v/>
      </c>
    </row>
    <row r="44" spans="1:16" x14ac:dyDescent="0.4">
      <c r="A44" s="4" t="str">
        <f>IF(FinalSeedTable[[#This Row],[Player Name]]&lt;&gt;"",1+ROW()-ROW($A$4),"")</f>
        <v/>
      </c>
      <c r="B44" s="4" t="str">
        <f>_xlfn.IFNA(VLOOKUP(FinalSeedTable[[#This Row],[Draw'#]],$M$36:$P$131,3,FALSE),"")</f>
        <v/>
      </c>
      <c r="C44" s="4" t="str">
        <f>_xlfn.IFNA(VLOOKUP(FinalSeedTable[[#This Row],[Draw'#]],$M$36:$P$131,4,FALSE),"")</f>
        <v/>
      </c>
      <c r="D44" s="47"/>
      <c r="M44" s="91">
        <v>9</v>
      </c>
      <c r="N44" s="91"/>
      <c r="O44" s="92" t="str" cm="1">
        <f t="array" ref="O44">_xlfn.IFNA(IF(INDEX(PlayerEntries!$1:$242,ROW(),$L$5+1)&lt;&gt;0,INDEX(PlayerEntries!$1:$242,ROW(),$L$5+1),""),"")</f>
        <v/>
      </c>
      <c r="P44" s="92" t="str" cm="1">
        <f t="array" ref="P44">_xlfn.IFNA(IF(INDEX(PlayerEntries!$1:$242,ROW(),$L$5+2)&lt;&gt;0,INDEX(PlayerEntries!$1:$242,ROW(),$L$5+2),""),"")</f>
        <v/>
      </c>
    </row>
    <row r="45" spans="1:16" x14ac:dyDescent="0.4">
      <c r="A45" s="4" t="str">
        <f>IF(FinalSeedTable[[#This Row],[Player Name]]&lt;&gt;"",1+ROW()-ROW($A$4),"")</f>
        <v/>
      </c>
      <c r="B45" s="4" t="str">
        <f>_xlfn.IFNA(VLOOKUP(FinalSeedTable[[#This Row],[Draw'#]],$M$36:$P$131,3,FALSE),"")</f>
        <v/>
      </c>
      <c r="C45" s="4" t="str">
        <f>_xlfn.IFNA(VLOOKUP(FinalSeedTable[[#This Row],[Draw'#]],$M$36:$P$131,4,FALSE),"")</f>
        <v/>
      </c>
      <c r="D45" s="47"/>
      <c r="M45" s="91">
        <v>10</v>
      </c>
      <c r="N45" s="91"/>
      <c r="O45" s="92" t="str" cm="1">
        <f t="array" ref="O45">_xlfn.IFNA(IF(INDEX(PlayerEntries!$1:$242,ROW(),$L$5+1)&lt;&gt;0,INDEX(PlayerEntries!$1:$242,ROW(),$L$5+1),""),"")</f>
        <v/>
      </c>
      <c r="P45" s="92" t="str" cm="1">
        <f t="array" ref="P45">_xlfn.IFNA(IF(INDEX(PlayerEntries!$1:$242,ROW(),$L$5+2)&lt;&gt;0,INDEX(PlayerEntries!$1:$242,ROW(),$L$5+2),""),"")</f>
        <v/>
      </c>
    </row>
    <row r="46" spans="1:16" x14ac:dyDescent="0.4">
      <c r="A46" s="4" t="str">
        <f>IF(FinalSeedTable[[#This Row],[Player Name]]&lt;&gt;"",1+ROW()-ROW($A$4),"")</f>
        <v/>
      </c>
      <c r="B46" s="4" t="str">
        <f>_xlfn.IFNA(VLOOKUP(FinalSeedTable[[#This Row],[Draw'#]],$M$36:$P$131,3,FALSE),"")</f>
        <v/>
      </c>
      <c r="C46" s="4" t="str">
        <f>_xlfn.IFNA(VLOOKUP(FinalSeedTable[[#This Row],[Draw'#]],$M$36:$P$131,4,FALSE),"")</f>
        <v/>
      </c>
      <c r="D46" s="47"/>
      <c r="M46" s="91">
        <v>11</v>
      </c>
      <c r="N46" s="91"/>
      <c r="O46" s="92" t="str" cm="1">
        <f t="array" ref="O46">_xlfn.IFNA(IF(INDEX(PlayerEntries!$1:$242,ROW(),$L$5+1)&lt;&gt;0,INDEX(PlayerEntries!$1:$242,ROW(),$L$5+1),""),"")</f>
        <v/>
      </c>
      <c r="P46" s="92" t="str" cm="1">
        <f t="array" ref="P46">_xlfn.IFNA(IF(INDEX(PlayerEntries!$1:$242,ROW(),$L$5+2)&lt;&gt;0,INDEX(PlayerEntries!$1:$242,ROW(),$L$5+2),""),"")</f>
        <v/>
      </c>
    </row>
    <row r="47" spans="1:16" x14ac:dyDescent="0.4">
      <c r="A47" s="4" t="str">
        <f>IF(FinalSeedTable[[#This Row],[Player Name]]&lt;&gt;"",1+ROW()-ROW($A$4),"")</f>
        <v/>
      </c>
      <c r="B47" s="4" t="str">
        <f>_xlfn.IFNA(VLOOKUP(FinalSeedTable[[#This Row],[Draw'#]],$M$36:$P$131,3,FALSE),"")</f>
        <v/>
      </c>
      <c r="C47" s="4" t="str">
        <f>_xlfn.IFNA(VLOOKUP(FinalSeedTable[[#This Row],[Draw'#]],$M$36:$P$131,4,FALSE),"")</f>
        <v/>
      </c>
      <c r="D47" s="47"/>
      <c r="M47" s="91">
        <v>12</v>
      </c>
      <c r="N47" s="91"/>
      <c r="O47" s="92" t="str" cm="1">
        <f t="array" ref="O47">_xlfn.IFNA(IF(INDEX(PlayerEntries!$1:$242,ROW(),$L$5+1)&lt;&gt;0,INDEX(PlayerEntries!$1:$242,ROW(),$L$5+1),""),"")</f>
        <v/>
      </c>
      <c r="P47" s="92" t="str" cm="1">
        <f t="array" ref="P47">_xlfn.IFNA(IF(INDEX(PlayerEntries!$1:$242,ROW(),$L$5+2)&lt;&gt;0,INDEX(PlayerEntries!$1:$242,ROW(),$L$5+2),""),"")</f>
        <v/>
      </c>
    </row>
    <row r="48" spans="1:16" x14ac:dyDescent="0.4">
      <c r="A48" s="4" t="str">
        <f>IF(FinalSeedTable[[#This Row],[Player Name]]&lt;&gt;"",1+ROW()-ROW($A$4),"")</f>
        <v/>
      </c>
      <c r="B48" s="4" t="str">
        <f>_xlfn.IFNA(VLOOKUP(FinalSeedTable[[#This Row],[Draw'#]],$M$36:$P$131,3,FALSE),"")</f>
        <v/>
      </c>
      <c r="C48" s="4" t="str">
        <f>_xlfn.IFNA(VLOOKUP(FinalSeedTable[[#This Row],[Draw'#]],$M$36:$P$131,4,FALSE),"")</f>
        <v/>
      </c>
      <c r="D48" s="47"/>
      <c r="M48" s="91">
        <v>13</v>
      </c>
      <c r="N48" s="91"/>
      <c r="O48" s="92" t="str" cm="1">
        <f t="array" ref="O48">_xlfn.IFNA(IF(INDEX(PlayerEntries!$1:$242,ROW(),$L$5+1)&lt;&gt;0,INDEX(PlayerEntries!$1:$242,ROW(),$L$5+1),""),"")</f>
        <v/>
      </c>
      <c r="P48" s="92" t="str" cm="1">
        <f t="array" ref="P48">_xlfn.IFNA(IF(INDEX(PlayerEntries!$1:$242,ROW(),$L$5+2)&lt;&gt;0,INDEX(PlayerEntries!$1:$242,ROW(),$L$5+2),""),"")</f>
        <v/>
      </c>
    </row>
    <row r="49" spans="1:16" x14ac:dyDescent="0.4">
      <c r="A49" s="4" t="str">
        <f>IF(FinalSeedTable[[#This Row],[Player Name]]&lt;&gt;"",1+ROW()-ROW($A$4),"")</f>
        <v/>
      </c>
      <c r="B49" s="4" t="str">
        <f>_xlfn.IFNA(VLOOKUP(FinalSeedTable[[#This Row],[Draw'#]],$M$36:$P$131,3,FALSE),"")</f>
        <v/>
      </c>
      <c r="C49" s="4" t="str">
        <f>_xlfn.IFNA(VLOOKUP(FinalSeedTable[[#This Row],[Draw'#]],$M$36:$P$131,4,FALSE),"")</f>
        <v/>
      </c>
      <c r="D49" s="47"/>
      <c r="M49" s="91">
        <v>14</v>
      </c>
      <c r="N49" s="91"/>
      <c r="O49" s="92" t="str" cm="1">
        <f t="array" ref="O49">_xlfn.IFNA(IF(INDEX(PlayerEntries!$1:$242,ROW(),$L$5+1)&lt;&gt;0,INDEX(PlayerEntries!$1:$242,ROW(),$L$5+1),""),"")</f>
        <v/>
      </c>
      <c r="P49" s="92" t="str" cm="1">
        <f t="array" ref="P49">_xlfn.IFNA(IF(INDEX(PlayerEntries!$1:$242,ROW(),$L$5+2)&lt;&gt;0,INDEX(PlayerEntries!$1:$242,ROW(),$L$5+2),""),"")</f>
        <v/>
      </c>
    </row>
    <row r="50" spans="1:16" x14ac:dyDescent="0.4">
      <c r="A50" s="4" t="str">
        <f>IF(FinalSeedTable[[#This Row],[Player Name]]&lt;&gt;"",1+ROW()-ROW($A$4),"")</f>
        <v/>
      </c>
      <c r="B50" s="4" t="str">
        <f>_xlfn.IFNA(VLOOKUP(FinalSeedTable[[#This Row],[Draw'#]],$M$36:$P$131,3,FALSE),"")</f>
        <v/>
      </c>
      <c r="C50" s="4" t="str">
        <f>_xlfn.IFNA(VLOOKUP(FinalSeedTable[[#This Row],[Draw'#]],$M$36:$P$131,4,FALSE),"")</f>
        <v/>
      </c>
      <c r="D50" s="47"/>
      <c r="M50" s="91">
        <v>15</v>
      </c>
      <c r="N50" s="91"/>
      <c r="O50" s="92" t="str" cm="1">
        <f t="array" ref="O50">_xlfn.IFNA(IF(INDEX(PlayerEntries!$1:$242,ROW(),$L$5+1)&lt;&gt;0,INDEX(PlayerEntries!$1:$242,ROW(),$L$5+1),""),"")</f>
        <v/>
      </c>
      <c r="P50" s="92" t="str" cm="1">
        <f t="array" ref="P50">_xlfn.IFNA(IF(INDEX(PlayerEntries!$1:$242,ROW(),$L$5+2)&lt;&gt;0,INDEX(PlayerEntries!$1:$242,ROW(),$L$5+2),""),"")</f>
        <v/>
      </c>
    </row>
    <row r="51" spans="1:16" x14ac:dyDescent="0.4">
      <c r="A51" s="4" t="str">
        <f>IF(FinalSeedTable[[#This Row],[Player Name]]&lt;&gt;"",1+ROW()-ROW($A$4),"")</f>
        <v/>
      </c>
      <c r="B51" s="4" t="str">
        <f>_xlfn.IFNA(VLOOKUP(FinalSeedTable[[#This Row],[Draw'#]],$M$36:$P$131,3,FALSE),"")</f>
        <v/>
      </c>
      <c r="C51" s="4" t="str">
        <f>_xlfn.IFNA(VLOOKUP(FinalSeedTable[[#This Row],[Draw'#]],$M$36:$P$131,4,FALSE),"")</f>
        <v/>
      </c>
      <c r="D51" s="47"/>
      <c r="M51" s="91">
        <v>16</v>
      </c>
      <c r="N51" s="91"/>
      <c r="O51" s="92" t="str" cm="1">
        <f t="array" ref="O51">_xlfn.IFNA(IF(INDEX(PlayerEntries!$1:$242,ROW(),$L$5+1)&lt;&gt;0,INDEX(PlayerEntries!$1:$242,ROW(),$L$5+1),""),"")</f>
        <v/>
      </c>
      <c r="P51" s="92" t="str" cm="1">
        <f t="array" ref="P51">_xlfn.IFNA(IF(INDEX(PlayerEntries!$1:$242,ROW(),$L$5+2)&lt;&gt;0,INDEX(PlayerEntries!$1:$242,ROW(),$L$5+2),""),"")</f>
        <v/>
      </c>
    </row>
    <row r="52" spans="1:16" x14ac:dyDescent="0.4">
      <c r="A52" s="4" t="str">
        <f>IF(FinalSeedTable[[#This Row],[Player Name]]&lt;&gt;"",1+ROW()-ROW($A$4),"")</f>
        <v/>
      </c>
      <c r="B52" s="4" t="str">
        <f>_xlfn.IFNA(VLOOKUP(FinalSeedTable[[#This Row],[Draw'#]],$M$36:$P$131,3,FALSE),"")</f>
        <v/>
      </c>
      <c r="C52" s="4" t="str">
        <f>_xlfn.IFNA(VLOOKUP(FinalSeedTable[[#This Row],[Draw'#]],$M$36:$P$131,4,FALSE),"")</f>
        <v/>
      </c>
      <c r="D52" s="47"/>
      <c r="M52" s="91">
        <v>17</v>
      </c>
      <c r="N52" s="91"/>
      <c r="O52" s="92" t="str" cm="1">
        <f t="array" ref="O52">_xlfn.IFNA(IF(INDEX(PlayerEntries!$1:$242,ROW(),$L$5+1)&lt;&gt;0,INDEX(PlayerEntries!$1:$242,ROW(),$L$5+1),""),"")</f>
        <v/>
      </c>
      <c r="P52" s="92" t="str" cm="1">
        <f t="array" ref="P52">_xlfn.IFNA(IF(INDEX(PlayerEntries!$1:$242,ROW(),$L$5+2)&lt;&gt;0,INDEX(PlayerEntries!$1:$242,ROW(),$L$5+2),""),"")</f>
        <v/>
      </c>
    </row>
    <row r="53" spans="1:16" x14ac:dyDescent="0.4">
      <c r="A53" s="4" t="str">
        <f>IF(FinalSeedTable[[#This Row],[Player Name]]&lt;&gt;"",1+ROW()-ROW($A$4),"")</f>
        <v/>
      </c>
      <c r="B53" s="4" t="str">
        <f>_xlfn.IFNA(VLOOKUP(FinalSeedTable[[#This Row],[Draw'#]],$M$36:$P$131,3,FALSE),"")</f>
        <v/>
      </c>
      <c r="C53" s="4" t="str">
        <f>_xlfn.IFNA(VLOOKUP(FinalSeedTable[[#This Row],[Draw'#]],$M$36:$P$131,4,FALSE),"")</f>
        <v/>
      </c>
      <c r="D53" s="47"/>
      <c r="M53" s="91">
        <v>18</v>
      </c>
      <c r="N53" s="91"/>
      <c r="O53" s="92" t="str" cm="1">
        <f t="array" ref="O53">_xlfn.IFNA(IF(INDEX(PlayerEntries!$1:$242,ROW(),$L$5+1)&lt;&gt;0,INDEX(PlayerEntries!$1:$242,ROW(),$L$5+1),""),"")</f>
        <v/>
      </c>
      <c r="P53" s="92" t="str" cm="1">
        <f t="array" ref="P53">_xlfn.IFNA(IF(INDEX(PlayerEntries!$1:$242,ROW(),$L$5+2)&lt;&gt;0,INDEX(PlayerEntries!$1:$242,ROW(),$L$5+2),""),"")</f>
        <v/>
      </c>
    </row>
    <row r="54" spans="1:16" x14ac:dyDescent="0.4">
      <c r="A54" s="4" t="str">
        <f>IF(FinalSeedTable[[#This Row],[Player Name]]&lt;&gt;"",1+ROW()-ROW($A$4),"")</f>
        <v/>
      </c>
      <c r="B54" s="4" t="str">
        <f>_xlfn.IFNA(VLOOKUP(FinalSeedTable[[#This Row],[Draw'#]],$M$36:$P$131,3,FALSE),"")</f>
        <v/>
      </c>
      <c r="C54" s="4" t="str">
        <f>_xlfn.IFNA(VLOOKUP(FinalSeedTable[[#This Row],[Draw'#]],$M$36:$P$131,4,FALSE),"")</f>
        <v/>
      </c>
      <c r="D54" s="47"/>
      <c r="M54" s="91">
        <v>19</v>
      </c>
      <c r="N54" s="91"/>
      <c r="O54" s="92" t="str" cm="1">
        <f t="array" ref="O54">_xlfn.IFNA(IF(INDEX(PlayerEntries!$1:$242,ROW(),$L$5+1)&lt;&gt;0,INDEX(PlayerEntries!$1:$242,ROW(),$L$5+1),""),"")</f>
        <v/>
      </c>
      <c r="P54" s="92" t="str" cm="1">
        <f t="array" ref="P54">_xlfn.IFNA(IF(INDEX(PlayerEntries!$1:$242,ROW(),$L$5+2)&lt;&gt;0,INDEX(PlayerEntries!$1:$242,ROW(),$L$5+2),""),"")</f>
        <v/>
      </c>
    </row>
    <row r="55" spans="1:16" x14ac:dyDescent="0.4">
      <c r="A55" s="4" t="str">
        <f>IF(FinalSeedTable[[#This Row],[Player Name]]&lt;&gt;"",1+ROW()-ROW($A$4),"")</f>
        <v/>
      </c>
      <c r="B55" s="4" t="str">
        <f>_xlfn.IFNA(VLOOKUP(FinalSeedTable[[#This Row],[Draw'#]],$M$36:$P$131,3,FALSE),"")</f>
        <v/>
      </c>
      <c r="C55" s="4" t="str">
        <f>_xlfn.IFNA(VLOOKUP(FinalSeedTable[[#This Row],[Draw'#]],$M$36:$P$131,4,FALSE),"")</f>
        <v/>
      </c>
      <c r="D55" s="47"/>
      <c r="M55" s="91">
        <v>20</v>
      </c>
      <c r="N55" s="91"/>
      <c r="O55" s="92" t="str" cm="1">
        <f t="array" ref="O55">_xlfn.IFNA(IF(INDEX(PlayerEntries!$1:$242,ROW(),$L$5+1)&lt;&gt;0,INDEX(PlayerEntries!$1:$242,ROW(),$L$5+1),""),"")</f>
        <v/>
      </c>
      <c r="P55" s="92" t="str" cm="1">
        <f t="array" ref="P55">_xlfn.IFNA(IF(INDEX(PlayerEntries!$1:$242,ROW(),$L$5+2)&lt;&gt;0,INDEX(PlayerEntries!$1:$242,ROW(),$L$5+2),""),"")</f>
        <v/>
      </c>
    </row>
    <row r="56" spans="1:16" x14ac:dyDescent="0.4">
      <c r="A56" s="4" t="str">
        <f>IF(FinalSeedTable[[#This Row],[Player Name]]&lt;&gt;"",1+ROW()-ROW($A$4),"")</f>
        <v/>
      </c>
      <c r="B56" s="4" t="str">
        <f>_xlfn.IFNA(VLOOKUP(FinalSeedTable[[#This Row],[Draw'#]],$M$36:$P$131,3,FALSE),"")</f>
        <v/>
      </c>
      <c r="C56" s="4" t="str">
        <f>_xlfn.IFNA(VLOOKUP(FinalSeedTable[[#This Row],[Draw'#]],$M$36:$P$131,4,FALSE),"")</f>
        <v/>
      </c>
      <c r="D56" s="47"/>
      <c r="H56" s="164" t="e" vm="2">
        <f>$H$13</f>
        <v>#VALUE!</v>
      </c>
      <c r="I56" s="165"/>
      <c r="J56" s="166"/>
      <c r="M56" s="91">
        <v>21</v>
      </c>
      <c r="N56" s="91"/>
      <c r="O56" s="92" t="str" cm="1">
        <f t="array" ref="O56">_xlfn.IFNA(IF(INDEX(PlayerEntries!$1:$242,ROW(),$L$5+1)&lt;&gt;0,INDEX(PlayerEntries!$1:$242,ROW(),$L$5+1),""),"")</f>
        <v/>
      </c>
      <c r="P56" s="92" t="str" cm="1">
        <f t="array" ref="P56">_xlfn.IFNA(IF(INDEX(PlayerEntries!$1:$242,ROW(),$L$5+2)&lt;&gt;0,INDEX(PlayerEntries!$1:$242,ROW(),$L$5+2),""),"")</f>
        <v/>
      </c>
    </row>
    <row r="57" spans="1:16" x14ac:dyDescent="0.4">
      <c r="A57" s="4" t="str">
        <f>IF(FinalSeedTable[[#This Row],[Player Name]]&lt;&gt;"",1+ROW()-ROW($A$4),"")</f>
        <v/>
      </c>
      <c r="B57" s="4" t="str">
        <f>_xlfn.IFNA(VLOOKUP(FinalSeedTable[[#This Row],[Draw'#]],$M$36:$P$131,3,FALSE),"")</f>
        <v/>
      </c>
      <c r="C57" s="4" t="str">
        <f>_xlfn.IFNA(VLOOKUP(FinalSeedTable[[#This Row],[Draw'#]],$M$36:$P$131,4,FALSE),"")</f>
        <v/>
      </c>
      <c r="D57" s="47"/>
      <c r="H57" s="167"/>
      <c r="I57" s="161"/>
      <c r="J57" s="168"/>
      <c r="M57" s="91">
        <v>22</v>
      </c>
      <c r="N57" s="91"/>
      <c r="O57" s="92" t="str" cm="1">
        <f t="array" ref="O57">_xlfn.IFNA(IF(INDEX(PlayerEntries!$1:$242,ROW(),$L$5+1)&lt;&gt;0,INDEX(PlayerEntries!$1:$242,ROW(),$L$5+1),""),"")</f>
        <v/>
      </c>
      <c r="P57" s="92" t="str" cm="1">
        <f t="array" ref="P57">_xlfn.IFNA(IF(INDEX(PlayerEntries!$1:$242,ROW(),$L$5+2)&lt;&gt;0,INDEX(PlayerEntries!$1:$242,ROW(),$L$5+2),""),"")</f>
        <v/>
      </c>
    </row>
    <row r="58" spans="1:16" x14ac:dyDescent="0.4">
      <c r="A58" s="4" t="str">
        <f>IF(FinalSeedTable[[#This Row],[Player Name]]&lt;&gt;"",1+ROW()-ROW($A$4),"")</f>
        <v/>
      </c>
      <c r="B58" s="4" t="str">
        <f>_xlfn.IFNA(VLOOKUP(FinalSeedTable[[#This Row],[Draw'#]],$M$36:$P$131,3,FALSE),"")</f>
        <v/>
      </c>
      <c r="C58" s="4" t="str">
        <f>_xlfn.IFNA(VLOOKUP(FinalSeedTable[[#This Row],[Draw'#]],$M$36:$P$131,4,FALSE),"")</f>
        <v/>
      </c>
      <c r="D58" s="47"/>
      <c r="H58" s="167"/>
      <c r="I58" s="161"/>
      <c r="J58" s="168"/>
      <c r="M58" s="91">
        <v>23</v>
      </c>
      <c r="N58" s="91"/>
      <c r="O58" s="92" t="str" cm="1">
        <f t="array" ref="O58">_xlfn.IFNA(IF(INDEX(PlayerEntries!$1:$242,ROW(),$L$5+1)&lt;&gt;0,INDEX(PlayerEntries!$1:$242,ROW(),$L$5+1),""),"")</f>
        <v/>
      </c>
      <c r="P58" s="92" t="str" cm="1">
        <f t="array" ref="P58">_xlfn.IFNA(IF(INDEX(PlayerEntries!$1:$242,ROW(),$L$5+2)&lt;&gt;0,INDEX(PlayerEntries!$1:$242,ROW(),$L$5+2),""),"")</f>
        <v/>
      </c>
    </row>
    <row r="59" spans="1:16" x14ac:dyDescent="0.4">
      <c r="A59" s="4" t="str">
        <f>IF(FinalSeedTable[[#This Row],[Player Name]]&lt;&gt;"",1+ROW()-ROW($A$4),"")</f>
        <v/>
      </c>
      <c r="B59" s="4" t="str">
        <f>_xlfn.IFNA(VLOOKUP(FinalSeedTable[[#This Row],[Draw'#]],$M$36:$P$131,3,FALSE),"")</f>
        <v/>
      </c>
      <c r="C59" s="4" t="str">
        <f>_xlfn.IFNA(VLOOKUP(FinalSeedTable[[#This Row],[Draw'#]],$M$36:$P$131,4,FALSE),"")</f>
        <v/>
      </c>
      <c r="D59" s="47"/>
      <c r="H59" s="169" t="s">
        <v>19</v>
      </c>
      <c r="I59" s="170"/>
      <c r="J59" s="171"/>
      <c r="M59" s="91">
        <v>24</v>
      </c>
      <c r="N59" s="91"/>
      <c r="O59" s="92" t="str" cm="1">
        <f t="array" ref="O59">_xlfn.IFNA(IF(INDEX(PlayerEntries!$1:$242,ROW(),$L$5+1)&lt;&gt;0,INDEX(PlayerEntries!$1:$242,ROW(),$L$5+1),""),"")</f>
        <v/>
      </c>
      <c r="P59" s="92" t="str" cm="1">
        <f t="array" ref="P59">_xlfn.IFNA(IF(INDEX(PlayerEntries!$1:$242,ROW(),$L$5+2)&lt;&gt;0,INDEX(PlayerEntries!$1:$242,ROW(),$L$5+2),""),"")</f>
        <v/>
      </c>
    </row>
    <row r="60" spans="1:16" x14ac:dyDescent="0.4">
      <c r="A60" s="4" t="str">
        <f>IF(FinalSeedTable[[#This Row],[Player Name]]&lt;&gt;"",1+ROW()-ROW($A$4),"")</f>
        <v/>
      </c>
      <c r="B60" s="4" t="str">
        <f>_xlfn.IFNA(VLOOKUP(FinalSeedTable[[#This Row],[Draw'#]],$M$36:$P$131,3,FALSE),"")</f>
        <v/>
      </c>
      <c r="C60" s="4" t="str">
        <f>_xlfn.IFNA(VLOOKUP(FinalSeedTable[[#This Row],[Draw'#]],$M$36:$P$131,4,FALSE),"")</f>
        <v/>
      </c>
      <c r="D60" s="47"/>
      <c r="M60" s="91">
        <v>25</v>
      </c>
      <c r="N60" s="91"/>
      <c r="O60" s="92" t="str" cm="1">
        <f t="array" ref="O60">_xlfn.IFNA(IF(INDEX(PlayerEntries!$1:$242,ROW(),$L$5+1)&lt;&gt;0,INDEX(PlayerEntries!$1:$242,ROW(),$L$5+1),""),"")</f>
        <v/>
      </c>
      <c r="P60" s="92" t="str" cm="1">
        <f t="array" ref="P60">_xlfn.IFNA(IF(INDEX(PlayerEntries!$1:$242,ROW(),$L$5+2)&lt;&gt;0,INDEX(PlayerEntries!$1:$242,ROW(),$L$5+2),""),"")</f>
        <v/>
      </c>
    </row>
    <row r="61" spans="1:16" x14ac:dyDescent="0.4">
      <c r="A61" s="4" t="str">
        <f>IF(FinalSeedTable[[#This Row],[Player Name]]&lt;&gt;"",1+ROW()-ROW($A$4),"")</f>
        <v/>
      </c>
      <c r="B61" s="4" t="str">
        <f>_xlfn.IFNA(VLOOKUP(FinalSeedTable[[#This Row],[Draw'#]],$M$36:$P$131,3,FALSE),"")</f>
        <v/>
      </c>
      <c r="C61" s="4" t="str">
        <f>_xlfn.IFNA(VLOOKUP(FinalSeedTable[[#This Row],[Draw'#]],$M$36:$P$131,4,FALSE),"")</f>
        <v/>
      </c>
      <c r="D61" s="47"/>
      <c r="H61" s="159" t="str">
        <f>IF($H$18&lt;&gt;0,$H$18,"")</f>
        <v>Tournament iBracket Generated</v>
      </c>
      <c r="I61" s="160"/>
      <c r="J61" s="160"/>
      <c r="M61" s="91">
        <v>26</v>
      </c>
      <c r="N61" s="91"/>
      <c r="O61" s="92" t="str" cm="1">
        <f t="array" ref="O61">_xlfn.IFNA(IF(INDEX(PlayerEntries!$1:$242,ROW(),$L$5+1)&lt;&gt;0,INDEX(PlayerEntries!$1:$242,ROW(),$L$5+1),""),"")</f>
        <v/>
      </c>
      <c r="P61" s="92" t="str" cm="1">
        <f t="array" ref="P61">_xlfn.IFNA(IF(INDEX(PlayerEntries!$1:$242,ROW(),$L$5+2)&lt;&gt;0,INDEX(PlayerEntries!$1:$242,ROW(),$L$5+2),""),"")</f>
        <v/>
      </c>
    </row>
    <row r="62" spans="1:16" x14ac:dyDescent="0.4">
      <c r="A62" s="4" t="str">
        <f>IF(FinalSeedTable[[#This Row],[Player Name]]&lt;&gt;"",1+ROW()-ROW($A$4),"")</f>
        <v/>
      </c>
      <c r="B62" s="4" t="str">
        <f>_xlfn.IFNA(VLOOKUP(FinalSeedTable[[#This Row],[Draw'#]],$M$36:$P$131,3,FALSE),"")</f>
        <v/>
      </c>
      <c r="C62" s="4" t="str">
        <f>_xlfn.IFNA(VLOOKUP(FinalSeedTable[[#This Row],[Draw'#]],$M$36:$P$131,4,FALSE),"")</f>
        <v/>
      </c>
      <c r="D62" s="47"/>
      <c r="H62" s="16" t="str">
        <f>IF($H$19&lt;&gt;0,$H$19,"")</f>
        <v/>
      </c>
      <c r="I62" s="162" t="str">
        <f>IF($I$19&lt;&gt;0,$I$19,"")</f>
        <v/>
      </c>
      <c r="J62" s="163"/>
      <c r="M62" s="91">
        <v>27</v>
      </c>
      <c r="N62" s="91"/>
      <c r="O62" s="92" t="str" cm="1">
        <f t="array" ref="O62">_xlfn.IFNA(IF(INDEX(PlayerEntries!$1:$242,ROW(),$L$5+1)&lt;&gt;0,INDEX(PlayerEntries!$1:$242,ROW(),$L$5+1),""),"")</f>
        <v/>
      </c>
      <c r="P62" s="92" t="str" cm="1">
        <f t="array" ref="P62">_xlfn.IFNA(IF(INDEX(PlayerEntries!$1:$242,ROW(),$L$5+2)&lt;&gt;0,INDEX(PlayerEntries!$1:$242,ROW(),$L$5+2),""),"")</f>
        <v/>
      </c>
    </row>
    <row r="63" spans="1:16" x14ac:dyDescent="0.4">
      <c r="A63" s="4" t="str">
        <f>IF(FinalSeedTable[[#This Row],[Player Name]]&lt;&gt;"",1+ROW()-ROW($A$4),"")</f>
        <v/>
      </c>
      <c r="B63" s="4" t="str">
        <f>_xlfn.IFNA(VLOOKUP(FinalSeedTable[[#This Row],[Draw'#]],$M$36:$P$131,3,FALSE),"")</f>
        <v/>
      </c>
      <c r="C63" s="4" t="str">
        <f>_xlfn.IFNA(VLOOKUP(FinalSeedTable[[#This Row],[Draw'#]],$M$36:$P$131,4,FALSE),"")</f>
        <v/>
      </c>
      <c r="D63" s="47"/>
      <c r="M63" s="91">
        <v>28</v>
      </c>
      <c r="N63" s="91"/>
      <c r="O63" s="92" t="str" cm="1">
        <f t="array" ref="O63">_xlfn.IFNA(IF(INDEX(PlayerEntries!$1:$242,ROW(),$L$5+1)&lt;&gt;0,INDEX(PlayerEntries!$1:$242,ROW(),$L$5+1),""),"")</f>
        <v/>
      </c>
      <c r="P63" s="92" t="str" cm="1">
        <f t="array" ref="P63">_xlfn.IFNA(IF(INDEX(PlayerEntries!$1:$242,ROW(),$L$5+2)&lt;&gt;0,INDEX(PlayerEntries!$1:$242,ROW(),$L$5+2),""),"")</f>
        <v/>
      </c>
    </row>
    <row r="64" spans="1:16" x14ac:dyDescent="0.4">
      <c r="A64" s="4" t="str">
        <f>IF(FinalSeedTable[[#This Row],[Player Name]]&lt;&gt;"",1+ROW()-ROW($A$4),"")</f>
        <v/>
      </c>
      <c r="B64" s="4" t="str">
        <f>_xlfn.IFNA(VLOOKUP(FinalSeedTable[[#This Row],[Draw'#]],$M$36:$P$131,3,FALSE),"")</f>
        <v/>
      </c>
      <c r="C64" s="4" t="str">
        <f>_xlfn.IFNA(VLOOKUP(FinalSeedTable[[#This Row],[Draw'#]],$M$36:$P$131,4,FALSE),"")</f>
        <v/>
      </c>
      <c r="D64" s="47"/>
      <c r="M64" s="91">
        <v>29</v>
      </c>
      <c r="N64" s="91"/>
      <c r="O64" s="92" t="str" cm="1">
        <f t="array" ref="O64">_xlfn.IFNA(IF(INDEX(PlayerEntries!$1:$242,ROW(),$L$5+1)&lt;&gt;0,INDEX(PlayerEntries!$1:$242,ROW(),$L$5+1),""),"")</f>
        <v/>
      </c>
      <c r="P64" s="92" t="str" cm="1">
        <f t="array" ref="P64">_xlfn.IFNA(IF(INDEX(PlayerEntries!$1:$242,ROW(),$L$5+2)&lt;&gt;0,INDEX(PlayerEntries!$1:$242,ROW(),$L$5+2),""),"")</f>
        <v/>
      </c>
    </row>
    <row r="65" spans="1:16" x14ac:dyDescent="0.4">
      <c r="A65" s="4" t="str">
        <f>IF(FinalSeedTable[[#This Row],[Player Name]]&lt;&gt;"",1+ROW()-ROW($A$4),"")</f>
        <v/>
      </c>
      <c r="B65" s="4" t="str">
        <f>_xlfn.IFNA(VLOOKUP(FinalSeedTable[[#This Row],[Draw'#]],$M$36:$P$131,3,FALSE),"")</f>
        <v/>
      </c>
      <c r="C65" s="4" t="str">
        <f>_xlfn.IFNA(VLOOKUP(FinalSeedTable[[#This Row],[Draw'#]],$M$36:$P$131,4,FALSE),"")</f>
        <v/>
      </c>
      <c r="D65" s="47"/>
      <c r="M65" s="91">
        <v>30</v>
      </c>
      <c r="N65" s="91"/>
      <c r="O65" s="92" t="str" cm="1">
        <f t="array" ref="O65">_xlfn.IFNA(IF(INDEX(PlayerEntries!$1:$242,ROW(),$L$5+1)&lt;&gt;0,INDEX(PlayerEntries!$1:$242,ROW(),$L$5+1),""),"")</f>
        <v/>
      </c>
      <c r="P65" s="92" t="str" cm="1">
        <f t="array" ref="P65">_xlfn.IFNA(IF(INDEX(PlayerEntries!$1:$242,ROW(),$L$5+2)&lt;&gt;0,INDEX(PlayerEntries!$1:$242,ROW(),$L$5+2),""),"")</f>
        <v/>
      </c>
    </row>
    <row r="66" spans="1:16" x14ac:dyDescent="0.4">
      <c r="A66" s="4" t="str">
        <f>IF(FinalSeedTable[[#This Row],[Player Name]]&lt;&gt;"",1+ROW()-ROW($A$4),"")</f>
        <v/>
      </c>
      <c r="B66" s="4" t="str">
        <f>_xlfn.IFNA(VLOOKUP(FinalSeedTable[[#This Row],[Draw'#]],$M$36:$P$131,3,FALSE),"")</f>
        <v/>
      </c>
      <c r="C66" s="4" t="str">
        <f>_xlfn.IFNA(VLOOKUP(FinalSeedTable[[#This Row],[Draw'#]],$M$36:$P$131,4,FALSE),"")</f>
        <v/>
      </c>
      <c r="D66" s="47"/>
      <c r="M66" s="91">
        <v>31</v>
      </c>
      <c r="N66" s="91"/>
      <c r="O66" s="92" t="str" cm="1">
        <f t="array" ref="O66">_xlfn.IFNA(IF(INDEX(PlayerEntries!$1:$242,ROW(),$L$5+1)&lt;&gt;0,INDEX(PlayerEntries!$1:$242,ROW(),$L$5+1),""),"")</f>
        <v/>
      </c>
      <c r="P66" s="92" t="str" cm="1">
        <f t="array" ref="P66">_xlfn.IFNA(IF(INDEX(PlayerEntries!$1:$242,ROW(),$L$5+2)&lt;&gt;0,INDEX(PlayerEntries!$1:$242,ROW(),$L$5+2),""),"")</f>
        <v/>
      </c>
    </row>
    <row r="67" spans="1:16" x14ac:dyDescent="0.4">
      <c r="A67" s="4" t="str">
        <f>IF(FinalSeedTable[[#This Row],[Player Name]]&lt;&gt;"",1+ROW()-ROW($A$4),"")</f>
        <v/>
      </c>
      <c r="B67" s="4" t="str">
        <f>_xlfn.IFNA(VLOOKUP(FinalSeedTable[[#This Row],[Draw'#]],$M$36:$P$131,3,FALSE),"")</f>
        <v/>
      </c>
      <c r="C67" s="4" t="str">
        <f>_xlfn.IFNA(VLOOKUP(FinalSeedTable[[#This Row],[Draw'#]],$M$36:$P$131,4,FALSE),"")</f>
        <v/>
      </c>
      <c r="D67" s="47"/>
      <c r="M67" s="91">
        <v>32</v>
      </c>
      <c r="N67" s="91"/>
      <c r="O67" s="92" t="str" cm="1">
        <f t="array" ref="O67">_xlfn.IFNA(IF(INDEX(PlayerEntries!$1:$242,ROW(),$L$5+1)&lt;&gt;0,INDEX(PlayerEntries!$1:$242,ROW(),$L$5+1),""),"")</f>
        <v/>
      </c>
      <c r="P67" s="92" t="str" cm="1">
        <f t="array" ref="P67">_xlfn.IFNA(IF(INDEX(PlayerEntries!$1:$242,ROW(),$L$5+2)&lt;&gt;0,INDEX(PlayerEntries!$1:$242,ROW(),$L$5+2),""),"")</f>
        <v/>
      </c>
    </row>
    <row r="68" spans="1:16" x14ac:dyDescent="0.4">
      <c r="A68" s="4" t="str">
        <f>IF(FinalSeedTable[[#This Row],[Player Name]]&lt;&gt;"",1+ROW()-ROW($A$4),"")</f>
        <v/>
      </c>
      <c r="B68" s="4" t="str">
        <f>_xlfn.IFNA(VLOOKUP(FinalSeedTable[[#This Row],[Draw'#]],$M$36:$P$131,3,FALSE),"")</f>
        <v/>
      </c>
      <c r="C68" s="4" t="str">
        <f>_xlfn.IFNA(VLOOKUP(FinalSeedTable[[#This Row],[Draw'#]],$M$36:$P$131,4,FALSE),"")</f>
        <v/>
      </c>
      <c r="D68" s="48"/>
      <c r="M68" s="91">
        <v>33</v>
      </c>
      <c r="N68" s="91"/>
      <c r="O68" s="92" t="str" cm="1">
        <f t="array" ref="O68">_xlfn.IFNA(IF(INDEX(PlayerEntries!$1:$242,ROW(),$L$5+1)&lt;&gt;0,INDEX(PlayerEntries!$1:$242,ROW(),$L$5+1),""),"")</f>
        <v/>
      </c>
      <c r="P68" s="92" t="str" cm="1">
        <f t="array" ref="P68">_xlfn.IFNA(IF(INDEX(PlayerEntries!$1:$242,ROW(),$L$5+2)&lt;&gt;0,INDEX(PlayerEntries!$1:$242,ROW(),$L$5+2),""),"")</f>
        <v/>
      </c>
    </row>
    <row r="69" spans="1:16" x14ac:dyDescent="0.4">
      <c r="A69" s="4" t="str">
        <f>IF(FinalSeedTable[[#This Row],[Player Name]]&lt;&gt;"",1+ROW()-ROW($A$4),"")</f>
        <v/>
      </c>
      <c r="B69" s="4" t="str">
        <f>_xlfn.IFNA(VLOOKUP(FinalSeedTable[[#This Row],[Draw'#]],$M$36:$P$131,3,FALSE),"")</f>
        <v/>
      </c>
      <c r="C69" s="4" t="str">
        <f>_xlfn.IFNA(VLOOKUP(FinalSeedTable[[#This Row],[Draw'#]],$M$36:$P$131,4,FALSE),"")</f>
        <v/>
      </c>
      <c r="D69" s="48"/>
      <c r="M69" s="91">
        <v>34</v>
      </c>
      <c r="N69" s="91"/>
      <c r="O69" s="92" t="str" cm="1">
        <f t="array" ref="O69">_xlfn.IFNA(IF(INDEX(PlayerEntries!$1:$242,ROW(),$L$5+1)&lt;&gt;0,INDEX(PlayerEntries!$1:$242,ROW(),$L$5+1),""),"")</f>
        <v/>
      </c>
      <c r="P69" s="92" t="str" cm="1">
        <f t="array" ref="P69">_xlfn.IFNA(IF(INDEX(PlayerEntries!$1:$242,ROW(),$L$5+2)&lt;&gt;0,INDEX(PlayerEntries!$1:$242,ROW(),$L$5+2),""),"")</f>
        <v/>
      </c>
    </row>
    <row r="70" spans="1:16" x14ac:dyDescent="0.4">
      <c r="A70" s="4" t="str">
        <f>IF(FinalSeedTable[[#This Row],[Player Name]]&lt;&gt;"",1+ROW()-ROW($A$4),"")</f>
        <v/>
      </c>
      <c r="B70" s="4" t="str">
        <f>_xlfn.IFNA(VLOOKUP(FinalSeedTable[[#This Row],[Draw'#]],$M$36:$P$131,3,FALSE),"")</f>
        <v/>
      </c>
      <c r="C70" s="4" t="str">
        <f>_xlfn.IFNA(VLOOKUP(FinalSeedTable[[#This Row],[Draw'#]],$M$36:$P$131,4,FALSE),"")</f>
        <v/>
      </c>
      <c r="D70" s="48"/>
      <c r="M70" s="91">
        <v>35</v>
      </c>
      <c r="N70" s="91"/>
      <c r="O70" s="92" t="str" cm="1">
        <f t="array" ref="O70">_xlfn.IFNA(IF(INDEX(PlayerEntries!$1:$242,ROW(),$L$5+1)&lt;&gt;0,INDEX(PlayerEntries!$1:$242,ROW(),$L$5+1),""),"")</f>
        <v/>
      </c>
      <c r="P70" s="92" t="str" cm="1">
        <f t="array" ref="P70">_xlfn.IFNA(IF(INDEX(PlayerEntries!$1:$242,ROW(),$L$5+2)&lt;&gt;0,INDEX(PlayerEntries!$1:$242,ROW(),$L$5+2),""),"")</f>
        <v/>
      </c>
    </row>
    <row r="71" spans="1:16" x14ac:dyDescent="0.4">
      <c r="A71" s="4" t="str">
        <f>IF(FinalSeedTable[[#This Row],[Player Name]]&lt;&gt;"",1+ROW()-ROW($A$4),"")</f>
        <v/>
      </c>
      <c r="B71" s="4" t="str">
        <f>_xlfn.IFNA(VLOOKUP(FinalSeedTable[[#This Row],[Draw'#]],$M$36:$P$131,3,FALSE),"")</f>
        <v/>
      </c>
      <c r="C71" s="4" t="str">
        <f>_xlfn.IFNA(VLOOKUP(FinalSeedTable[[#This Row],[Draw'#]],$M$36:$P$131,4,FALSE),"")</f>
        <v/>
      </c>
      <c r="D71" s="48"/>
      <c r="M71" s="91">
        <v>36</v>
      </c>
      <c r="N71" s="91"/>
      <c r="O71" s="92" t="str" cm="1">
        <f t="array" ref="O71">_xlfn.IFNA(IF(INDEX(PlayerEntries!$1:$242,ROW(),$L$5+1)&lt;&gt;0,INDEX(PlayerEntries!$1:$242,ROW(),$L$5+1),""),"")</f>
        <v/>
      </c>
      <c r="P71" s="92" t="str" cm="1">
        <f t="array" ref="P71">_xlfn.IFNA(IF(INDEX(PlayerEntries!$1:$242,ROW(),$L$5+2)&lt;&gt;0,INDEX(PlayerEntries!$1:$242,ROW(),$L$5+2),""),"")</f>
        <v/>
      </c>
    </row>
    <row r="72" spans="1:16" x14ac:dyDescent="0.4">
      <c r="A72" s="4" t="str">
        <f>IF(FinalSeedTable[[#This Row],[Player Name]]&lt;&gt;"",1+ROW()-ROW($A$4),"")</f>
        <v/>
      </c>
      <c r="B72" s="4" t="str">
        <f>_xlfn.IFNA(VLOOKUP(FinalSeedTable[[#This Row],[Draw'#]],$M$36:$P$131,3,FALSE),"")</f>
        <v/>
      </c>
      <c r="C72" s="4" t="str">
        <f>_xlfn.IFNA(VLOOKUP(FinalSeedTable[[#This Row],[Draw'#]],$M$36:$P$131,4,FALSE),"")</f>
        <v/>
      </c>
      <c r="D72" s="48"/>
      <c r="M72" s="91">
        <v>37</v>
      </c>
      <c r="N72" s="91"/>
      <c r="O72" s="92" t="str" cm="1">
        <f t="array" ref="O72">_xlfn.IFNA(IF(INDEX(PlayerEntries!$1:$242,ROW(),$L$5+1)&lt;&gt;0,INDEX(PlayerEntries!$1:$242,ROW(),$L$5+1),""),"")</f>
        <v/>
      </c>
      <c r="P72" s="92" t="str" cm="1">
        <f t="array" ref="P72">_xlfn.IFNA(IF(INDEX(PlayerEntries!$1:$242,ROW(),$L$5+2)&lt;&gt;0,INDEX(PlayerEntries!$1:$242,ROW(),$L$5+2),""),"")</f>
        <v/>
      </c>
    </row>
    <row r="73" spans="1:16" x14ac:dyDescent="0.4">
      <c r="A73" s="4" t="str">
        <f>IF(FinalSeedTable[[#This Row],[Player Name]]&lt;&gt;"",1+ROW()-ROW($A$4),"")</f>
        <v/>
      </c>
      <c r="B73" s="4" t="str">
        <f>_xlfn.IFNA(VLOOKUP(FinalSeedTable[[#This Row],[Draw'#]],$M$36:$P$131,3,FALSE),"")</f>
        <v/>
      </c>
      <c r="C73" s="4" t="str">
        <f>_xlfn.IFNA(VLOOKUP(FinalSeedTable[[#This Row],[Draw'#]],$M$36:$P$131,4,FALSE),"")</f>
        <v/>
      </c>
      <c r="D73" s="48"/>
      <c r="M73" s="91">
        <v>38</v>
      </c>
      <c r="N73" s="91"/>
      <c r="O73" s="92" t="str" cm="1">
        <f t="array" ref="O73">_xlfn.IFNA(IF(INDEX(PlayerEntries!$1:$242,ROW(),$L$5+1)&lt;&gt;0,INDEX(PlayerEntries!$1:$242,ROW(),$L$5+1),""),"")</f>
        <v/>
      </c>
      <c r="P73" s="92" t="str" cm="1">
        <f t="array" ref="P73">_xlfn.IFNA(IF(INDEX(PlayerEntries!$1:$242,ROW(),$L$5+2)&lt;&gt;0,INDEX(PlayerEntries!$1:$242,ROW(),$L$5+2),""),"")</f>
        <v/>
      </c>
    </row>
    <row r="74" spans="1:16" x14ac:dyDescent="0.4">
      <c r="A74" s="4" t="str">
        <f>IF(FinalSeedTable[[#This Row],[Player Name]]&lt;&gt;"",1+ROW()-ROW($A$4),"")</f>
        <v/>
      </c>
      <c r="B74" s="4" t="str">
        <f>_xlfn.IFNA(VLOOKUP(FinalSeedTable[[#This Row],[Draw'#]],$M$36:$P$131,3,FALSE),"")</f>
        <v/>
      </c>
      <c r="C74" s="4" t="str">
        <f>_xlfn.IFNA(VLOOKUP(FinalSeedTable[[#This Row],[Draw'#]],$M$36:$P$131,4,FALSE),"")</f>
        <v/>
      </c>
      <c r="D74" s="48"/>
      <c r="M74" s="91">
        <v>39</v>
      </c>
      <c r="N74" s="91"/>
      <c r="O74" s="92" t="str" cm="1">
        <f t="array" ref="O74">_xlfn.IFNA(IF(INDEX(PlayerEntries!$1:$242,ROW(),$L$5+1)&lt;&gt;0,INDEX(PlayerEntries!$1:$242,ROW(),$L$5+1),""),"")</f>
        <v/>
      </c>
      <c r="P74" s="92" t="str" cm="1">
        <f t="array" ref="P74">_xlfn.IFNA(IF(INDEX(PlayerEntries!$1:$242,ROW(),$L$5+2)&lt;&gt;0,INDEX(PlayerEntries!$1:$242,ROW(),$L$5+2),""),"")</f>
        <v/>
      </c>
    </row>
    <row r="75" spans="1:16" x14ac:dyDescent="0.4">
      <c r="A75" s="4" t="str">
        <f>IF(FinalSeedTable[[#This Row],[Player Name]]&lt;&gt;"",1+ROW()-ROW($A$4),"")</f>
        <v/>
      </c>
      <c r="B75" s="4" t="str">
        <f>_xlfn.IFNA(VLOOKUP(FinalSeedTable[[#This Row],[Draw'#]],$M$36:$P$131,3,FALSE),"")</f>
        <v/>
      </c>
      <c r="C75" s="4" t="str">
        <f>_xlfn.IFNA(VLOOKUP(FinalSeedTable[[#This Row],[Draw'#]],$M$36:$P$131,4,FALSE),"")</f>
        <v/>
      </c>
      <c r="D75" s="48"/>
      <c r="M75" s="91">
        <v>40</v>
      </c>
      <c r="N75" s="91"/>
      <c r="O75" s="92" t="str" cm="1">
        <f t="array" ref="O75">_xlfn.IFNA(IF(INDEX(PlayerEntries!$1:$242,ROW(),$L$5+1)&lt;&gt;0,INDEX(PlayerEntries!$1:$242,ROW(),$L$5+1),""),"")</f>
        <v/>
      </c>
      <c r="P75" s="92" t="str" cm="1">
        <f t="array" ref="P75">_xlfn.IFNA(IF(INDEX(PlayerEntries!$1:$242,ROW(),$L$5+2)&lt;&gt;0,INDEX(PlayerEntries!$1:$242,ROW(),$L$5+2),""),"")</f>
        <v/>
      </c>
    </row>
    <row r="76" spans="1:16" x14ac:dyDescent="0.4">
      <c r="A76" s="4" t="str">
        <f>IF(FinalSeedTable[[#This Row],[Player Name]]&lt;&gt;"",1+ROW()-ROW($A$4),"")</f>
        <v/>
      </c>
      <c r="B76" s="4" t="str">
        <f>_xlfn.IFNA(VLOOKUP(FinalSeedTable[[#This Row],[Draw'#]],$M$36:$P$131,3,FALSE),"")</f>
        <v/>
      </c>
      <c r="C76" s="4" t="str">
        <f>_xlfn.IFNA(VLOOKUP(FinalSeedTable[[#This Row],[Draw'#]],$M$36:$P$131,4,FALSE),"")</f>
        <v/>
      </c>
      <c r="D76" s="48"/>
      <c r="M76" s="91">
        <v>41</v>
      </c>
      <c r="N76" s="91"/>
      <c r="O76" s="92" t="str" cm="1">
        <f t="array" ref="O76">_xlfn.IFNA(IF(INDEX(PlayerEntries!$1:$242,ROW(),$L$5+1)&lt;&gt;0,INDEX(PlayerEntries!$1:$242,ROW(),$L$5+1),""),"")</f>
        <v/>
      </c>
      <c r="P76" s="92" t="str" cm="1">
        <f t="array" ref="P76">_xlfn.IFNA(IF(INDEX(PlayerEntries!$1:$242,ROW(),$L$5+2)&lt;&gt;0,INDEX(PlayerEntries!$1:$242,ROW(),$L$5+2),""),"")</f>
        <v/>
      </c>
    </row>
    <row r="77" spans="1:16" x14ac:dyDescent="0.4">
      <c r="A77" s="4" t="str">
        <f>IF(FinalSeedTable[[#This Row],[Player Name]]&lt;&gt;"",1+ROW()-ROW($A$4),"")</f>
        <v/>
      </c>
      <c r="B77" s="4" t="str">
        <f>_xlfn.IFNA(VLOOKUP(FinalSeedTable[[#This Row],[Draw'#]],$M$36:$P$131,3,FALSE),"")</f>
        <v/>
      </c>
      <c r="C77" s="4" t="str">
        <f>_xlfn.IFNA(VLOOKUP(FinalSeedTable[[#This Row],[Draw'#]],$M$36:$P$131,4,FALSE),"")</f>
        <v/>
      </c>
      <c r="D77" s="48"/>
      <c r="M77" s="91">
        <v>42</v>
      </c>
      <c r="N77" s="91"/>
      <c r="O77" s="92" t="str" cm="1">
        <f t="array" ref="O77">_xlfn.IFNA(IF(INDEX(PlayerEntries!$1:$242,ROW(),$L$5+1)&lt;&gt;0,INDEX(PlayerEntries!$1:$242,ROW(),$L$5+1),""),"")</f>
        <v/>
      </c>
      <c r="P77" s="92" t="str" cm="1">
        <f t="array" ref="P77">_xlfn.IFNA(IF(INDEX(PlayerEntries!$1:$242,ROW(),$L$5+2)&lt;&gt;0,INDEX(PlayerEntries!$1:$242,ROW(),$L$5+2),""),"")</f>
        <v/>
      </c>
    </row>
    <row r="78" spans="1:16" x14ac:dyDescent="0.4">
      <c r="A78" s="4" t="str">
        <f>IF(FinalSeedTable[[#This Row],[Player Name]]&lt;&gt;"",1+ROW()-ROW($A$4),"")</f>
        <v/>
      </c>
      <c r="B78" s="4" t="str">
        <f>_xlfn.IFNA(VLOOKUP(FinalSeedTable[[#This Row],[Draw'#]],$M$36:$P$131,3,FALSE),"")</f>
        <v/>
      </c>
      <c r="C78" s="4" t="str">
        <f>_xlfn.IFNA(VLOOKUP(FinalSeedTable[[#This Row],[Draw'#]],$M$36:$P$131,4,FALSE),"")</f>
        <v/>
      </c>
      <c r="D78" s="48"/>
      <c r="M78" s="91">
        <v>43</v>
      </c>
      <c r="N78" s="91"/>
      <c r="O78" s="92" t="str" cm="1">
        <f t="array" ref="O78">_xlfn.IFNA(IF(INDEX(PlayerEntries!$1:$242,ROW(),$L$5+1)&lt;&gt;0,INDEX(PlayerEntries!$1:$242,ROW(),$L$5+1),""),"")</f>
        <v/>
      </c>
      <c r="P78" s="92" t="str" cm="1">
        <f t="array" ref="P78">_xlfn.IFNA(IF(INDEX(PlayerEntries!$1:$242,ROW(),$L$5+2)&lt;&gt;0,INDEX(PlayerEntries!$1:$242,ROW(),$L$5+2),""),"")</f>
        <v/>
      </c>
    </row>
    <row r="79" spans="1:16" x14ac:dyDescent="0.4">
      <c r="A79" s="4" t="str">
        <f>IF(FinalSeedTable[[#This Row],[Player Name]]&lt;&gt;"",1+ROW()-ROW($A$4),"")</f>
        <v/>
      </c>
      <c r="B79" s="4" t="str">
        <f>_xlfn.IFNA(VLOOKUP(FinalSeedTable[[#This Row],[Draw'#]],$M$36:$P$131,3,FALSE),"")</f>
        <v/>
      </c>
      <c r="C79" s="4" t="str">
        <f>_xlfn.IFNA(VLOOKUP(FinalSeedTable[[#This Row],[Draw'#]],$M$36:$P$131,4,FALSE),"")</f>
        <v/>
      </c>
      <c r="D79" s="48"/>
      <c r="H79" s="164" t="e" vm="2">
        <f>$H$13</f>
        <v>#VALUE!</v>
      </c>
      <c r="I79" s="165"/>
      <c r="J79" s="166"/>
      <c r="M79" s="91">
        <v>44</v>
      </c>
      <c r="N79" s="91"/>
      <c r="O79" s="92" t="str" cm="1">
        <f t="array" ref="O79">_xlfn.IFNA(IF(INDEX(PlayerEntries!$1:$242,ROW(),$L$5+1)&lt;&gt;0,INDEX(PlayerEntries!$1:$242,ROW(),$L$5+1),""),"")</f>
        <v/>
      </c>
      <c r="P79" s="92" t="str" cm="1">
        <f t="array" ref="P79">_xlfn.IFNA(IF(INDEX(PlayerEntries!$1:$242,ROW(),$L$5+2)&lt;&gt;0,INDEX(PlayerEntries!$1:$242,ROW(),$L$5+2),""),"")</f>
        <v/>
      </c>
    </row>
    <row r="80" spans="1:16" x14ac:dyDescent="0.4">
      <c r="A80" s="4" t="str">
        <f>IF(FinalSeedTable[[#This Row],[Player Name]]&lt;&gt;"",1+ROW()-ROW($A$4),"")</f>
        <v/>
      </c>
      <c r="B80" s="4" t="str">
        <f>_xlfn.IFNA(VLOOKUP(FinalSeedTable[[#This Row],[Draw'#]],$M$36:$P$131,3,FALSE),"")</f>
        <v/>
      </c>
      <c r="C80" s="4" t="str">
        <f>_xlfn.IFNA(VLOOKUP(FinalSeedTable[[#This Row],[Draw'#]],$M$36:$P$131,4,FALSE),"")</f>
        <v/>
      </c>
      <c r="D80" s="48"/>
      <c r="H80" s="167"/>
      <c r="I80" s="161"/>
      <c r="J80" s="168"/>
      <c r="M80" s="91">
        <v>45</v>
      </c>
      <c r="N80" s="91"/>
      <c r="O80" s="92" t="str" cm="1">
        <f t="array" ref="O80">_xlfn.IFNA(IF(INDEX(PlayerEntries!$1:$242,ROW(),$L$5+1)&lt;&gt;0,INDEX(PlayerEntries!$1:$242,ROW(),$L$5+1),""),"")</f>
        <v/>
      </c>
      <c r="P80" s="92" t="str" cm="1">
        <f t="array" ref="P80">_xlfn.IFNA(IF(INDEX(PlayerEntries!$1:$242,ROW(),$L$5+2)&lt;&gt;0,INDEX(PlayerEntries!$1:$242,ROW(),$L$5+2),""),"")</f>
        <v/>
      </c>
    </row>
    <row r="81" spans="1:16" x14ac:dyDescent="0.4">
      <c r="A81" s="4" t="str">
        <f>IF(FinalSeedTable[[#This Row],[Player Name]]&lt;&gt;"",1+ROW()-ROW($A$4),"")</f>
        <v/>
      </c>
      <c r="B81" s="4" t="str">
        <f>_xlfn.IFNA(VLOOKUP(FinalSeedTable[[#This Row],[Draw'#]],$M$36:$P$131,3,FALSE),"")</f>
        <v/>
      </c>
      <c r="C81" s="4" t="str">
        <f>_xlfn.IFNA(VLOOKUP(FinalSeedTable[[#This Row],[Draw'#]],$M$36:$P$131,4,FALSE),"")</f>
        <v/>
      </c>
      <c r="D81" s="48"/>
      <c r="H81" s="167"/>
      <c r="I81" s="161"/>
      <c r="J81" s="168"/>
      <c r="M81" s="91">
        <v>46</v>
      </c>
      <c r="N81" s="91"/>
      <c r="O81" s="92" t="str" cm="1">
        <f t="array" ref="O81">_xlfn.IFNA(IF(INDEX(PlayerEntries!$1:$242,ROW(),$L$5+1)&lt;&gt;0,INDEX(PlayerEntries!$1:$242,ROW(),$L$5+1),""),"")</f>
        <v/>
      </c>
      <c r="P81" s="92" t="str" cm="1">
        <f t="array" ref="P81">_xlfn.IFNA(IF(INDEX(PlayerEntries!$1:$242,ROW(),$L$5+2)&lt;&gt;0,INDEX(PlayerEntries!$1:$242,ROW(),$L$5+2),""),"")</f>
        <v/>
      </c>
    </row>
    <row r="82" spans="1:16" x14ac:dyDescent="0.4">
      <c r="A82" s="4" t="str">
        <f>IF(FinalSeedTable[[#This Row],[Player Name]]&lt;&gt;"",1+ROW()-ROW($A$4),"")</f>
        <v/>
      </c>
      <c r="B82" s="4" t="str">
        <f>_xlfn.IFNA(VLOOKUP(FinalSeedTable[[#This Row],[Draw'#]],$M$36:$P$131,3,FALSE),"")</f>
        <v/>
      </c>
      <c r="C82" s="4" t="str">
        <f>_xlfn.IFNA(VLOOKUP(FinalSeedTable[[#This Row],[Draw'#]],$M$36:$P$131,4,FALSE),"")</f>
        <v/>
      </c>
      <c r="D82" s="48"/>
      <c r="H82" s="169" t="s">
        <v>19</v>
      </c>
      <c r="I82" s="170"/>
      <c r="J82" s="171"/>
      <c r="M82" s="91">
        <v>47</v>
      </c>
      <c r="N82" s="91"/>
      <c r="O82" s="92" t="str" cm="1">
        <f t="array" ref="O82">_xlfn.IFNA(IF(INDEX(PlayerEntries!$1:$242,ROW(),$L$5+1)&lt;&gt;0,INDEX(PlayerEntries!$1:$242,ROW(),$L$5+1),""),"")</f>
        <v/>
      </c>
      <c r="P82" s="92" t="str" cm="1">
        <f t="array" ref="P82">_xlfn.IFNA(IF(INDEX(PlayerEntries!$1:$242,ROW(),$L$5+2)&lt;&gt;0,INDEX(PlayerEntries!$1:$242,ROW(),$L$5+2),""),"")</f>
        <v/>
      </c>
    </row>
    <row r="83" spans="1:16" x14ac:dyDescent="0.4">
      <c r="A83" s="4" t="str">
        <f>IF(FinalSeedTable[[#This Row],[Player Name]]&lt;&gt;"",1+ROW()-ROW($A$4),"")</f>
        <v/>
      </c>
      <c r="B83" s="4" t="str">
        <f>_xlfn.IFNA(VLOOKUP(FinalSeedTable[[#This Row],[Draw'#]],$M$36:$P$131,3,FALSE),"")</f>
        <v/>
      </c>
      <c r="C83" s="4" t="str">
        <f>_xlfn.IFNA(VLOOKUP(FinalSeedTable[[#This Row],[Draw'#]],$M$36:$P$131,4,FALSE),"")</f>
        <v/>
      </c>
      <c r="D83" s="48"/>
      <c r="M83" s="91">
        <v>48</v>
      </c>
      <c r="N83" s="91"/>
      <c r="O83" s="92" t="str" cm="1">
        <f t="array" ref="O83">_xlfn.IFNA(IF(INDEX(PlayerEntries!$1:$242,ROW(),$L$5+1)&lt;&gt;0,INDEX(PlayerEntries!$1:$242,ROW(),$L$5+1),""),"")</f>
        <v/>
      </c>
      <c r="P83" s="92" t="str" cm="1">
        <f t="array" ref="P83">_xlfn.IFNA(IF(INDEX(PlayerEntries!$1:$242,ROW(),$L$5+2)&lt;&gt;0,INDEX(PlayerEntries!$1:$242,ROW(),$L$5+2),""),"")</f>
        <v/>
      </c>
    </row>
    <row r="84" spans="1:16" x14ac:dyDescent="0.4">
      <c r="A84" s="4" t="str">
        <f>IF(FinalSeedTable[[#This Row],[Player Name]]&lt;&gt;"",1+ROW()-ROW($A$4),"")</f>
        <v/>
      </c>
      <c r="B84" s="4" t="str">
        <f>_xlfn.IFNA(VLOOKUP(FinalSeedTable[[#This Row],[Draw'#]],$M$36:$P$131,3,FALSE),"")</f>
        <v/>
      </c>
      <c r="C84" s="4" t="str">
        <f>_xlfn.IFNA(VLOOKUP(FinalSeedTable[[#This Row],[Draw'#]],$M$36:$P$131,4,FALSE),"")</f>
        <v/>
      </c>
      <c r="D84" s="48"/>
      <c r="H84" s="159" t="str">
        <f>IF($H$18&lt;&gt;0,$H$18,"")</f>
        <v>Tournament iBracket Generated</v>
      </c>
      <c r="I84" s="160"/>
      <c r="J84" s="160"/>
      <c r="M84" s="91">
        <v>49</v>
      </c>
      <c r="N84" s="91"/>
      <c r="O84" s="92" t="str" cm="1">
        <f t="array" ref="O84">_xlfn.IFNA(IF(INDEX(PlayerEntries!$1:$242,ROW(),$L$5+1)&lt;&gt;0,INDEX(PlayerEntries!$1:$242,ROW(),$L$5+1),""),"")</f>
        <v/>
      </c>
      <c r="P84" s="92" t="str" cm="1">
        <f t="array" ref="P84">_xlfn.IFNA(IF(INDEX(PlayerEntries!$1:$242,ROW(),$L$5+2)&lt;&gt;0,INDEX(PlayerEntries!$1:$242,ROW(),$L$5+2),""),"")</f>
        <v/>
      </c>
    </row>
    <row r="85" spans="1:16" x14ac:dyDescent="0.4">
      <c r="A85" s="4" t="str">
        <f>IF(FinalSeedTable[[#This Row],[Player Name]]&lt;&gt;"",1+ROW()-ROW($A$4),"")</f>
        <v/>
      </c>
      <c r="B85" s="4" t="str">
        <f>_xlfn.IFNA(VLOOKUP(FinalSeedTable[[#This Row],[Draw'#]],$M$36:$P$131,3,FALSE),"")</f>
        <v/>
      </c>
      <c r="C85" s="4" t="str">
        <f>_xlfn.IFNA(VLOOKUP(FinalSeedTable[[#This Row],[Draw'#]],$M$36:$P$131,4,FALSE),"")</f>
        <v/>
      </c>
      <c r="D85" s="48"/>
      <c r="H85" s="16" t="str">
        <f>IF($H$19&lt;&gt;0,$H$19,"")</f>
        <v/>
      </c>
      <c r="I85" s="162" t="str">
        <f>IF($I$19&lt;&gt;0,$I$19,"")</f>
        <v/>
      </c>
      <c r="J85" s="163"/>
      <c r="M85" s="91">
        <v>50</v>
      </c>
      <c r="N85" s="91"/>
      <c r="O85" s="92" t="str" cm="1">
        <f t="array" ref="O85">_xlfn.IFNA(IF(INDEX(PlayerEntries!$1:$242,ROW(),$L$5+1)&lt;&gt;0,INDEX(PlayerEntries!$1:$242,ROW(),$L$5+1),""),"")</f>
        <v/>
      </c>
      <c r="P85" s="92" t="str" cm="1">
        <f t="array" ref="P85">_xlfn.IFNA(IF(INDEX(PlayerEntries!$1:$242,ROW(),$L$5+2)&lt;&gt;0,INDEX(PlayerEntries!$1:$242,ROW(),$L$5+2),""),"")</f>
        <v/>
      </c>
    </row>
    <row r="86" spans="1:16" x14ac:dyDescent="0.4">
      <c r="A86" s="4" t="str">
        <f>IF(FinalSeedTable[[#This Row],[Player Name]]&lt;&gt;"",1+ROW()-ROW($A$4),"")</f>
        <v/>
      </c>
      <c r="B86" s="4" t="str">
        <f>_xlfn.IFNA(VLOOKUP(FinalSeedTable[[#This Row],[Draw'#]],$M$36:$P$131,3,FALSE),"")</f>
        <v/>
      </c>
      <c r="C86" s="4" t="str">
        <f>_xlfn.IFNA(VLOOKUP(FinalSeedTable[[#This Row],[Draw'#]],$M$36:$P$131,4,FALSE),"")</f>
        <v/>
      </c>
      <c r="D86" s="48"/>
      <c r="M86" s="91">
        <v>51</v>
      </c>
      <c r="N86" s="91"/>
      <c r="O86" s="92" t="str" cm="1">
        <f t="array" ref="O86">_xlfn.IFNA(IF(INDEX(PlayerEntries!$1:$242,ROW(),$L$5+1)&lt;&gt;0,INDEX(PlayerEntries!$1:$242,ROW(),$L$5+1),""),"")</f>
        <v/>
      </c>
      <c r="P86" s="92" t="str" cm="1">
        <f t="array" ref="P86">_xlfn.IFNA(IF(INDEX(PlayerEntries!$1:$242,ROW(),$L$5+2)&lt;&gt;0,INDEX(PlayerEntries!$1:$242,ROW(),$L$5+2),""),"")</f>
        <v/>
      </c>
    </row>
    <row r="87" spans="1:16" x14ac:dyDescent="0.4">
      <c r="A87" s="4" t="str">
        <f>IF(FinalSeedTable[[#This Row],[Player Name]]&lt;&gt;"",1+ROW()-ROW($A$4),"")</f>
        <v/>
      </c>
      <c r="B87" s="4" t="str">
        <f>_xlfn.IFNA(VLOOKUP(FinalSeedTable[[#This Row],[Draw'#]],$M$36:$P$131,3,FALSE),"")</f>
        <v/>
      </c>
      <c r="C87" s="4" t="str">
        <f>_xlfn.IFNA(VLOOKUP(FinalSeedTable[[#This Row],[Draw'#]],$M$36:$P$131,4,FALSE),"")</f>
        <v/>
      </c>
      <c r="D87" s="48"/>
      <c r="M87" s="91">
        <v>52</v>
      </c>
      <c r="N87" s="91"/>
      <c r="O87" s="92" t="str" cm="1">
        <f t="array" ref="O87">_xlfn.IFNA(IF(INDEX(PlayerEntries!$1:$242,ROW(),$L$5+1)&lt;&gt;0,INDEX(PlayerEntries!$1:$242,ROW(),$L$5+1),""),"")</f>
        <v/>
      </c>
      <c r="P87" s="92" t="str" cm="1">
        <f t="array" ref="P87">_xlfn.IFNA(IF(INDEX(PlayerEntries!$1:$242,ROW(),$L$5+2)&lt;&gt;0,INDEX(PlayerEntries!$1:$242,ROW(),$L$5+2),""),"")</f>
        <v/>
      </c>
    </row>
    <row r="88" spans="1:16" x14ac:dyDescent="0.4">
      <c r="A88" s="4" t="str">
        <f>IF(FinalSeedTable[[#This Row],[Player Name]]&lt;&gt;"",1+ROW()-ROW($A$4),"")</f>
        <v/>
      </c>
      <c r="B88" s="4" t="str">
        <f>_xlfn.IFNA(VLOOKUP(FinalSeedTable[[#This Row],[Draw'#]],$M$36:$P$131,3,FALSE),"")</f>
        <v/>
      </c>
      <c r="C88" s="4" t="str">
        <f>_xlfn.IFNA(VLOOKUP(FinalSeedTable[[#This Row],[Draw'#]],$M$36:$P$131,4,FALSE),"")</f>
        <v/>
      </c>
      <c r="D88" s="48"/>
      <c r="M88" s="91">
        <v>53</v>
      </c>
      <c r="N88" s="91"/>
      <c r="O88" s="92" t="str" cm="1">
        <f t="array" ref="O88">_xlfn.IFNA(IF(INDEX(PlayerEntries!$1:$242,ROW(),$L$5+1)&lt;&gt;0,INDEX(PlayerEntries!$1:$242,ROW(),$L$5+1),""),"")</f>
        <v/>
      </c>
      <c r="P88" s="92" t="str" cm="1">
        <f t="array" ref="P88">_xlfn.IFNA(IF(INDEX(PlayerEntries!$1:$242,ROW(),$L$5+2)&lt;&gt;0,INDEX(PlayerEntries!$1:$242,ROW(),$L$5+2),""),"")</f>
        <v/>
      </c>
    </row>
    <row r="89" spans="1:16" x14ac:dyDescent="0.4">
      <c r="A89" s="4" t="str">
        <f>IF(FinalSeedTable[[#This Row],[Player Name]]&lt;&gt;"",1+ROW()-ROW($A$4),"")</f>
        <v/>
      </c>
      <c r="B89" s="4" t="str">
        <f>_xlfn.IFNA(VLOOKUP(FinalSeedTable[[#This Row],[Draw'#]],$M$36:$P$131,3,FALSE),"")</f>
        <v/>
      </c>
      <c r="C89" s="4" t="str">
        <f>_xlfn.IFNA(VLOOKUP(FinalSeedTable[[#This Row],[Draw'#]],$M$36:$P$131,4,FALSE),"")</f>
        <v/>
      </c>
      <c r="D89" s="48"/>
      <c r="M89" s="91">
        <v>54</v>
      </c>
      <c r="N89" s="91"/>
      <c r="O89" s="92" t="str" cm="1">
        <f t="array" ref="O89">_xlfn.IFNA(IF(INDEX(PlayerEntries!$1:$242,ROW(),$L$5+1)&lt;&gt;0,INDEX(PlayerEntries!$1:$242,ROW(),$L$5+1),""),"")</f>
        <v/>
      </c>
      <c r="P89" s="92" t="str" cm="1">
        <f t="array" ref="P89">_xlfn.IFNA(IF(INDEX(PlayerEntries!$1:$242,ROW(),$L$5+2)&lt;&gt;0,INDEX(PlayerEntries!$1:$242,ROW(),$L$5+2),""),"")</f>
        <v/>
      </c>
    </row>
    <row r="90" spans="1:16" x14ac:dyDescent="0.4">
      <c r="A90" s="4" t="str">
        <f>IF(FinalSeedTable[[#This Row],[Player Name]]&lt;&gt;"",1+ROW()-ROW($A$4),"")</f>
        <v/>
      </c>
      <c r="B90" s="4" t="str">
        <f>_xlfn.IFNA(VLOOKUP(FinalSeedTable[[#This Row],[Draw'#]],$M$36:$P$131,3,FALSE),"")</f>
        <v/>
      </c>
      <c r="C90" s="4" t="str">
        <f>_xlfn.IFNA(VLOOKUP(FinalSeedTable[[#This Row],[Draw'#]],$M$36:$P$131,4,FALSE),"")</f>
        <v/>
      </c>
      <c r="D90" s="48"/>
      <c r="M90" s="91">
        <v>55</v>
      </c>
      <c r="N90" s="91"/>
      <c r="O90" s="92" t="str" cm="1">
        <f t="array" ref="O90">_xlfn.IFNA(IF(INDEX(PlayerEntries!$1:$242,ROW(),$L$5+1)&lt;&gt;0,INDEX(PlayerEntries!$1:$242,ROW(),$L$5+1),""),"")</f>
        <v/>
      </c>
      <c r="P90" s="92" t="str" cm="1">
        <f t="array" ref="P90">_xlfn.IFNA(IF(INDEX(PlayerEntries!$1:$242,ROW(),$L$5+2)&lt;&gt;0,INDEX(PlayerEntries!$1:$242,ROW(),$L$5+2),""),"")</f>
        <v/>
      </c>
    </row>
    <row r="91" spans="1:16" x14ac:dyDescent="0.4">
      <c r="A91" s="4" t="str">
        <f>IF(FinalSeedTable[[#This Row],[Player Name]]&lt;&gt;"",1+ROW()-ROW($A$4),"")</f>
        <v/>
      </c>
      <c r="B91" s="4" t="str">
        <f>_xlfn.IFNA(VLOOKUP(FinalSeedTable[[#This Row],[Draw'#]],$M$36:$P$131,3,FALSE),"")</f>
        <v/>
      </c>
      <c r="C91" s="4" t="str">
        <f>_xlfn.IFNA(VLOOKUP(FinalSeedTable[[#This Row],[Draw'#]],$M$36:$P$131,4,FALSE),"")</f>
        <v/>
      </c>
      <c r="D91" s="48"/>
      <c r="M91" s="52">
        <v>56</v>
      </c>
      <c r="N91" s="52"/>
      <c r="O91" s="77" t="str" cm="1">
        <f t="array" ref="O91">_xlfn.IFNA(IF(INDEX(PlayerEntries!$1:$242,ROW(),$L$5+1)&lt;&gt;0,INDEX(PlayerEntries!$1:$242,ROW(),$L$5+1),""),"")</f>
        <v/>
      </c>
      <c r="P91" s="77" t="str" cm="1">
        <f t="array" ref="P91">_xlfn.IFNA(IF(INDEX(PlayerEntries!$1:$242,ROW(),$L$5+2)&lt;&gt;0,INDEX(PlayerEntries!$1:$242,ROW(),$L$5+2),""),"")</f>
        <v/>
      </c>
    </row>
    <row r="92" spans="1:16" x14ac:dyDescent="0.4">
      <c r="A92" s="4" t="str">
        <f>IF(FinalSeedTable[[#This Row],[Player Name]]&lt;&gt;"",1+ROW()-ROW($A$4),"")</f>
        <v/>
      </c>
      <c r="B92" s="4" t="str">
        <f>_xlfn.IFNA(VLOOKUP(FinalSeedTable[[#This Row],[Draw'#]],$M$36:$P$131,3,FALSE),"")</f>
        <v/>
      </c>
      <c r="C92" s="4" t="str">
        <f>_xlfn.IFNA(VLOOKUP(FinalSeedTable[[#This Row],[Draw'#]],$M$36:$P$131,4,FALSE),"")</f>
        <v/>
      </c>
      <c r="D92" s="48"/>
      <c r="M92" s="52">
        <v>57</v>
      </c>
      <c r="N92" s="52"/>
      <c r="O92" s="77" t="str" cm="1">
        <f t="array" ref="O92">_xlfn.IFNA(IF(INDEX(PlayerEntries!$1:$242,ROW(),$L$5+1)&lt;&gt;0,INDEX(PlayerEntries!$1:$242,ROW(),$L$5+1),""),"")</f>
        <v/>
      </c>
      <c r="P92" s="77" t="str" cm="1">
        <f t="array" ref="P92">_xlfn.IFNA(IF(INDEX(PlayerEntries!$1:$242,ROW(),$L$5+2)&lt;&gt;0,INDEX(PlayerEntries!$1:$242,ROW(),$L$5+2),""),"")</f>
        <v/>
      </c>
    </row>
    <row r="93" spans="1:16" x14ac:dyDescent="0.4">
      <c r="A93" s="4" t="str">
        <f>IF(FinalSeedTable[[#This Row],[Player Name]]&lt;&gt;"",1+ROW()-ROW($A$4),"")</f>
        <v/>
      </c>
      <c r="B93" s="4" t="str">
        <f>_xlfn.IFNA(VLOOKUP(FinalSeedTable[[#This Row],[Draw'#]],$M$36:$P$131,3,FALSE),"")</f>
        <v/>
      </c>
      <c r="C93" s="4" t="str">
        <f>_xlfn.IFNA(VLOOKUP(FinalSeedTable[[#This Row],[Draw'#]],$M$36:$P$131,4,FALSE),"")</f>
        <v/>
      </c>
      <c r="D93" s="48"/>
      <c r="M93" s="52">
        <v>58</v>
      </c>
      <c r="N93" s="52"/>
      <c r="O93" s="77" t="str" cm="1">
        <f t="array" ref="O93">_xlfn.IFNA(IF(INDEX(PlayerEntries!$1:$242,ROW(),$L$5+1)&lt;&gt;0,INDEX(PlayerEntries!$1:$242,ROW(),$L$5+1),""),"")</f>
        <v/>
      </c>
      <c r="P93" s="77" t="str" cm="1">
        <f t="array" ref="P93">_xlfn.IFNA(IF(INDEX(PlayerEntries!$1:$242,ROW(),$L$5+2)&lt;&gt;0,INDEX(PlayerEntries!$1:$242,ROW(),$L$5+2),""),"")</f>
        <v/>
      </c>
    </row>
    <row r="94" spans="1:16" x14ac:dyDescent="0.4">
      <c r="A94" s="4" t="str">
        <f>IF(FinalSeedTable[[#This Row],[Player Name]]&lt;&gt;"",1+ROW()-ROW($A$4),"")</f>
        <v/>
      </c>
      <c r="B94" s="4" t="str">
        <f>_xlfn.IFNA(VLOOKUP(FinalSeedTable[[#This Row],[Draw'#]],$M$36:$P$131,3,FALSE),"")</f>
        <v/>
      </c>
      <c r="C94" s="4" t="str">
        <f>_xlfn.IFNA(VLOOKUP(FinalSeedTable[[#This Row],[Draw'#]],$M$36:$P$131,4,FALSE),"")</f>
        <v/>
      </c>
      <c r="D94" s="48"/>
      <c r="M94" s="52">
        <v>59</v>
      </c>
      <c r="N94" s="52"/>
      <c r="O94" s="77" t="str" cm="1">
        <f t="array" ref="O94">_xlfn.IFNA(IF(INDEX(PlayerEntries!$1:$242,ROW(),$L$5+1)&lt;&gt;0,INDEX(PlayerEntries!$1:$242,ROW(),$L$5+1),""),"")</f>
        <v/>
      </c>
      <c r="P94" s="77" t="str" cm="1">
        <f t="array" ref="P94">_xlfn.IFNA(IF(INDEX(PlayerEntries!$1:$242,ROW(),$L$5+2)&lt;&gt;0,INDEX(PlayerEntries!$1:$242,ROW(),$L$5+2),""),"")</f>
        <v/>
      </c>
    </row>
    <row r="95" spans="1:16" x14ac:dyDescent="0.4">
      <c r="A95" s="4" t="str">
        <f>IF(FinalSeedTable[[#This Row],[Player Name]]&lt;&gt;"",1+ROW()-ROW($A$4),"")</f>
        <v/>
      </c>
      <c r="B95" s="4" t="str">
        <f>_xlfn.IFNA(VLOOKUP(FinalSeedTable[[#This Row],[Draw'#]],$M$36:$P$131,3,FALSE),"")</f>
        <v/>
      </c>
      <c r="C95" s="4" t="str">
        <f>_xlfn.IFNA(VLOOKUP(FinalSeedTable[[#This Row],[Draw'#]],$M$36:$P$131,4,FALSE),"")</f>
        <v/>
      </c>
      <c r="D95" s="48"/>
      <c r="M95" s="52">
        <v>60</v>
      </c>
      <c r="N95" s="52"/>
      <c r="O95" s="77" t="str" cm="1">
        <f t="array" ref="O95">_xlfn.IFNA(IF(INDEX(PlayerEntries!$1:$242,ROW(),$L$5+1)&lt;&gt;0,INDEX(PlayerEntries!$1:$242,ROW(),$L$5+1),""),"")</f>
        <v/>
      </c>
      <c r="P95" s="77" t="str" cm="1">
        <f t="array" ref="P95">_xlfn.IFNA(IF(INDEX(PlayerEntries!$1:$242,ROW(),$L$5+2)&lt;&gt;0,INDEX(PlayerEntries!$1:$242,ROW(),$L$5+2),""),"")</f>
        <v/>
      </c>
    </row>
    <row r="96" spans="1:16" x14ac:dyDescent="0.4">
      <c r="A96" s="4" t="str">
        <f>IF(FinalSeedTable[[#This Row],[Player Name]]&lt;&gt;"",1+ROW()-ROW($A$4),"")</f>
        <v/>
      </c>
      <c r="B96" s="4" t="str">
        <f>_xlfn.IFNA(VLOOKUP(FinalSeedTable[[#This Row],[Draw'#]],$M$36:$P$131,3,FALSE),"")</f>
        <v/>
      </c>
      <c r="C96" s="4" t="str">
        <f>_xlfn.IFNA(VLOOKUP(FinalSeedTable[[#This Row],[Draw'#]],$M$36:$P$131,4,FALSE),"")</f>
        <v/>
      </c>
      <c r="D96" s="48"/>
      <c r="M96" s="52">
        <v>61</v>
      </c>
      <c r="N96" s="52"/>
      <c r="O96" s="77" t="str" cm="1">
        <f t="array" ref="O96">_xlfn.IFNA(IF(INDEX(PlayerEntries!$1:$242,ROW(),$L$5+1)&lt;&gt;0,INDEX(PlayerEntries!$1:$242,ROW(),$L$5+1),""),"")</f>
        <v/>
      </c>
      <c r="P96" s="77" t="str" cm="1">
        <f t="array" ref="P96">_xlfn.IFNA(IF(INDEX(PlayerEntries!$1:$242,ROW(),$L$5+2)&lt;&gt;0,INDEX(PlayerEntries!$1:$242,ROW(),$L$5+2),""),"")</f>
        <v/>
      </c>
    </row>
    <row r="97" spans="1:16" x14ac:dyDescent="0.4">
      <c r="A97" s="4" t="str">
        <f>IF(FinalSeedTable[[#This Row],[Player Name]]&lt;&gt;"",1+ROW()-ROW($A$4),"")</f>
        <v/>
      </c>
      <c r="B97" s="4" t="str">
        <f>_xlfn.IFNA(VLOOKUP(FinalSeedTable[[#This Row],[Draw'#]],$M$36:$P$131,3,FALSE),"")</f>
        <v/>
      </c>
      <c r="C97" s="4" t="str">
        <f>_xlfn.IFNA(VLOOKUP(FinalSeedTable[[#This Row],[Draw'#]],$M$36:$P$131,4,FALSE),"")</f>
        <v/>
      </c>
      <c r="D97" s="48"/>
      <c r="M97" s="52">
        <v>62</v>
      </c>
      <c r="N97" s="52"/>
      <c r="O97" s="77" t="str" cm="1">
        <f t="array" ref="O97">_xlfn.IFNA(IF(INDEX(PlayerEntries!$1:$242,ROW(),$L$5+1)&lt;&gt;0,INDEX(PlayerEntries!$1:$242,ROW(),$L$5+1),""),"")</f>
        <v/>
      </c>
      <c r="P97" s="77" t="str" cm="1">
        <f t="array" ref="P97">_xlfn.IFNA(IF(INDEX(PlayerEntries!$1:$242,ROW(),$L$5+2)&lt;&gt;0,INDEX(PlayerEntries!$1:$242,ROW(),$L$5+2),""),"")</f>
        <v/>
      </c>
    </row>
    <row r="98" spans="1:16" x14ac:dyDescent="0.4">
      <c r="A98" s="4" t="str">
        <f>IF(FinalSeedTable[[#This Row],[Player Name]]&lt;&gt;"",1+ROW()-ROW($A$4),"")</f>
        <v/>
      </c>
      <c r="B98" s="4" t="str">
        <f>_xlfn.IFNA(VLOOKUP(FinalSeedTable[[#This Row],[Draw'#]],$M$36:$P$131,3,FALSE),"")</f>
        <v/>
      </c>
      <c r="C98" s="4" t="str">
        <f>_xlfn.IFNA(VLOOKUP(FinalSeedTable[[#This Row],[Draw'#]],$M$36:$P$131,4,FALSE),"")</f>
        <v/>
      </c>
      <c r="D98" s="48"/>
      <c r="M98" s="52">
        <v>63</v>
      </c>
      <c r="N98" s="52"/>
      <c r="O98" s="77" t="str" cm="1">
        <f t="array" ref="O98">_xlfn.IFNA(IF(INDEX(PlayerEntries!$1:$242,ROW(),$L$5+1)&lt;&gt;0,INDEX(PlayerEntries!$1:$242,ROW(),$L$5+1),""),"")</f>
        <v/>
      </c>
      <c r="P98" s="77" t="str" cm="1">
        <f t="array" ref="P98">_xlfn.IFNA(IF(INDEX(PlayerEntries!$1:$242,ROW(),$L$5+2)&lt;&gt;0,INDEX(PlayerEntries!$1:$242,ROW(),$L$5+2),""),"")</f>
        <v/>
      </c>
    </row>
    <row r="99" spans="1:16" x14ac:dyDescent="0.4">
      <c r="A99" s="4" t="str">
        <f>IF(FinalSeedTable[[#This Row],[Player Name]]&lt;&gt;"",1+ROW()-ROW($A$4),"")</f>
        <v/>
      </c>
      <c r="B99" s="4" t="str">
        <f>_xlfn.IFNA(VLOOKUP(FinalSeedTable[[#This Row],[Draw'#]],$M$36:$P$131,3,FALSE),"")</f>
        <v/>
      </c>
      <c r="C99" s="4" t="str">
        <f>_xlfn.IFNA(VLOOKUP(FinalSeedTable[[#This Row],[Draw'#]],$M$36:$P$131,4,FALSE),"")</f>
        <v/>
      </c>
      <c r="D99" s="48"/>
      <c r="M99" s="52">
        <v>64</v>
      </c>
      <c r="N99" s="52"/>
      <c r="O99" s="77" t="str" cm="1">
        <f t="array" ref="O99">_xlfn.IFNA(IF(INDEX(PlayerEntries!$1:$242,ROW(),$L$5+1)&lt;&gt;0,INDEX(PlayerEntries!$1:$242,ROW(),$L$5+1),""),"")</f>
        <v/>
      </c>
      <c r="P99" s="77" t="str" cm="1">
        <f t="array" ref="P99">_xlfn.IFNA(IF(INDEX(PlayerEntries!$1:$242,ROW(),$L$5+2)&lt;&gt;0,INDEX(PlayerEntries!$1:$242,ROW(),$L$5+2),""),"")</f>
        <v/>
      </c>
    </row>
    <row r="100" spans="1:16" x14ac:dyDescent="0.4">
      <c r="A100" s="4" t="str">
        <f>IF(FinalSeedTable[[#This Row],[Player Name]]&lt;&gt;"",1+ROW()-ROW($A$4),"")</f>
        <v/>
      </c>
      <c r="B100" s="4" t="str">
        <f>_xlfn.IFNA(VLOOKUP(FinalSeedTable[[#This Row],[Draw'#]],$M$36:$P$131,3,FALSE),"")</f>
        <v/>
      </c>
      <c r="C100" s="4" t="str">
        <f>_xlfn.IFNA(VLOOKUP(FinalSeedTable[[#This Row],[Draw'#]],$M$36:$P$131,4,FALSE),"")</f>
        <v/>
      </c>
      <c r="D100" s="48"/>
      <c r="M100" s="52">
        <v>65</v>
      </c>
      <c r="N100" s="52"/>
      <c r="O100" s="77" t="str" cm="1">
        <f t="array" ref="O100">_xlfn.IFNA(IF(INDEX(PlayerEntries!$1:$242,ROW(),$L$5+1)&lt;&gt;0,INDEX(PlayerEntries!$1:$242,ROW(),$L$5+1),""),"")</f>
        <v/>
      </c>
      <c r="P100" s="77" t="str" cm="1">
        <f t="array" ref="P100">_xlfn.IFNA(IF(INDEX(PlayerEntries!$1:$242,ROW(),$L$5+2)&lt;&gt;0,INDEX(PlayerEntries!$1:$242,ROW(),$L$5+2),""),"")</f>
        <v/>
      </c>
    </row>
    <row r="101" spans="1:16" x14ac:dyDescent="0.4">
      <c r="A101" s="4" t="str">
        <f>IF(FinalSeedTable[[#This Row],[Player Name]]&lt;&gt;"",1+ROW()-ROW($A$4),"")</f>
        <v/>
      </c>
      <c r="B101" s="4" t="str">
        <f>_xlfn.IFNA(VLOOKUP(FinalSeedTable[[#This Row],[Draw'#]],$M$36:$P$131,3,FALSE),"")</f>
        <v/>
      </c>
      <c r="C101" s="4" t="str">
        <f>_xlfn.IFNA(VLOOKUP(FinalSeedTable[[#This Row],[Draw'#]],$M$36:$P$131,4,FALSE),"")</f>
        <v/>
      </c>
      <c r="D101" s="48"/>
      <c r="H101" s="164" t="e" vm="2">
        <f>$H$13</f>
        <v>#VALUE!</v>
      </c>
      <c r="I101" s="165"/>
      <c r="J101" s="166"/>
      <c r="M101" s="52">
        <v>66</v>
      </c>
      <c r="N101" s="52"/>
      <c r="O101" s="77" t="str" cm="1">
        <f t="array" ref="O101">_xlfn.IFNA(IF(INDEX(PlayerEntries!$1:$242,ROW(),$L$5+1)&lt;&gt;0,INDEX(PlayerEntries!$1:$242,ROW(),$L$5+1),""),"")</f>
        <v/>
      </c>
      <c r="P101" s="77" t="str" cm="1">
        <f t="array" ref="P101">_xlfn.IFNA(IF(INDEX(PlayerEntries!$1:$242,ROW(),$L$5+2)&lt;&gt;0,INDEX(PlayerEntries!$1:$242,ROW(),$L$5+2),""),"")</f>
        <v/>
      </c>
    </row>
    <row r="102" spans="1:16" x14ac:dyDescent="0.4">
      <c r="A102" s="4" t="str">
        <f>IF(FinalSeedTable[[#This Row],[Player Name]]&lt;&gt;"",1+ROW()-ROW($A$4),"")</f>
        <v/>
      </c>
      <c r="B102" s="4" t="str">
        <f>_xlfn.IFNA(VLOOKUP(FinalSeedTable[[#This Row],[Draw'#]],$M$36:$P$131,3,FALSE),"")</f>
        <v/>
      </c>
      <c r="C102" s="4" t="str">
        <f>_xlfn.IFNA(VLOOKUP(FinalSeedTable[[#This Row],[Draw'#]],$M$36:$P$131,4,FALSE),"")</f>
        <v/>
      </c>
      <c r="D102" s="48"/>
      <c r="H102" s="167"/>
      <c r="I102" s="161"/>
      <c r="J102" s="168"/>
      <c r="M102" s="52">
        <v>67</v>
      </c>
      <c r="N102" s="52"/>
      <c r="O102" s="77" t="str" cm="1">
        <f t="array" ref="O102">_xlfn.IFNA(IF(INDEX(PlayerEntries!$1:$242,ROW(),$L$5+1)&lt;&gt;0,INDEX(PlayerEntries!$1:$242,ROW(),$L$5+1),""),"")</f>
        <v/>
      </c>
      <c r="P102" s="77" t="str" cm="1">
        <f t="array" ref="P102">_xlfn.IFNA(IF(INDEX(PlayerEntries!$1:$242,ROW(),$L$5+2)&lt;&gt;0,INDEX(PlayerEntries!$1:$242,ROW(),$L$5+2),""),"")</f>
        <v/>
      </c>
    </row>
    <row r="103" spans="1:16" x14ac:dyDescent="0.4">
      <c r="A103" s="4" t="str">
        <f>IF(FinalSeedTable[[#This Row],[Player Name]]&lt;&gt;"",1+ROW()-ROW($A$4),"")</f>
        <v/>
      </c>
      <c r="B103" s="4" t="str">
        <f>_xlfn.IFNA(VLOOKUP(FinalSeedTable[[#This Row],[Draw'#]],$M$36:$P$131,3,FALSE),"")</f>
        <v/>
      </c>
      <c r="C103" s="4" t="str">
        <f>_xlfn.IFNA(VLOOKUP(FinalSeedTable[[#This Row],[Draw'#]],$M$36:$P$131,4,FALSE),"")</f>
        <v/>
      </c>
      <c r="D103" s="48"/>
      <c r="H103" s="167"/>
      <c r="I103" s="161"/>
      <c r="J103" s="168"/>
      <c r="M103" s="52">
        <v>68</v>
      </c>
      <c r="N103" s="52"/>
      <c r="O103" s="77" t="str" cm="1">
        <f t="array" ref="O103">_xlfn.IFNA(IF(INDEX(PlayerEntries!$1:$242,ROW(),$L$5+1)&lt;&gt;0,INDEX(PlayerEntries!$1:$242,ROW(),$L$5+1),""),"")</f>
        <v/>
      </c>
      <c r="P103" s="77" t="str" cm="1">
        <f t="array" ref="P103">_xlfn.IFNA(IF(INDEX(PlayerEntries!$1:$242,ROW(),$L$5+2)&lt;&gt;0,INDEX(PlayerEntries!$1:$242,ROW(),$L$5+2),""),"")</f>
        <v/>
      </c>
    </row>
    <row r="104" spans="1:16" x14ac:dyDescent="0.4">
      <c r="A104" s="4" t="str">
        <f>IF(FinalSeedTable[[#This Row],[Player Name]]&lt;&gt;"",1+ROW()-ROW($A$4),"")</f>
        <v/>
      </c>
      <c r="B104" s="4" t="str">
        <f>_xlfn.IFNA(VLOOKUP(FinalSeedTable[[#This Row],[Draw'#]],$M$36:$P$131,3,FALSE),"")</f>
        <v/>
      </c>
      <c r="C104" s="4" t="str">
        <f>_xlfn.IFNA(VLOOKUP(FinalSeedTable[[#This Row],[Draw'#]],$M$36:$P$131,4,FALSE),"")</f>
        <v/>
      </c>
      <c r="D104" s="48"/>
      <c r="H104" s="169" t="s">
        <v>19</v>
      </c>
      <c r="I104" s="170"/>
      <c r="J104" s="171"/>
      <c r="M104" s="52">
        <v>69</v>
      </c>
      <c r="N104" s="52"/>
      <c r="O104" s="77" t="str" cm="1">
        <f t="array" ref="O104">_xlfn.IFNA(IF(INDEX(PlayerEntries!$1:$242,ROW(),$L$5+1)&lt;&gt;0,INDEX(PlayerEntries!$1:$242,ROW(),$L$5+1),""),"")</f>
        <v/>
      </c>
      <c r="P104" s="77" t="str" cm="1">
        <f t="array" ref="P104">_xlfn.IFNA(IF(INDEX(PlayerEntries!$1:$242,ROW(),$L$5+2)&lt;&gt;0,INDEX(PlayerEntries!$1:$242,ROW(),$L$5+2),""),"")</f>
        <v/>
      </c>
    </row>
    <row r="105" spans="1:16" x14ac:dyDescent="0.4">
      <c r="A105" s="4" t="str">
        <f>IF(FinalSeedTable[[#This Row],[Player Name]]&lt;&gt;"",1+ROW()-ROW($A$4),"")</f>
        <v/>
      </c>
      <c r="B105" s="4" t="str">
        <f>_xlfn.IFNA(VLOOKUP(FinalSeedTable[[#This Row],[Draw'#]],$M$36:$P$131,3,FALSE),"")</f>
        <v/>
      </c>
      <c r="C105" s="4" t="str">
        <f>_xlfn.IFNA(VLOOKUP(FinalSeedTable[[#This Row],[Draw'#]],$M$36:$P$131,4,FALSE),"")</f>
        <v/>
      </c>
      <c r="D105" s="48"/>
      <c r="M105" s="52">
        <v>70</v>
      </c>
      <c r="N105" s="52"/>
      <c r="O105" s="77" t="str" cm="1">
        <f t="array" ref="O105">_xlfn.IFNA(IF(INDEX(PlayerEntries!$1:$242,ROW(),$L$5+1)&lt;&gt;0,INDEX(PlayerEntries!$1:$242,ROW(),$L$5+1),""),"")</f>
        <v/>
      </c>
      <c r="P105" s="77" t="str" cm="1">
        <f t="array" ref="P105">_xlfn.IFNA(IF(INDEX(PlayerEntries!$1:$242,ROW(),$L$5+2)&lt;&gt;0,INDEX(PlayerEntries!$1:$242,ROW(),$L$5+2),""),"")</f>
        <v/>
      </c>
    </row>
    <row r="106" spans="1:16" x14ac:dyDescent="0.4">
      <c r="A106" s="4" t="str">
        <f>IF(FinalSeedTable[[#This Row],[Player Name]]&lt;&gt;"",1+ROW()-ROW($A$4),"")</f>
        <v/>
      </c>
      <c r="B106" s="4" t="str">
        <f>_xlfn.IFNA(VLOOKUP(FinalSeedTable[[#This Row],[Draw'#]],$M$36:$P$131,3,FALSE),"")</f>
        <v/>
      </c>
      <c r="C106" s="4" t="str">
        <f>_xlfn.IFNA(VLOOKUP(FinalSeedTable[[#This Row],[Draw'#]],$M$36:$P$131,4,FALSE),"")</f>
        <v/>
      </c>
      <c r="D106" s="48"/>
      <c r="H106" s="159" t="str">
        <f>IF($H$18&lt;&gt;0,$H$18,"")</f>
        <v>Tournament iBracket Generated</v>
      </c>
      <c r="I106" s="160"/>
      <c r="J106" s="160"/>
      <c r="M106" s="52">
        <v>71</v>
      </c>
      <c r="N106" s="52"/>
      <c r="O106" s="77" t="str" cm="1">
        <f t="array" ref="O106">_xlfn.IFNA(IF(INDEX(PlayerEntries!$1:$242,ROW(),$L$5+1)&lt;&gt;0,INDEX(PlayerEntries!$1:$242,ROW(),$L$5+1),""),"")</f>
        <v/>
      </c>
      <c r="P106" s="77" t="str" cm="1">
        <f t="array" ref="P106">_xlfn.IFNA(IF(INDEX(PlayerEntries!$1:$242,ROW(),$L$5+2)&lt;&gt;0,INDEX(PlayerEntries!$1:$242,ROW(),$L$5+2),""),"")</f>
        <v/>
      </c>
    </row>
    <row r="107" spans="1:16" x14ac:dyDescent="0.4">
      <c r="A107" s="4" t="str">
        <f>IF(FinalSeedTable[[#This Row],[Player Name]]&lt;&gt;"",1+ROW()-ROW($A$4),"")</f>
        <v/>
      </c>
      <c r="B107" s="4" t="str">
        <f>_xlfn.IFNA(VLOOKUP(FinalSeedTable[[#This Row],[Draw'#]],$M$36:$P$131,3,FALSE),"")</f>
        <v/>
      </c>
      <c r="C107" s="4" t="str">
        <f>_xlfn.IFNA(VLOOKUP(FinalSeedTable[[#This Row],[Draw'#]],$M$36:$P$131,4,FALSE),"")</f>
        <v/>
      </c>
      <c r="D107" s="48"/>
      <c r="H107" s="13" t="str">
        <f>IF($H$19&lt;&gt;0,$H$19,"")</f>
        <v/>
      </c>
      <c r="I107" s="172" t="str">
        <f>IF($I$19&lt;&gt;0,$I$19,"")</f>
        <v/>
      </c>
      <c r="J107" s="173"/>
      <c r="M107" s="52">
        <v>72</v>
      </c>
      <c r="N107" s="52"/>
      <c r="O107" s="77" t="str" cm="1">
        <f t="array" ref="O107">_xlfn.IFNA(IF(INDEX(PlayerEntries!$1:$242,ROW(),$L$5+1)&lt;&gt;0,INDEX(PlayerEntries!$1:$242,ROW(),$L$5+1),""),"")</f>
        <v/>
      </c>
      <c r="P107" s="77" t="str" cm="1">
        <f t="array" ref="P107">_xlfn.IFNA(IF(INDEX(PlayerEntries!$1:$242,ROW(),$L$5+2)&lt;&gt;0,INDEX(PlayerEntries!$1:$242,ROW(),$L$5+2),""),"")</f>
        <v/>
      </c>
    </row>
    <row r="108" spans="1:16" x14ac:dyDescent="0.4">
      <c r="A108" s="4" t="str">
        <f>IF(FinalSeedTable[[#This Row],[Player Name]]&lt;&gt;"",1+ROW()-ROW($A$4),"")</f>
        <v/>
      </c>
      <c r="B108" s="4" t="str">
        <f>_xlfn.IFNA(VLOOKUP(FinalSeedTable[[#This Row],[Draw'#]],$M$36:$P$131,3,FALSE),"")</f>
        <v/>
      </c>
      <c r="C108" s="4" t="str">
        <f>_xlfn.IFNA(VLOOKUP(FinalSeedTable[[#This Row],[Draw'#]],$M$36:$P$131,4,FALSE),"")</f>
        <v/>
      </c>
      <c r="D108" s="48"/>
      <c r="M108" s="52">
        <v>73</v>
      </c>
      <c r="N108" s="52"/>
      <c r="O108" s="77" t="str" cm="1">
        <f t="array" ref="O108">_xlfn.IFNA(IF(INDEX(PlayerEntries!$1:$242,ROW(),$L$5+1)&lt;&gt;0,INDEX(PlayerEntries!$1:$242,ROW(),$L$5+1),""),"")</f>
        <v/>
      </c>
      <c r="P108" s="77" t="str" cm="1">
        <f t="array" ref="P108">_xlfn.IFNA(IF(INDEX(PlayerEntries!$1:$242,ROW(),$L$5+2)&lt;&gt;0,INDEX(PlayerEntries!$1:$242,ROW(),$L$5+2),""),"")</f>
        <v/>
      </c>
    </row>
    <row r="109" spans="1:16" x14ac:dyDescent="0.4">
      <c r="A109" s="4" t="str">
        <f>IF(FinalSeedTable[[#This Row],[Player Name]]&lt;&gt;"",1+ROW()-ROW($A$4),"")</f>
        <v/>
      </c>
      <c r="B109" s="4" t="str">
        <f>_xlfn.IFNA(VLOOKUP(FinalSeedTable[[#This Row],[Draw'#]],$M$36:$P$131,3,FALSE),"")</f>
        <v/>
      </c>
      <c r="C109" s="4" t="str">
        <f>_xlfn.IFNA(VLOOKUP(FinalSeedTable[[#This Row],[Draw'#]],$M$36:$P$131,4,FALSE),"")</f>
        <v/>
      </c>
      <c r="D109" s="48"/>
      <c r="M109" s="52">
        <v>74</v>
      </c>
      <c r="N109" s="52"/>
      <c r="O109" s="77" t="str" cm="1">
        <f t="array" ref="O109">_xlfn.IFNA(IF(INDEX(PlayerEntries!$1:$242,ROW(),$L$5+1)&lt;&gt;0,INDEX(PlayerEntries!$1:$242,ROW(),$L$5+1),""),"")</f>
        <v/>
      </c>
      <c r="P109" s="77" t="str" cm="1">
        <f t="array" ref="P109">_xlfn.IFNA(IF(INDEX(PlayerEntries!$1:$242,ROW(),$L$5+2)&lt;&gt;0,INDEX(PlayerEntries!$1:$242,ROW(),$L$5+2),""),"")</f>
        <v/>
      </c>
    </row>
    <row r="110" spans="1:16" x14ac:dyDescent="0.4">
      <c r="A110" s="4" t="str">
        <f>IF(FinalSeedTable[[#This Row],[Player Name]]&lt;&gt;"",1+ROW()-ROW($A$4),"")</f>
        <v/>
      </c>
      <c r="B110" s="4" t="str">
        <f>_xlfn.IFNA(VLOOKUP(FinalSeedTable[[#This Row],[Draw'#]],$M$36:$P$131,3,FALSE),"")</f>
        <v/>
      </c>
      <c r="C110" s="4" t="str">
        <f>_xlfn.IFNA(VLOOKUP(FinalSeedTable[[#This Row],[Draw'#]],$M$36:$P$131,4,FALSE),"")</f>
        <v/>
      </c>
      <c r="D110" s="48"/>
      <c r="M110" s="52">
        <v>75</v>
      </c>
      <c r="N110" s="52"/>
      <c r="O110" s="77" t="str" cm="1">
        <f t="array" ref="O110">_xlfn.IFNA(IF(INDEX(PlayerEntries!$1:$242,ROW(),$L$5+1)&lt;&gt;0,INDEX(PlayerEntries!$1:$242,ROW(),$L$5+1),""),"")</f>
        <v/>
      </c>
      <c r="P110" s="77" t="str" cm="1">
        <f t="array" ref="P110">_xlfn.IFNA(IF(INDEX(PlayerEntries!$1:$242,ROW(),$L$5+2)&lt;&gt;0,INDEX(PlayerEntries!$1:$242,ROW(),$L$5+2),""),"")</f>
        <v/>
      </c>
    </row>
    <row r="111" spans="1:16" x14ac:dyDescent="0.4">
      <c r="A111" s="4" t="str">
        <f>IF(FinalSeedTable[[#This Row],[Player Name]]&lt;&gt;"",1+ROW()-ROW($A$4),"")</f>
        <v/>
      </c>
      <c r="B111" s="4" t="str">
        <f>_xlfn.IFNA(VLOOKUP(FinalSeedTable[[#This Row],[Draw'#]],$M$36:$P$131,3,FALSE),"")</f>
        <v/>
      </c>
      <c r="C111" s="4" t="str">
        <f>_xlfn.IFNA(VLOOKUP(FinalSeedTable[[#This Row],[Draw'#]],$M$36:$P$131,4,FALSE),"")</f>
        <v/>
      </c>
      <c r="D111" s="48"/>
      <c r="M111" s="52">
        <v>76</v>
      </c>
      <c r="N111" s="52"/>
      <c r="O111" s="77" t="str" cm="1">
        <f t="array" ref="O111">_xlfn.IFNA(IF(INDEX(PlayerEntries!$1:$242,ROW(),$L$5+1)&lt;&gt;0,INDEX(PlayerEntries!$1:$242,ROW(),$L$5+1),""),"")</f>
        <v/>
      </c>
      <c r="P111" s="77" t="str" cm="1">
        <f t="array" ref="P111">_xlfn.IFNA(IF(INDEX(PlayerEntries!$1:$242,ROW(),$L$5+2)&lt;&gt;0,INDEX(PlayerEntries!$1:$242,ROW(),$L$5+2),""),"")</f>
        <v/>
      </c>
    </row>
    <row r="112" spans="1:16" x14ac:dyDescent="0.4">
      <c r="A112" s="4" t="str">
        <f>IF(FinalSeedTable[[#This Row],[Player Name]]&lt;&gt;"",1+ROW()-ROW($A$4),"")</f>
        <v/>
      </c>
      <c r="B112" s="4" t="str">
        <f>_xlfn.IFNA(VLOOKUP(FinalSeedTable[[#This Row],[Draw'#]],$M$36:$P$131,3,FALSE),"")</f>
        <v/>
      </c>
      <c r="C112" s="4" t="str">
        <f>_xlfn.IFNA(VLOOKUP(FinalSeedTable[[#This Row],[Draw'#]],$M$36:$P$131,4,FALSE),"")</f>
        <v/>
      </c>
      <c r="D112" s="48"/>
      <c r="M112" s="52">
        <v>77</v>
      </c>
      <c r="N112" s="52"/>
      <c r="O112" s="77" t="str" cm="1">
        <f t="array" ref="O112">_xlfn.IFNA(IF(INDEX(PlayerEntries!$1:$242,ROW(),$L$5+1)&lt;&gt;0,INDEX(PlayerEntries!$1:$242,ROW(),$L$5+1),""),"")</f>
        <v/>
      </c>
      <c r="P112" s="77" t="str" cm="1">
        <f t="array" ref="P112">_xlfn.IFNA(IF(INDEX(PlayerEntries!$1:$242,ROW(),$L$5+2)&lt;&gt;0,INDEX(PlayerEntries!$1:$242,ROW(),$L$5+2),""),"")</f>
        <v/>
      </c>
    </row>
    <row r="113" spans="1:16" x14ac:dyDescent="0.4">
      <c r="A113" s="4" t="str">
        <f>IF(FinalSeedTable[[#This Row],[Player Name]]&lt;&gt;"",1+ROW()-ROW($A$4),"")</f>
        <v/>
      </c>
      <c r="B113" s="4" t="str">
        <f>_xlfn.IFNA(VLOOKUP(FinalSeedTable[[#This Row],[Draw'#]],$M$36:$P$131,3,FALSE),"")</f>
        <v/>
      </c>
      <c r="C113" s="4" t="str">
        <f>_xlfn.IFNA(VLOOKUP(FinalSeedTable[[#This Row],[Draw'#]],$M$36:$P$131,4,FALSE),"")</f>
        <v/>
      </c>
      <c r="D113" s="48"/>
      <c r="M113" s="52">
        <v>78</v>
      </c>
      <c r="N113" s="52"/>
      <c r="O113" s="77" t="str" cm="1">
        <f t="array" ref="O113">_xlfn.IFNA(IF(INDEX(PlayerEntries!$1:$242,ROW(),$L$5+1)&lt;&gt;0,INDEX(PlayerEntries!$1:$242,ROW(),$L$5+1),""),"")</f>
        <v/>
      </c>
      <c r="P113" s="77" t="str" cm="1">
        <f t="array" ref="P113">_xlfn.IFNA(IF(INDEX(PlayerEntries!$1:$242,ROW(),$L$5+2)&lt;&gt;0,INDEX(PlayerEntries!$1:$242,ROW(),$L$5+2),""),"")</f>
        <v/>
      </c>
    </row>
    <row r="114" spans="1:16" x14ac:dyDescent="0.4">
      <c r="A114" s="4" t="str">
        <f>IF(FinalSeedTable[[#This Row],[Player Name]]&lt;&gt;"",1+ROW()-ROW($A$4),"")</f>
        <v/>
      </c>
      <c r="B114" s="4" t="str">
        <f>_xlfn.IFNA(VLOOKUP(FinalSeedTable[[#This Row],[Draw'#]],$M$36:$P$131,3,FALSE),"")</f>
        <v/>
      </c>
      <c r="C114" s="4" t="str">
        <f>_xlfn.IFNA(VLOOKUP(FinalSeedTable[[#This Row],[Draw'#]],$M$36:$P$131,4,FALSE),"")</f>
        <v/>
      </c>
      <c r="D114" s="48"/>
      <c r="M114" s="52">
        <v>79</v>
      </c>
      <c r="N114" s="52"/>
      <c r="O114" s="77" t="str" cm="1">
        <f t="array" ref="O114">_xlfn.IFNA(IF(INDEX(PlayerEntries!$1:$242,ROW(),$L$5+1)&lt;&gt;0,INDEX(PlayerEntries!$1:$242,ROW(),$L$5+1),""),"")</f>
        <v/>
      </c>
      <c r="P114" s="77" t="str" cm="1">
        <f t="array" ref="P114">_xlfn.IFNA(IF(INDEX(PlayerEntries!$1:$242,ROW(),$L$5+2)&lt;&gt;0,INDEX(PlayerEntries!$1:$242,ROW(),$L$5+2),""),"")</f>
        <v/>
      </c>
    </row>
    <row r="115" spans="1:16" x14ac:dyDescent="0.4">
      <c r="A115" s="4" t="str">
        <f>IF(FinalSeedTable[[#This Row],[Player Name]]&lt;&gt;"",1+ROW()-ROW($A$4),"")</f>
        <v/>
      </c>
      <c r="B115" s="4" t="str">
        <f>_xlfn.IFNA(VLOOKUP(FinalSeedTable[[#This Row],[Draw'#]],$M$36:$P$131,3,FALSE),"")</f>
        <v/>
      </c>
      <c r="C115" s="4" t="str">
        <f>_xlfn.IFNA(VLOOKUP(FinalSeedTable[[#This Row],[Draw'#]],$M$36:$P$131,4,FALSE),"")</f>
        <v/>
      </c>
      <c r="D115" s="48"/>
      <c r="M115" s="52">
        <v>80</v>
      </c>
      <c r="N115" s="52"/>
      <c r="O115" s="77" t="str" cm="1">
        <f t="array" ref="O115">_xlfn.IFNA(IF(INDEX(PlayerEntries!$1:$242,ROW(),$L$5+1)&lt;&gt;0,INDEX(PlayerEntries!$1:$242,ROW(),$L$5+1),""),"")</f>
        <v/>
      </c>
      <c r="P115" s="77" t="str" cm="1">
        <f t="array" ref="P115">_xlfn.IFNA(IF(INDEX(PlayerEntries!$1:$242,ROW(),$L$5+2)&lt;&gt;0,INDEX(PlayerEntries!$1:$242,ROW(),$L$5+2),""),"")</f>
        <v/>
      </c>
    </row>
    <row r="116" spans="1:16" x14ac:dyDescent="0.4">
      <c r="A116" s="4" t="str">
        <f>IF(FinalSeedTable[[#This Row],[Player Name]]&lt;&gt;"",1+ROW()-ROW($A$4),"")</f>
        <v/>
      </c>
      <c r="B116" s="4" t="str">
        <f>_xlfn.IFNA(VLOOKUP(FinalSeedTable[[#This Row],[Draw'#]],$M$36:$P$131,3,FALSE),"")</f>
        <v/>
      </c>
      <c r="C116" s="4" t="str">
        <f>_xlfn.IFNA(VLOOKUP(FinalSeedTable[[#This Row],[Draw'#]],$M$36:$P$131,4,FALSE),"")</f>
        <v/>
      </c>
      <c r="D116" s="48"/>
      <c r="M116" s="52">
        <v>81</v>
      </c>
      <c r="N116" s="52"/>
      <c r="O116" s="77" t="str" cm="1">
        <f t="array" ref="O116">_xlfn.IFNA(IF(INDEX(PlayerEntries!$1:$242,ROW(),$L$5+1)&lt;&gt;0,INDEX(PlayerEntries!$1:$242,ROW(),$L$5+1),""),"")</f>
        <v/>
      </c>
      <c r="P116" s="77" t="str" cm="1">
        <f t="array" ref="P116">_xlfn.IFNA(IF(INDEX(PlayerEntries!$1:$242,ROW(),$L$5+2)&lt;&gt;0,INDEX(PlayerEntries!$1:$242,ROW(),$L$5+2),""),"")</f>
        <v/>
      </c>
    </row>
    <row r="117" spans="1:16" x14ac:dyDescent="0.4">
      <c r="A117" s="4" t="str">
        <f>IF(FinalSeedTable[[#This Row],[Player Name]]&lt;&gt;"",1+ROW()-ROW($A$4),"")</f>
        <v/>
      </c>
      <c r="B117" s="4" t="str">
        <f>_xlfn.IFNA(VLOOKUP(FinalSeedTable[[#This Row],[Draw'#]],$M$36:$P$131,3,FALSE),"")</f>
        <v/>
      </c>
      <c r="C117" s="4" t="str">
        <f>_xlfn.IFNA(VLOOKUP(FinalSeedTable[[#This Row],[Draw'#]],$M$36:$P$131,4,FALSE),"")</f>
        <v/>
      </c>
      <c r="D117" s="48"/>
      <c r="H117" s="164" t="e" vm="2">
        <f>$H$13</f>
        <v>#VALUE!</v>
      </c>
      <c r="I117" s="165"/>
      <c r="J117" s="166"/>
      <c r="M117" s="52">
        <v>82</v>
      </c>
      <c r="N117" s="52"/>
      <c r="O117" s="77" t="str" cm="1">
        <f t="array" ref="O117">_xlfn.IFNA(IF(INDEX(PlayerEntries!$1:$242,ROW(),$L$5+1)&lt;&gt;0,INDEX(PlayerEntries!$1:$242,ROW(),$L$5+1),""),"")</f>
        <v/>
      </c>
      <c r="P117" s="77" t="str" cm="1">
        <f t="array" ref="P117">_xlfn.IFNA(IF(INDEX(PlayerEntries!$1:$242,ROW(),$L$5+2)&lt;&gt;0,INDEX(PlayerEntries!$1:$242,ROW(),$L$5+2),""),"")</f>
        <v/>
      </c>
    </row>
    <row r="118" spans="1:16" x14ac:dyDescent="0.4">
      <c r="A118" s="4" t="str">
        <f>IF(FinalSeedTable[[#This Row],[Player Name]]&lt;&gt;"",1+ROW()-ROW($A$4),"")</f>
        <v/>
      </c>
      <c r="B118" s="4" t="str">
        <f>_xlfn.IFNA(VLOOKUP(FinalSeedTable[[#This Row],[Draw'#]],$M$36:$P$131,3,FALSE),"")</f>
        <v/>
      </c>
      <c r="C118" s="4" t="str">
        <f>_xlfn.IFNA(VLOOKUP(FinalSeedTable[[#This Row],[Draw'#]],$M$36:$P$131,4,FALSE),"")</f>
        <v/>
      </c>
      <c r="D118" s="48"/>
      <c r="H118" s="167"/>
      <c r="I118" s="161"/>
      <c r="J118" s="168"/>
      <c r="M118" s="52">
        <v>83</v>
      </c>
      <c r="N118" s="52"/>
      <c r="O118" s="77" t="str" cm="1">
        <f t="array" ref="O118">_xlfn.IFNA(IF(INDEX(PlayerEntries!$1:$242,ROW(),$L$5+1)&lt;&gt;0,INDEX(PlayerEntries!$1:$242,ROW(),$L$5+1),""),"")</f>
        <v/>
      </c>
      <c r="P118" s="77" t="str" cm="1">
        <f t="array" ref="P118">_xlfn.IFNA(IF(INDEX(PlayerEntries!$1:$242,ROW(),$L$5+2)&lt;&gt;0,INDEX(PlayerEntries!$1:$242,ROW(),$L$5+2),""),"")</f>
        <v/>
      </c>
    </row>
    <row r="119" spans="1:16" x14ac:dyDescent="0.4">
      <c r="A119" s="4" t="str">
        <f>IF(FinalSeedTable[[#This Row],[Player Name]]&lt;&gt;"",1+ROW()-ROW($A$4),"")</f>
        <v/>
      </c>
      <c r="B119" s="4" t="str">
        <f>_xlfn.IFNA(VLOOKUP(FinalSeedTable[[#This Row],[Draw'#]],$M$36:$P$131,3,FALSE),"")</f>
        <v/>
      </c>
      <c r="C119" s="4" t="str">
        <f>_xlfn.IFNA(VLOOKUP(FinalSeedTable[[#This Row],[Draw'#]],$M$36:$P$131,4,FALSE),"")</f>
        <v/>
      </c>
      <c r="D119" s="48"/>
      <c r="H119" s="167"/>
      <c r="I119" s="161"/>
      <c r="J119" s="168"/>
      <c r="M119" s="52">
        <v>84</v>
      </c>
      <c r="N119" s="52"/>
      <c r="O119" s="77" t="str" cm="1">
        <f t="array" ref="O119">_xlfn.IFNA(IF(INDEX(PlayerEntries!$1:$242,ROW(),$L$5+1)&lt;&gt;0,INDEX(PlayerEntries!$1:$242,ROW(),$L$5+1),""),"")</f>
        <v/>
      </c>
      <c r="P119" s="77" t="str" cm="1">
        <f t="array" ref="P119">_xlfn.IFNA(IF(INDEX(PlayerEntries!$1:$242,ROW(),$L$5+2)&lt;&gt;0,INDEX(PlayerEntries!$1:$242,ROW(),$L$5+2),""),"")</f>
        <v/>
      </c>
    </row>
    <row r="120" spans="1:16" x14ac:dyDescent="0.4">
      <c r="A120" s="4" t="str">
        <f>IF(FinalSeedTable[[#This Row],[Player Name]]&lt;&gt;"",1+ROW()-ROW($A$4),"")</f>
        <v/>
      </c>
      <c r="B120" s="4" t="str">
        <f>_xlfn.IFNA(VLOOKUP(FinalSeedTable[[#This Row],[Draw'#]],$M$36:$P$131,3,FALSE),"")</f>
        <v/>
      </c>
      <c r="C120" s="4" t="str">
        <f>_xlfn.IFNA(VLOOKUP(FinalSeedTable[[#This Row],[Draw'#]],$M$36:$P$131,4,FALSE),"")</f>
        <v/>
      </c>
      <c r="D120" s="48"/>
      <c r="H120" s="169" t="s">
        <v>19</v>
      </c>
      <c r="I120" s="170"/>
      <c r="J120" s="171"/>
      <c r="M120" s="52">
        <v>85</v>
      </c>
      <c r="N120" s="52"/>
      <c r="O120" s="77" t="str" cm="1">
        <f t="array" ref="O120">_xlfn.IFNA(IF(INDEX(PlayerEntries!$1:$242,ROW(),$L$5+1)&lt;&gt;0,INDEX(PlayerEntries!$1:$242,ROW(),$L$5+1),""),"")</f>
        <v/>
      </c>
      <c r="P120" s="77" t="str" cm="1">
        <f t="array" ref="P120">_xlfn.IFNA(IF(INDEX(PlayerEntries!$1:$242,ROW(),$L$5+2)&lt;&gt;0,INDEX(PlayerEntries!$1:$242,ROW(),$L$5+2),""),"")</f>
        <v/>
      </c>
    </row>
    <row r="121" spans="1:16" x14ac:dyDescent="0.4">
      <c r="A121" s="4" t="str">
        <f>IF(FinalSeedTable[[#This Row],[Player Name]]&lt;&gt;"",1+ROW()-ROW($A$4),"")</f>
        <v/>
      </c>
      <c r="B121" s="4" t="str">
        <f>_xlfn.IFNA(VLOOKUP(FinalSeedTable[[#This Row],[Draw'#]],$M$36:$P$131,3,FALSE),"")</f>
        <v/>
      </c>
      <c r="C121" s="4" t="str">
        <f>_xlfn.IFNA(VLOOKUP(FinalSeedTable[[#This Row],[Draw'#]],$M$36:$P$131,4,FALSE),"")</f>
        <v/>
      </c>
      <c r="D121" s="48"/>
      <c r="M121" s="52">
        <v>86</v>
      </c>
      <c r="N121" s="52"/>
      <c r="O121" s="77" t="str" cm="1">
        <f t="array" ref="O121">_xlfn.IFNA(IF(INDEX(PlayerEntries!$1:$242,ROW(),$L$5+1)&lt;&gt;0,INDEX(PlayerEntries!$1:$242,ROW(),$L$5+1),""),"")</f>
        <v/>
      </c>
      <c r="P121" s="77" t="str" cm="1">
        <f t="array" ref="P121">_xlfn.IFNA(IF(INDEX(PlayerEntries!$1:$242,ROW(),$L$5+2)&lt;&gt;0,INDEX(PlayerEntries!$1:$242,ROW(),$L$5+2),""),"")</f>
        <v/>
      </c>
    </row>
    <row r="122" spans="1:16" x14ac:dyDescent="0.4">
      <c r="A122" s="4" t="str">
        <f>IF(FinalSeedTable[[#This Row],[Player Name]]&lt;&gt;"",1+ROW()-ROW($A$4),"")</f>
        <v/>
      </c>
      <c r="B122" s="4" t="str">
        <f>_xlfn.IFNA(VLOOKUP(FinalSeedTable[[#This Row],[Draw'#]],$M$36:$P$131,3,FALSE),"")</f>
        <v/>
      </c>
      <c r="C122" s="4" t="str">
        <f>_xlfn.IFNA(VLOOKUP(FinalSeedTable[[#This Row],[Draw'#]],$M$36:$P$131,4,FALSE),"")</f>
        <v/>
      </c>
      <c r="D122" s="48"/>
      <c r="H122" s="159" t="str">
        <f>IF($H$18&lt;&gt;0,$H$18,"")</f>
        <v>Tournament iBracket Generated</v>
      </c>
      <c r="I122" s="160"/>
      <c r="J122" s="160"/>
      <c r="M122" s="52">
        <v>87</v>
      </c>
      <c r="N122" s="52"/>
      <c r="O122" s="77" t="str" cm="1">
        <f t="array" ref="O122">_xlfn.IFNA(IF(INDEX(PlayerEntries!$1:$242,ROW(),$L$5+1)&lt;&gt;0,INDEX(PlayerEntries!$1:$242,ROW(),$L$5+1),""),"")</f>
        <v/>
      </c>
      <c r="P122" s="77" t="str" cm="1">
        <f t="array" ref="P122">_xlfn.IFNA(IF(INDEX(PlayerEntries!$1:$242,ROW(),$L$5+2)&lt;&gt;0,INDEX(PlayerEntries!$1:$242,ROW(),$L$5+2),""),"")</f>
        <v/>
      </c>
    </row>
    <row r="123" spans="1:16" x14ac:dyDescent="0.4">
      <c r="A123" s="4" t="str">
        <f>IF(FinalSeedTable[[#This Row],[Player Name]]&lt;&gt;"",1+ROW()-ROW($A$4),"")</f>
        <v/>
      </c>
      <c r="B123" s="4" t="str">
        <f>_xlfn.IFNA(VLOOKUP(FinalSeedTable[[#This Row],[Draw'#]],$M$36:$P$131,3,FALSE),"")</f>
        <v/>
      </c>
      <c r="C123" s="4" t="str">
        <f>_xlfn.IFNA(VLOOKUP(FinalSeedTable[[#This Row],[Draw'#]],$M$36:$P$131,4,FALSE),"")</f>
        <v/>
      </c>
      <c r="D123" s="48"/>
      <c r="H123" s="13" t="str">
        <f>IF($H$19&lt;&gt;0,$H$19,"")</f>
        <v/>
      </c>
      <c r="I123" s="172" t="str">
        <f>IF($I$19&lt;&gt;0,$I$19,"")</f>
        <v/>
      </c>
      <c r="J123" s="173"/>
      <c r="M123" s="52">
        <v>88</v>
      </c>
      <c r="N123" s="52"/>
      <c r="O123" s="77" t="str" cm="1">
        <f t="array" ref="O123">_xlfn.IFNA(IF(INDEX(PlayerEntries!$1:$242,ROW(),$L$5+1)&lt;&gt;0,INDEX(PlayerEntries!$1:$242,ROW(),$L$5+1),""),"")</f>
        <v/>
      </c>
      <c r="P123" s="77" t="str" cm="1">
        <f t="array" ref="P123">_xlfn.IFNA(IF(INDEX(PlayerEntries!$1:$242,ROW(),$L$5+2)&lt;&gt;0,INDEX(PlayerEntries!$1:$242,ROW(),$L$5+2),""),"")</f>
        <v/>
      </c>
    </row>
    <row r="124" spans="1:16" x14ac:dyDescent="0.4">
      <c r="A124" s="4" t="str">
        <f>IF(FinalSeedTable[[#This Row],[Player Name]]&lt;&gt;"",1+ROW()-ROW($A$4),"")</f>
        <v/>
      </c>
      <c r="B124" s="4" t="str">
        <f>_xlfn.IFNA(VLOOKUP(FinalSeedTable[[#This Row],[Draw'#]],$M$36:$P$131,3,FALSE),"")</f>
        <v/>
      </c>
      <c r="C124" s="4" t="str">
        <f>_xlfn.IFNA(VLOOKUP(FinalSeedTable[[#This Row],[Draw'#]],$M$36:$P$131,4,FALSE),"")</f>
        <v/>
      </c>
      <c r="D124" s="48"/>
      <c r="M124" s="52">
        <v>89</v>
      </c>
      <c r="N124" s="52"/>
      <c r="O124" s="77" t="str" cm="1">
        <f t="array" ref="O124">_xlfn.IFNA(IF(INDEX(PlayerEntries!$1:$242,ROW(),$L$5+1)&lt;&gt;0,INDEX(PlayerEntries!$1:$242,ROW(),$L$5+1),""),"")</f>
        <v/>
      </c>
      <c r="P124" s="77" t="str" cm="1">
        <f t="array" ref="P124">_xlfn.IFNA(IF(INDEX(PlayerEntries!$1:$242,ROW(),$L$5+2)&lt;&gt;0,INDEX(PlayerEntries!$1:$242,ROW(),$L$5+2),""),"")</f>
        <v/>
      </c>
    </row>
    <row r="125" spans="1:16" x14ac:dyDescent="0.4">
      <c r="A125" s="4" t="str">
        <f>IF(FinalSeedTable[[#This Row],[Player Name]]&lt;&gt;"",1+ROW()-ROW($A$4),"")</f>
        <v/>
      </c>
      <c r="B125" s="4" t="str">
        <f>_xlfn.IFNA(VLOOKUP(FinalSeedTable[[#This Row],[Draw'#]],$M$36:$P$131,3,FALSE),"")</f>
        <v/>
      </c>
      <c r="C125" s="4" t="str">
        <f>_xlfn.IFNA(VLOOKUP(FinalSeedTable[[#This Row],[Draw'#]],$M$36:$P$131,4,FALSE),"")</f>
        <v/>
      </c>
      <c r="D125" s="48"/>
      <c r="M125" s="52">
        <v>90</v>
      </c>
      <c r="N125" s="52"/>
      <c r="O125" s="77" t="str" cm="1">
        <f t="array" ref="O125">_xlfn.IFNA(IF(INDEX(PlayerEntries!$1:$242,ROW(),$L$5+1)&lt;&gt;0,INDEX(PlayerEntries!$1:$242,ROW(),$L$5+1),""),"")</f>
        <v/>
      </c>
      <c r="P125" s="77" t="str" cm="1">
        <f t="array" ref="P125">_xlfn.IFNA(IF(INDEX(PlayerEntries!$1:$242,ROW(),$L$5+2)&lt;&gt;0,INDEX(PlayerEntries!$1:$242,ROW(),$L$5+2),""),"")</f>
        <v/>
      </c>
    </row>
    <row r="126" spans="1:16" x14ac:dyDescent="0.4">
      <c r="A126" s="4" t="str">
        <f>IF(FinalSeedTable[[#This Row],[Player Name]]&lt;&gt;"",1+ROW()-ROW($A$4),"")</f>
        <v/>
      </c>
      <c r="B126" s="4" t="str">
        <f>_xlfn.IFNA(VLOOKUP(FinalSeedTable[[#This Row],[Draw'#]],$M$36:$P$131,3,FALSE),"")</f>
        <v/>
      </c>
      <c r="C126" s="4" t="str">
        <f>_xlfn.IFNA(VLOOKUP(FinalSeedTable[[#This Row],[Draw'#]],$M$36:$P$131,4,FALSE),"")</f>
        <v/>
      </c>
      <c r="D126" s="48"/>
      <c r="M126" s="52">
        <v>91</v>
      </c>
      <c r="N126" s="52"/>
      <c r="O126" s="77" t="str" cm="1">
        <f t="array" ref="O126">_xlfn.IFNA(IF(INDEX(PlayerEntries!$1:$242,ROW(),$L$5+1)&lt;&gt;0,INDEX(PlayerEntries!$1:$242,ROW(),$L$5+1),""),"")</f>
        <v/>
      </c>
      <c r="P126" s="77" t="str" cm="1">
        <f t="array" ref="P126">_xlfn.IFNA(IF(INDEX(PlayerEntries!$1:$242,ROW(),$L$5+2)&lt;&gt;0,INDEX(PlayerEntries!$1:$242,ROW(),$L$5+2),""),"")</f>
        <v/>
      </c>
    </row>
    <row r="127" spans="1:16" x14ac:dyDescent="0.4">
      <c r="A127" s="4" t="str">
        <f>IF(FinalSeedTable[[#This Row],[Player Name]]&lt;&gt;"",1+ROW()-ROW($A$4),"")</f>
        <v/>
      </c>
      <c r="B127" s="4" t="str">
        <f>_xlfn.IFNA(VLOOKUP(FinalSeedTable[[#This Row],[Draw'#]],$M$36:$P$131,3,FALSE),"")</f>
        <v/>
      </c>
      <c r="C127" s="4" t="str">
        <f>_xlfn.IFNA(VLOOKUP(FinalSeedTable[[#This Row],[Draw'#]],$M$36:$P$131,4,FALSE),"")</f>
        <v/>
      </c>
      <c r="D127" s="48"/>
      <c r="M127" s="52">
        <v>92</v>
      </c>
      <c r="N127" s="52"/>
      <c r="O127" s="77" t="str" cm="1">
        <f t="array" ref="O127">_xlfn.IFNA(IF(INDEX(PlayerEntries!$1:$242,ROW(),$L$5+1)&lt;&gt;0,INDEX(PlayerEntries!$1:$242,ROW(),$L$5+1),""),"")</f>
        <v/>
      </c>
      <c r="P127" s="77" t="str" cm="1">
        <f t="array" ref="P127">_xlfn.IFNA(IF(INDEX(PlayerEntries!$1:$242,ROW(),$L$5+2)&lt;&gt;0,INDEX(PlayerEntries!$1:$242,ROW(),$L$5+2),""),"")</f>
        <v/>
      </c>
    </row>
    <row r="128" spans="1:16" x14ac:dyDescent="0.4">
      <c r="A128" s="4" t="str">
        <f>IF(FinalSeedTable[[#This Row],[Player Name]]&lt;&gt;"",1+ROW()-ROW($A$4),"")</f>
        <v/>
      </c>
      <c r="B128" s="4" t="str">
        <f>_xlfn.IFNA(VLOOKUP(FinalSeedTable[[#This Row],[Draw'#]],$M$36:$P$131,3,FALSE),"")</f>
        <v/>
      </c>
      <c r="C128" s="4" t="str">
        <f>_xlfn.IFNA(VLOOKUP(FinalSeedTable[[#This Row],[Draw'#]],$M$36:$P$131,4,FALSE),"")</f>
        <v/>
      </c>
      <c r="D128" s="48"/>
      <c r="M128" s="52">
        <v>93</v>
      </c>
      <c r="N128" s="52"/>
      <c r="O128" s="77" t="str" cm="1">
        <f t="array" ref="O128">_xlfn.IFNA(IF(INDEX(PlayerEntries!$1:$242,ROW(),$L$5+1)&lt;&gt;0,INDEX(PlayerEntries!$1:$242,ROW(),$L$5+1),""),"")</f>
        <v/>
      </c>
      <c r="P128" s="77" t="str" cm="1">
        <f t="array" ref="P128">_xlfn.IFNA(IF(INDEX(PlayerEntries!$1:$242,ROW(),$L$5+2)&lt;&gt;0,INDEX(PlayerEntries!$1:$242,ROW(),$L$5+2),""),"")</f>
        <v/>
      </c>
    </row>
    <row r="129" spans="1:16" x14ac:dyDescent="0.4">
      <c r="A129" s="4" t="str">
        <f>IF(FinalSeedTable[[#This Row],[Player Name]]&lt;&gt;"",1+ROW()-ROW($A$4),"")</f>
        <v/>
      </c>
      <c r="B129" s="4" t="str">
        <f>_xlfn.IFNA(VLOOKUP(FinalSeedTable[[#This Row],[Draw'#]],$M$36:$P$131,3,FALSE),"")</f>
        <v/>
      </c>
      <c r="C129" s="4" t="str">
        <f>_xlfn.IFNA(VLOOKUP(FinalSeedTable[[#This Row],[Draw'#]],$M$36:$P$131,4,FALSE),"")</f>
        <v/>
      </c>
      <c r="D129" s="48"/>
      <c r="M129" s="52">
        <v>94</v>
      </c>
      <c r="N129" s="52"/>
      <c r="O129" s="77" t="str" cm="1">
        <f t="array" ref="O129">_xlfn.IFNA(IF(INDEX(PlayerEntries!$1:$242,ROW(),$L$5+1)&lt;&gt;0,INDEX(PlayerEntries!$1:$242,ROW(),$L$5+1),""),"")</f>
        <v/>
      </c>
      <c r="P129" s="77" t="str" cm="1">
        <f t="array" ref="P129">_xlfn.IFNA(IF(INDEX(PlayerEntries!$1:$242,ROW(),$L$5+2)&lt;&gt;0,INDEX(PlayerEntries!$1:$242,ROW(),$L$5+2),""),"")</f>
        <v/>
      </c>
    </row>
    <row r="130" spans="1:16" x14ac:dyDescent="0.4">
      <c r="A130" s="4" t="str">
        <f>IF(FinalSeedTable[[#This Row],[Player Name]]&lt;&gt;"",1+ROW()-ROW($A$4),"")</f>
        <v/>
      </c>
      <c r="B130" s="4" t="str">
        <f>_xlfn.IFNA(VLOOKUP(FinalSeedTable[[#This Row],[Draw'#]],$M$36:$P$131,3,FALSE),"")</f>
        <v/>
      </c>
      <c r="C130" s="4" t="str">
        <f>_xlfn.IFNA(VLOOKUP(FinalSeedTable[[#This Row],[Draw'#]],$M$36:$P$131,4,FALSE),"")</f>
        <v/>
      </c>
      <c r="D130" s="48"/>
      <c r="M130" s="52">
        <v>95</v>
      </c>
      <c r="N130" s="52"/>
      <c r="O130" s="77" t="str" cm="1">
        <f t="array" ref="O130">_xlfn.IFNA(IF(INDEX(PlayerEntries!$1:$242,ROW(),$L$5+1)&lt;&gt;0,INDEX(PlayerEntries!$1:$242,ROW(),$L$5+1),""),"")</f>
        <v/>
      </c>
      <c r="P130" s="77" t="str" cm="1">
        <f t="array" ref="P130">_xlfn.IFNA(IF(INDEX(PlayerEntries!$1:$242,ROW(),$L$5+2)&lt;&gt;0,INDEX(PlayerEntries!$1:$242,ROW(),$L$5+2),""),"")</f>
        <v/>
      </c>
    </row>
    <row r="131" spans="1:16" x14ac:dyDescent="0.4">
      <c r="A131" s="4" t="str">
        <f>IF(FinalSeedTable[[#This Row],[Player Name]]&lt;&gt;"",1+ROW()-ROW($A$4),"")</f>
        <v/>
      </c>
      <c r="B131" s="4" t="str">
        <f>_xlfn.IFNA(VLOOKUP(FinalSeedTable[[#This Row],[Draw'#]],$M$36:$P$131,3,FALSE),"")</f>
        <v/>
      </c>
      <c r="C131" s="4" t="str">
        <f>_xlfn.IFNA(VLOOKUP(FinalSeedTable[[#This Row],[Draw'#]],$M$36:$P$131,4,FALSE),"")</f>
        <v/>
      </c>
      <c r="D131" s="48"/>
      <c r="M131" s="52">
        <v>96</v>
      </c>
      <c r="N131" s="52"/>
      <c r="O131" s="77" t="str" cm="1">
        <f t="array" ref="O131">_xlfn.IFNA(IF(INDEX(PlayerEntries!$1:$242,ROW(),$L$5+1)&lt;&gt;0,INDEX(PlayerEntries!$1:$242,ROW(),$L$5+1),""),"")</f>
        <v/>
      </c>
      <c r="P131" s="77" t="str" cm="1">
        <f t="array" ref="P131">_xlfn.IFNA(IF(INDEX(PlayerEntries!$1:$242,ROW(),$L$5+2)&lt;&gt;0,INDEX(PlayerEntries!$1:$242,ROW(),$L$5+2),""),"")</f>
        <v/>
      </c>
    </row>
  </sheetData>
  <sheetProtection selectLockedCells="1"/>
  <sortState xmlns:xlrd2="http://schemas.microsoft.com/office/spreadsheetml/2017/richdata2" ref="N4:P131">
    <sortCondition ref="N4"/>
  </sortState>
  <mergeCells count="37">
    <mergeCell ref="H122:J122"/>
    <mergeCell ref="H117:J119"/>
    <mergeCell ref="H120:J120"/>
    <mergeCell ref="I123:J123"/>
    <mergeCell ref="H101:J103"/>
    <mergeCell ref="H104:J104"/>
    <mergeCell ref="H106:J106"/>
    <mergeCell ref="I107:J107"/>
    <mergeCell ref="H79:J81"/>
    <mergeCell ref="H82:J82"/>
    <mergeCell ref="H84:J84"/>
    <mergeCell ref="I85:J85"/>
    <mergeCell ref="H61:J61"/>
    <mergeCell ref="I62:J62"/>
    <mergeCell ref="H37:J37"/>
    <mergeCell ref="H39:J39"/>
    <mergeCell ref="I40:J40"/>
    <mergeCell ref="H56:J58"/>
    <mergeCell ref="H59:J59"/>
    <mergeCell ref="H18:J18"/>
    <mergeCell ref="H20:J20"/>
    <mergeCell ref="I19:J19"/>
    <mergeCell ref="H34:J36"/>
    <mergeCell ref="H13:J15"/>
    <mergeCell ref="H16:J16"/>
    <mergeCell ref="H12:J12"/>
    <mergeCell ref="N2:P2"/>
    <mergeCell ref="H3:J4"/>
    <mergeCell ref="H7:J7"/>
    <mergeCell ref="H5:J5"/>
    <mergeCell ref="H6:J6"/>
    <mergeCell ref="H2:K2"/>
    <mergeCell ref="H1:K1"/>
    <mergeCell ref="H8:J8"/>
    <mergeCell ref="H9:H11"/>
    <mergeCell ref="I9:I11"/>
    <mergeCell ref="J9:J11"/>
  </mergeCells>
  <dataValidations count="3">
    <dataValidation type="whole" allowBlank="1" showInputMessage="1" showErrorMessage="1" sqref="F14" xr:uid="{57ED4D6E-59EF-4937-8A1D-6174374733EA}">
      <formula1>0</formula1>
      <formula2>30</formula2>
    </dataValidation>
    <dataValidation type="time" allowBlank="1" showInputMessage="1" showErrorMessage="1" sqref="F16" xr:uid="{CBB8BD69-2244-49BD-B51D-94AC6C0D8669}">
      <formula1>0.208333333333333</formula1>
      <formula2>0.999305555555556</formula2>
    </dataValidation>
    <dataValidation type="date" allowBlank="1" showInputMessage="1" showErrorMessage="1" sqref="F18" xr:uid="{7A597AF1-F33E-4723-9C2E-BCF01C0B4EBC}">
      <formula1>45566</formula1>
      <formula2>73050</formula2>
    </dataValidation>
  </dataValidations>
  <pageMargins left="0.7" right="0.7" top="0.75" bottom="0.75" header="0.3" footer="0.3"/>
  <pageSetup scale="40" orientation="landscape" blackAndWhite="1" r:id="rId1"/>
  <rowBreaks count="1" manualBreakCount="1">
    <brk id="68" max="20" man="1"/>
  </rowBreaks>
  <ignoredErrors>
    <ignoredError sqref="B4:C7 B12:C13 A4 B9:C11 B15:C19 C1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No_Draw">
                <anchor moveWithCells="1" sizeWithCells="1">
                  <from>
                    <xdr:col>8</xdr:col>
                    <xdr:colOff>1310640</xdr:colOff>
                    <xdr:row>19</xdr:row>
                    <xdr:rowOff>251460</xdr:rowOff>
                  </from>
                  <to>
                    <xdr:col>9</xdr:col>
                    <xdr:colOff>1272540</xdr:colOff>
                    <xdr:row>21</xdr:row>
                    <xdr:rowOff>7620</xdr:rowOff>
                  </to>
                </anchor>
              </controlPr>
            </control>
          </mc:Choice>
        </mc:AlternateContent>
        <mc:AlternateContent xmlns:mc="http://schemas.openxmlformats.org/markup-compatibility/2006">
          <mc:Choice Requires="x14">
            <control shapeId="2061" r:id="rId5" name="Button 13">
              <controlPr defaultSize="0" print="0" autoFill="0" autoPict="0" macro="[0]!Auto_Draw">
                <anchor moveWithCells="1" sizeWithCells="1">
                  <from>
                    <xdr:col>5</xdr:col>
                    <xdr:colOff>0</xdr:colOff>
                    <xdr:row>6</xdr:row>
                    <xdr:rowOff>198120</xdr:rowOff>
                  </from>
                  <to>
                    <xdr:col>5</xdr:col>
                    <xdr:colOff>1805940</xdr:colOff>
                    <xdr:row>7</xdr:row>
                    <xdr:rowOff>182880</xdr:rowOff>
                  </to>
                </anchor>
              </controlPr>
            </control>
          </mc:Choice>
        </mc:AlternateContent>
        <mc:AlternateContent xmlns:mc="http://schemas.openxmlformats.org/markup-compatibility/2006">
          <mc:Choice Requires="x14">
            <control shapeId="2099" r:id="rId6" name="Button 51">
              <controlPr defaultSize="0" print="0" autoFill="0" autoPict="0" macro="[0]!ClearDraw">
                <anchor moveWithCells="1" sizeWithCells="1">
                  <from>
                    <xdr:col>5</xdr:col>
                    <xdr:colOff>0</xdr:colOff>
                    <xdr:row>5</xdr:row>
                    <xdr:rowOff>114300</xdr:rowOff>
                  </from>
                  <to>
                    <xdr:col>5</xdr:col>
                    <xdr:colOff>1798320</xdr:colOff>
                    <xdr:row>6</xdr:row>
                    <xdr:rowOff>99060</xdr:rowOff>
                  </to>
                </anchor>
              </controlPr>
            </control>
          </mc:Choice>
        </mc:AlternateContent>
        <mc:AlternateContent xmlns:mc="http://schemas.openxmlformats.org/markup-compatibility/2006">
          <mc:Choice Requires="x14">
            <control shapeId="2101" r:id="rId7" name="Button 53">
              <controlPr defaultSize="0" print="0" autoFill="0" autoPict="0" macro="[0]!CreateTournamentGroups">
                <anchor moveWithCells="1" sizeWithCells="1">
                  <from>
                    <xdr:col>5</xdr:col>
                    <xdr:colOff>0</xdr:colOff>
                    <xdr:row>9</xdr:row>
                    <xdr:rowOff>45720</xdr:rowOff>
                  </from>
                  <to>
                    <xdr:col>5</xdr:col>
                    <xdr:colOff>1821180</xdr:colOff>
                    <xdr:row>10</xdr:row>
                    <xdr:rowOff>38100</xdr:rowOff>
                  </to>
                </anchor>
              </controlPr>
            </control>
          </mc:Choice>
        </mc:AlternateContent>
        <mc:AlternateContent xmlns:mc="http://schemas.openxmlformats.org/markup-compatibility/2006">
          <mc:Choice Requires="x14">
            <control shapeId="2104" r:id="rId8" name="Button 56">
              <controlPr defaultSize="0" print="0" autoFill="0" autoPict="0" macro="[0]!SaveSeeding">
                <anchor moveWithCells="1" sizeWithCells="1">
                  <from>
                    <xdr:col>4</xdr:col>
                    <xdr:colOff>99060</xdr:colOff>
                    <xdr:row>7</xdr:row>
                    <xdr:rowOff>259080</xdr:rowOff>
                  </from>
                  <to>
                    <xdr:col>5</xdr:col>
                    <xdr:colOff>1821180</xdr:colOff>
                    <xdr:row>8</xdr:row>
                    <xdr:rowOff>266700</xdr:rowOff>
                  </to>
                </anchor>
              </controlPr>
            </control>
          </mc:Choice>
        </mc:AlternateContent>
        <mc:AlternateContent xmlns:mc="http://schemas.openxmlformats.org/markup-compatibility/2006">
          <mc:Choice Requires="x14">
            <control shapeId="2108" r:id="rId9" name="Button 60">
              <controlPr defaultSize="0" print="0" autoFill="0" autoPict="0" macro="[0]!Save_Draw_SS">
                <anchor moveWithCells="1" sizeWithCells="1">
                  <from>
                    <xdr:col>5</xdr:col>
                    <xdr:colOff>15240</xdr:colOff>
                    <xdr:row>10</xdr:row>
                    <xdr:rowOff>160020</xdr:rowOff>
                  </from>
                  <to>
                    <xdr:col>5</xdr:col>
                    <xdr:colOff>1821180</xdr:colOff>
                    <xdr:row>11</xdr:row>
                    <xdr:rowOff>152400</xdr:rowOff>
                  </to>
                </anchor>
              </controlPr>
            </control>
          </mc:Choice>
        </mc:AlternateContent>
        <mc:AlternateContent xmlns:mc="http://schemas.openxmlformats.org/markup-compatibility/2006">
          <mc:Choice Requires="x14">
            <control shapeId="2109" r:id="rId10" name="Button 61">
              <controlPr defaultSize="0" print="0" autoFill="0" autoPict="0" macro="[0]!SaveWorkbookWithMacros">
                <anchor moveWithCells="1" sizeWithCells="1">
                  <from>
                    <xdr:col>7</xdr:col>
                    <xdr:colOff>167640</xdr:colOff>
                    <xdr:row>20</xdr:row>
                    <xdr:rowOff>38100</xdr:rowOff>
                  </from>
                  <to>
                    <xdr:col>8</xdr:col>
                    <xdr:colOff>312420</xdr:colOff>
                    <xdr:row>21</xdr:row>
                    <xdr:rowOff>60960</xdr:rowOff>
                  </to>
                </anchor>
              </controlPr>
            </control>
          </mc:Choice>
        </mc:AlternateContent>
        <mc:AlternateContent xmlns:mc="http://schemas.openxmlformats.org/markup-compatibility/2006">
          <mc:Choice Requires="x14">
            <control shapeId="2112" r:id="rId11" name="Button 64">
              <controlPr defaultSize="0" print="0" autoFill="0" autoPict="0" macro="[0]!SaveBracketAsHTML">
                <anchor moveWithCells="1" sizeWithCells="1">
                  <from>
                    <xdr:col>7</xdr:col>
                    <xdr:colOff>182880</xdr:colOff>
                    <xdr:row>21</xdr:row>
                    <xdr:rowOff>228600</xdr:rowOff>
                  </from>
                  <to>
                    <xdr:col>8</xdr:col>
                    <xdr:colOff>320040</xdr:colOff>
                    <xdr:row>22</xdr:row>
                    <xdr:rowOff>205740</xdr:rowOff>
                  </to>
                </anchor>
              </controlPr>
            </control>
          </mc:Choice>
        </mc:AlternateContent>
        <mc:AlternateContent xmlns:mc="http://schemas.openxmlformats.org/markup-compatibility/2006">
          <mc:Choice Requires="x14">
            <control shapeId="2114" r:id="rId12" name="Button 66">
              <controlPr defaultSize="0" print="0" autoFill="0" autoPict="0" macro="[0]!importDSTTAData">
                <anchor moveWithCells="1" sizeWithCells="1">
                  <from>
                    <xdr:col>8</xdr:col>
                    <xdr:colOff>403860</xdr:colOff>
                    <xdr:row>24</xdr:row>
                    <xdr:rowOff>167640</xdr:rowOff>
                  </from>
                  <to>
                    <xdr:col>9</xdr:col>
                    <xdr:colOff>365760</xdr:colOff>
                    <xdr:row>25</xdr:row>
                    <xdr:rowOff>190500</xdr:rowOff>
                  </to>
                </anchor>
              </controlPr>
            </control>
          </mc:Choice>
        </mc:AlternateContent>
        <mc:AlternateContent xmlns:mc="http://schemas.openxmlformats.org/markup-compatibility/2006">
          <mc:Choice Requires="x14">
            <control shapeId="2133" r:id="rId13" name="Button 85">
              <controlPr defaultSize="0" print="0" autoFill="0" autoPict="0" macro="[0]!FinalizeEntries">
                <anchor moveWithCells="1" sizeWithCells="1">
                  <from>
                    <xdr:col>9</xdr:col>
                    <xdr:colOff>441960</xdr:colOff>
                    <xdr:row>24</xdr:row>
                    <xdr:rowOff>160020</xdr:rowOff>
                  </from>
                  <to>
                    <xdr:col>10</xdr:col>
                    <xdr:colOff>137160</xdr:colOff>
                    <xdr:row>25</xdr:row>
                    <xdr:rowOff>182880</xdr:rowOff>
                  </to>
                </anchor>
              </controlPr>
            </control>
          </mc:Choice>
        </mc:AlternateContent>
        <mc:AlternateContent xmlns:mc="http://schemas.openxmlformats.org/markup-compatibility/2006">
          <mc:Choice Requires="x14">
            <control shapeId="2134" r:id="rId14" name="Button 86">
              <controlPr defaultSize="0" print="0" autoFill="0" autoPict="0" macro="[0]!importRanking">
                <anchor moveWithCells="1" sizeWithCells="1">
                  <from>
                    <xdr:col>7</xdr:col>
                    <xdr:colOff>175260</xdr:colOff>
                    <xdr:row>24</xdr:row>
                    <xdr:rowOff>190500</xdr:rowOff>
                  </from>
                  <to>
                    <xdr:col>8</xdr:col>
                    <xdr:colOff>320040</xdr:colOff>
                    <xdr:row>25</xdr:row>
                    <xdr:rowOff>213360</xdr:rowOff>
                  </to>
                </anchor>
              </controlPr>
            </control>
          </mc:Choice>
        </mc:AlternateContent>
      </controls>
    </mc:Choice>
  </mc:AlternateContent>
  <tableParts count="2">
    <tablePart r:id="rId15"/>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50EB8823-32F9-49B6-964E-87123335EB6C}">
          <x14:formula1>
            <xm:f>PlayerEntries!$2:$2</xm:f>
          </x14:formula1>
          <xm:sqref>F5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13BFD-77E1-4929-AFE8-BC0B759B3C4A}">
  <sheetPr codeName="Sheet16"/>
  <dimension ref="A1:I27"/>
  <sheetViews>
    <sheetView showGridLines="0" workbookViewId="0">
      <selection activeCell="B1" sqref="B1:H1"/>
    </sheetView>
  </sheetViews>
  <sheetFormatPr defaultRowHeight="18" x14ac:dyDescent="0.35"/>
  <cols>
    <col min="1" max="1" width="2.33203125" style="10" bestFit="1" customWidth="1"/>
    <col min="2" max="2" width="32.6640625" style="130" bestFit="1" customWidth="1"/>
    <col min="3" max="9" width="6.77734375" style="10" customWidth="1"/>
    <col min="10" max="16384" width="8.88671875" style="10"/>
  </cols>
  <sheetData>
    <row r="1" spans="1:9" x14ac:dyDescent="0.35">
      <c r="B1" s="176"/>
      <c r="C1" s="176"/>
      <c r="D1" s="176"/>
      <c r="E1" s="176"/>
      <c r="F1" s="176"/>
      <c r="G1" s="176"/>
      <c r="H1" s="176"/>
    </row>
    <row r="2" spans="1:9" x14ac:dyDescent="0.35">
      <c r="B2" s="132" t="s">
        <v>2140</v>
      </c>
    </row>
    <row r="3" spans="1:9" x14ac:dyDescent="0.35">
      <c r="A3" s="174" t="s">
        <v>2024</v>
      </c>
      <c r="B3" s="175"/>
      <c r="C3" s="175"/>
      <c r="D3" s="175"/>
      <c r="E3" s="175"/>
      <c r="F3" s="175"/>
      <c r="G3" s="175"/>
    </row>
    <row r="4" spans="1:9" x14ac:dyDescent="0.35">
      <c r="A4" s="121"/>
      <c r="B4" s="131" t="s">
        <v>11</v>
      </c>
      <c r="C4" s="122">
        <v>1</v>
      </c>
      <c r="D4" s="122">
        <v>2</v>
      </c>
      <c r="E4" s="122">
        <v>3</v>
      </c>
      <c r="F4" s="123" t="s">
        <v>295</v>
      </c>
      <c r="G4" s="123" t="s">
        <v>2025</v>
      </c>
      <c r="H4" s="123" t="s">
        <v>2026</v>
      </c>
    </row>
    <row r="5" spans="1:9" ht="36" x14ac:dyDescent="0.35">
      <c r="A5" s="121">
        <v>1</v>
      </c>
      <c r="B5" s="131" t="s">
        <v>2343</v>
      </c>
      <c r="C5" s="124" t="s">
        <v>2030</v>
      </c>
      <c r="D5" s="125" t="s">
        <v>2363</v>
      </c>
      <c r="E5" s="125" t="s">
        <v>2363</v>
      </c>
      <c r="F5" s="123">
        <f>IFERROR(SUMPRODUCT(--ISNUMBER(SEARCH("-", C5:E5)), VALUE(LEFT(C5:E5, FIND("-", C5:E5)-1)) - VALUE(MID(C5:E5, FIND("-", C5:E5)+1, LEN(C5:E5)))), "")</f>
        <v>2</v>
      </c>
      <c r="G5" s="123">
        <f>IFERROR($F$5 + SUMPRODUCT(--ISNUMBER(SEARCH("-", C5:E5)), --(VALUE(LEFT(C5:E5, FIND("-", C5:E5)-1)) &gt; VALUE(MID(C5:E5, FIND("-", C5:E5)+1, LEN(C5:E5)))) * 3), "")</f>
        <v>8</v>
      </c>
      <c r="H5" s="123">
        <f>IFERROR(_xlfn.IFNA(_xlfn.RANK.EQ($G$5, $G$5:$G$7, 0),),"")</f>
        <v>1</v>
      </c>
    </row>
    <row r="6" spans="1:9" ht="36" x14ac:dyDescent="0.35">
      <c r="A6" s="121">
        <v>2</v>
      </c>
      <c r="B6" s="131" t="s">
        <v>2344</v>
      </c>
      <c r="C6" s="126" t="str">
        <f>ReverseString($D$5)</f>
        <v>1-2</v>
      </c>
      <c r="D6" s="124" t="s">
        <v>2030</v>
      </c>
      <c r="E6" s="125" t="s">
        <v>2363</v>
      </c>
      <c r="F6" s="123">
        <f>IFERROR(SUMPRODUCT(--ISNUMBER(SEARCH("-", C6:E6)), VALUE(LEFT(C6:E6, FIND("-", C6:E6)-1)) - VALUE(MID(C6:E6, FIND("-", C6:E6)+1, LEN(C6:E6)))), "")</f>
        <v>0</v>
      </c>
      <c r="G6" s="123">
        <f>IFERROR($F$6 + SUMPRODUCT(--ISNUMBER(SEARCH("-", C6:E6)), --(VALUE(LEFT(C6:E6, FIND("-", C6:E6)-1)) &gt; VALUE(MID(C6:E6, FIND("-", C6:E6)+1, LEN(C6:E6)))) * 3), "")</f>
        <v>3</v>
      </c>
      <c r="H6" s="123">
        <f>IFERROR(_xlfn.IFNA(_xlfn.RANK.EQ($G$6, $G$5:$G$7, 0),),"")</f>
        <v>2</v>
      </c>
    </row>
    <row r="7" spans="1:9" x14ac:dyDescent="0.35">
      <c r="A7" s="121">
        <v>3</v>
      </c>
      <c r="B7" s="131" t="s">
        <v>2328</v>
      </c>
      <c r="C7" s="126" t="str">
        <f>ReverseString($E$5)</f>
        <v>1-2</v>
      </c>
      <c r="D7" s="126" t="str">
        <f>ReverseString($E$6)</f>
        <v>1-2</v>
      </c>
      <c r="E7" s="124" t="s">
        <v>2030</v>
      </c>
      <c r="F7" s="123">
        <f>IFERROR(SUMPRODUCT(--ISNUMBER(SEARCH("-", C7:E7)), VALUE(LEFT(C7:E7, FIND("-", C7:E7)-1)) - VALUE(MID(C7:E7, FIND("-", C7:E7)+1, LEN(C7:E7)))), "")</f>
        <v>-2</v>
      </c>
      <c r="G7" s="123">
        <f>IFERROR($F$7 + SUMPRODUCT(--ISNUMBER(SEARCH("-", C7:E7)), --(VALUE(LEFT(C7:E7, FIND("-", C7:E7)-1)) &gt; VALUE(MID(C7:E7, FIND("-", C7:E7)+1, LEN(C7:E7)))) * 3), "")</f>
        <v>-2</v>
      </c>
      <c r="H7" s="123">
        <f>IFERROR(_xlfn.IFNA(_xlfn.RANK.EQ($G$7, $G$5:$G$7, 0),),"")</f>
        <v>3</v>
      </c>
    </row>
    <row r="9" spans="1:9" x14ac:dyDescent="0.35">
      <c r="A9" s="174" t="s">
        <v>2027</v>
      </c>
      <c r="B9" s="175"/>
      <c r="C9" s="175"/>
      <c r="D9" s="175"/>
      <c r="E9" s="175"/>
      <c r="F9" s="175"/>
      <c r="G9" s="175"/>
    </row>
    <row r="10" spans="1:9" x14ac:dyDescent="0.35">
      <c r="A10" s="121"/>
      <c r="B10" s="131" t="s">
        <v>11</v>
      </c>
      <c r="C10" s="122">
        <v>1</v>
      </c>
      <c r="D10" s="122">
        <v>2</v>
      </c>
      <c r="E10" s="122">
        <v>3</v>
      </c>
      <c r="F10" s="123" t="s">
        <v>295</v>
      </c>
      <c r="G10" s="123" t="s">
        <v>2025</v>
      </c>
      <c r="H10" s="123" t="s">
        <v>2026</v>
      </c>
    </row>
    <row r="11" spans="1:9" ht="36" x14ac:dyDescent="0.35">
      <c r="A11" s="121">
        <v>1</v>
      </c>
      <c r="B11" s="131" t="s">
        <v>2345</v>
      </c>
      <c r="C11" s="124" t="s">
        <v>2030</v>
      </c>
      <c r="D11" s="125" t="s">
        <v>2363</v>
      </c>
      <c r="E11" s="125" t="s">
        <v>2363</v>
      </c>
      <c r="F11" s="123">
        <f>IFERROR(SUMPRODUCT(--ISNUMBER(SEARCH("-", C11:E11)), VALUE(LEFT(C11:E11, FIND("-", C11:E11)-1)) - VALUE(MID(C11:E11, FIND("-", C11:E11)+1, LEN(C11:E11)))), "")</f>
        <v>2</v>
      </c>
      <c r="G11" s="123">
        <f>IFERROR($F$11 + SUMPRODUCT(--ISNUMBER(SEARCH("-", C11:E11)), --(VALUE(LEFT(C11:E11, FIND("-", C11:E11)-1)) &gt; VALUE(MID(C11:E11, FIND("-", C11:E11)+1, LEN(C11:E11)))) * 3), "")</f>
        <v>8</v>
      </c>
      <c r="H11" s="123">
        <f>IFERROR(_xlfn.IFNA(_xlfn.RANK.EQ($G$11, $G$11:$G$13, 0),),"")</f>
        <v>1</v>
      </c>
    </row>
    <row r="12" spans="1:9" x14ac:dyDescent="0.35">
      <c r="A12" s="121">
        <v>2</v>
      </c>
      <c r="B12" s="131" t="s">
        <v>2346</v>
      </c>
      <c r="C12" s="126" t="str">
        <f>ReverseString($D$11)</f>
        <v>1-2</v>
      </c>
      <c r="D12" s="124" t="s">
        <v>2030</v>
      </c>
      <c r="E12" s="125" t="s">
        <v>2363</v>
      </c>
      <c r="F12" s="123">
        <f>IFERROR(SUMPRODUCT(--ISNUMBER(SEARCH("-", C12:E12)), VALUE(LEFT(C12:E12, FIND("-", C12:E12)-1)) - VALUE(MID(C12:E12, FIND("-", C12:E12)+1, LEN(C12:E12)))), "")</f>
        <v>0</v>
      </c>
      <c r="G12" s="123">
        <f>IFERROR($F$12 + SUMPRODUCT(--ISNUMBER(SEARCH("-", C12:E12)), --(VALUE(LEFT(C12:E12, FIND("-", C12:E12)-1)) &gt; VALUE(MID(C12:E12, FIND("-", C12:E12)+1, LEN(C12:E12)))) * 3), "")</f>
        <v>3</v>
      </c>
      <c r="H12" s="123">
        <f>IFERROR(_xlfn.IFNA(_xlfn.RANK.EQ($G$12, $G$11:$G$13, 0),),"")</f>
        <v>2</v>
      </c>
    </row>
    <row r="13" spans="1:9" x14ac:dyDescent="0.35">
      <c r="A13" s="121">
        <v>3</v>
      </c>
      <c r="B13" s="131" t="s">
        <v>2327</v>
      </c>
      <c r="C13" s="126" t="str">
        <f>ReverseString($E$11)</f>
        <v>1-2</v>
      </c>
      <c r="D13" s="126" t="str">
        <f>ReverseString($E$12)</f>
        <v>1-2</v>
      </c>
      <c r="E13" s="124" t="s">
        <v>2030</v>
      </c>
      <c r="F13" s="123">
        <f>IFERROR(SUMPRODUCT(--ISNUMBER(SEARCH("-", C13:E13)), VALUE(LEFT(C13:E13, FIND("-", C13:E13)-1)) - VALUE(MID(C13:E13, FIND("-", C13:E13)+1, LEN(C13:E13)))), "")</f>
        <v>-2</v>
      </c>
      <c r="G13" s="123">
        <f>IFERROR($F$13 + SUMPRODUCT(--ISNUMBER(SEARCH("-", C13:E13)), --(VALUE(LEFT(C13:E13, FIND("-", C13:E13)-1)) &gt; VALUE(MID(C13:E13, FIND("-", C13:E13)+1, LEN(C13:E13)))) * 3), "")</f>
        <v>-2</v>
      </c>
      <c r="H13" s="123">
        <f>IFERROR(_xlfn.IFNA(_xlfn.RANK.EQ($G$13, $G$11:$G$13, 0),),"")</f>
        <v>3</v>
      </c>
    </row>
    <row r="15" spans="1:9" x14ac:dyDescent="0.35">
      <c r="A15" s="174" t="s">
        <v>2028</v>
      </c>
      <c r="B15" s="175"/>
      <c r="C15" s="175"/>
      <c r="D15" s="175"/>
      <c r="E15" s="175"/>
      <c r="F15" s="175"/>
      <c r="G15" s="175"/>
      <c r="H15" s="175"/>
    </row>
    <row r="16" spans="1:9" x14ac:dyDescent="0.35">
      <c r="A16" s="121"/>
      <c r="B16" s="131" t="s">
        <v>11</v>
      </c>
      <c r="C16" s="122">
        <v>1</v>
      </c>
      <c r="D16" s="122">
        <v>2</v>
      </c>
      <c r="E16" s="122">
        <v>3</v>
      </c>
      <c r="F16" s="122">
        <v>4</v>
      </c>
      <c r="G16" s="123" t="s">
        <v>295</v>
      </c>
      <c r="H16" s="123" t="s">
        <v>2025</v>
      </c>
      <c r="I16" s="123" t="s">
        <v>2026</v>
      </c>
    </row>
    <row r="17" spans="1:9" ht="36" x14ac:dyDescent="0.35">
      <c r="A17" s="121">
        <v>1</v>
      </c>
      <c r="B17" s="131" t="s">
        <v>2347</v>
      </c>
      <c r="C17" s="124" t="s">
        <v>2030</v>
      </c>
      <c r="D17" s="125" t="s">
        <v>2363</v>
      </c>
      <c r="E17" s="125" t="s">
        <v>2363</v>
      </c>
      <c r="F17" s="125" t="s">
        <v>2363</v>
      </c>
      <c r="G17" s="123">
        <f>IFERROR(SUMPRODUCT(--ISNUMBER(SEARCH("-", C17:F17)), VALUE(LEFT(C17:F17, FIND("-", C17:F17)-1)) - VALUE(MID(C17:F17, FIND("-", C17:F17)+1, LEN(C17:F17)))), "")</f>
        <v>3</v>
      </c>
      <c r="H17" s="123">
        <f>IFERROR($G$17 + SUMPRODUCT(--ISNUMBER(SEARCH("-", C17:F17)), --(VALUE(LEFT(C17:F17, FIND("-", C17:F17)-1)) &gt; VALUE(MID(C17:F17, FIND("-", C17:F17)+1, LEN(C17:F17)))) * 3), "")</f>
        <v>12</v>
      </c>
      <c r="I17" s="123">
        <f>IFERROR(_xlfn.IFNA(_xlfn.RANK.EQ($H$17, $H$17:$H$20, 0),),"")</f>
        <v>1</v>
      </c>
    </row>
    <row r="18" spans="1:9" ht="36" x14ac:dyDescent="0.35">
      <c r="A18" s="121">
        <v>2</v>
      </c>
      <c r="B18" s="131" t="s">
        <v>2348</v>
      </c>
      <c r="C18" s="126" t="str">
        <f>ReverseString($D$17)</f>
        <v>1-2</v>
      </c>
      <c r="D18" s="124" t="s">
        <v>2030</v>
      </c>
      <c r="E18" s="125" t="s">
        <v>2363</v>
      </c>
      <c r="F18" s="125" t="s">
        <v>2363</v>
      </c>
      <c r="G18" s="123">
        <f>IFERROR(SUMPRODUCT(--ISNUMBER(SEARCH("-", C18:F18)), VALUE(LEFT(C18:F18, FIND("-", C18:F18)-1)) - VALUE(MID(C18:F18, FIND("-", C18:F18)+1, LEN(C18:F18)))), "")</f>
        <v>1</v>
      </c>
      <c r="H18" s="123">
        <f>IFERROR($G$18 + SUMPRODUCT(--ISNUMBER(SEARCH("-", C18:F18)), --(VALUE(LEFT(C18:F18, FIND("-", C18:F18)-1)) &gt; VALUE(MID(C18:F18, FIND("-", C18:F18)+1, LEN(C18:F18)))) * 3), "")</f>
        <v>7</v>
      </c>
      <c r="I18" s="123">
        <f>IFERROR(_xlfn.IFNA(_xlfn.RANK.EQ($H$18, $H$17:$H$20, 0),),"")</f>
        <v>2</v>
      </c>
    </row>
    <row r="19" spans="1:9" x14ac:dyDescent="0.35">
      <c r="A19" s="121">
        <v>3</v>
      </c>
      <c r="B19" s="131" t="s">
        <v>2349</v>
      </c>
      <c r="C19" s="126" t="str">
        <f>ReverseString($E$17)</f>
        <v>1-2</v>
      </c>
      <c r="D19" s="126" t="str">
        <f>ReverseString($E$18)</f>
        <v>1-2</v>
      </c>
      <c r="E19" s="124" t="s">
        <v>2030</v>
      </c>
      <c r="F19" s="125" t="s">
        <v>2363</v>
      </c>
      <c r="G19" s="123">
        <f>IFERROR(SUMPRODUCT(--ISNUMBER(SEARCH("-", C19:F19)), VALUE(LEFT(C19:F19, FIND("-", C19:F19)-1)) - VALUE(MID(C19:F19, FIND("-", C19:F19)+1, LEN(C19:F19)))), "")</f>
        <v>-1</v>
      </c>
      <c r="H19" s="123">
        <f>IFERROR($G$19 + SUMPRODUCT(--ISNUMBER(SEARCH("-", C19:F19)), --(VALUE(LEFT(C19:F19, FIND("-", C19:F19)-1)) &gt; VALUE(MID(C19:F19, FIND("-", C19:F19)+1, LEN(C19:F19)))) * 3), "")</f>
        <v>2</v>
      </c>
      <c r="I19" s="123">
        <f>IFERROR(_xlfn.IFNA(_xlfn.RANK.EQ($H$19, $H$17:$H$20, 0),),"")</f>
        <v>3</v>
      </c>
    </row>
    <row r="20" spans="1:9" ht="36" x14ac:dyDescent="0.35">
      <c r="A20" s="121">
        <v>4</v>
      </c>
      <c r="B20" s="131" t="s">
        <v>2350</v>
      </c>
      <c r="C20" s="126" t="str">
        <f>ReverseString($F$17)</f>
        <v>1-2</v>
      </c>
      <c r="D20" s="126" t="str">
        <f>ReverseString($F$18)</f>
        <v>1-2</v>
      </c>
      <c r="E20" s="126" t="str">
        <f>ReverseString($F$19)</f>
        <v>1-2</v>
      </c>
      <c r="F20" s="124" t="s">
        <v>2030</v>
      </c>
      <c r="G20" s="123">
        <f>IFERROR(SUMPRODUCT(--ISNUMBER(SEARCH("-", C20:F20)), VALUE(LEFT(C20:F20, FIND("-", C20:F20)-1)) - VALUE(MID(C20:F20, FIND("-", C20:F20)+1, LEN(C20:F20)))), "")</f>
        <v>-3</v>
      </c>
      <c r="H20" s="123">
        <f>IFERROR($G$20 + SUMPRODUCT(--ISNUMBER(SEARCH("-", C20:F20)), --(VALUE(LEFT(C20:F20, FIND("-", C20:F20)-1)) &gt; VALUE(MID(C20:F20, FIND("-", C20:F20)+1, LEN(C20:F20)))) * 3), "")</f>
        <v>-3</v>
      </c>
      <c r="I20" s="123">
        <f>IFERROR(_xlfn.IFNA(_xlfn.RANK.EQ($H$20, $H$17:$H$20, 0),),"")</f>
        <v>4</v>
      </c>
    </row>
    <row r="22" spans="1:9" x14ac:dyDescent="0.35">
      <c r="A22" s="174" t="s">
        <v>2029</v>
      </c>
      <c r="B22" s="175"/>
      <c r="C22" s="175"/>
      <c r="D22" s="175"/>
      <c r="E22" s="175"/>
      <c r="F22" s="175"/>
      <c r="G22" s="175"/>
      <c r="H22" s="175"/>
    </row>
    <row r="23" spans="1:9" x14ac:dyDescent="0.35">
      <c r="A23" s="121"/>
      <c r="B23" s="131" t="s">
        <v>11</v>
      </c>
      <c r="C23" s="122">
        <v>1</v>
      </c>
      <c r="D23" s="122">
        <v>2</v>
      </c>
      <c r="E23" s="122">
        <v>3</v>
      </c>
      <c r="F23" s="122">
        <v>4</v>
      </c>
      <c r="G23" s="123" t="s">
        <v>295</v>
      </c>
      <c r="H23" s="123" t="s">
        <v>2025</v>
      </c>
      <c r="I23" s="123" t="s">
        <v>2026</v>
      </c>
    </row>
    <row r="24" spans="1:9" ht="36" x14ac:dyDescent="0.35">
      <c r="A24" s="121">
        <v>1</v>
      </c>
      <c r="B24" s="131" t="s">
        <v>2351</v>
      </c>
      <c r="C24" s="124" t="s">
        <v>2030</v>
      </c>
      <c r="D24" s="125" t="s">
        <v>2363</v>
      </c>
      <c r="E24" s="125" t="s">
        <v>2363</v>
      </c>
      <c r="F24" s="125" t="s">
        <v>2363</v>
      </c>
      <c r="G24" s="123">
        <f>IFERROR(SUMPRODUCT(--ISNUMBER(SEARCH("-", C24:F24)), VALUE(LEFT(C24:F24, FIND("-", C24:F24)-1)) - VALUE(MID(C24:F24, FIND("-", C24:F24)+1, LEN(C24:F24)))), "")</f>
        <v>3</v>
      </c>
      <c r="H24" s="123">
        <f>IFERROR($G$24 + SUMPRODUCT(--ISNUMBER(SEARCH("-", C24:F24)), --(VALUE(LEFT(C24:F24, FIND("-", C24:F24)-1)) &gt; VALUE(MID(C24:F24, FIND("-", C24:F24)+1, LEN(C24:F24)))) * 3), "")</f>
        <v>12</v>
      </c>
      <c r="I24" s="123">
        <f>IFERROR(_xlfn.IFNA(_xlfn.RANK.EQ($H$24, $H$24:$H$27, 0),),"")</f>
        <v>1</v>
      </c>
    </row>
    <row r="25" spans="1:9" ht="36" x14ac:dyDescent="0.35">
      <c r="A25" s="121">
        <v>2</v>
      </c>
      <c r="B25" s="131" t="s">
        <v>2352</v>
      </c>
      <c r="C25" s="126" t="str">
        <f>ReverseString($D$24)</f>
        <v>1-2</v>
      </c>
      <c r="D25" s="124" t="s">
        <v>2030</v>
      </c>
      <c r="E25" s="125" t="s">
        <v>2363</v>
      </c>
      <c r="F25" s="125" t="s">
        <v>2363</v>
      </c>
      <c r="G25" s="123">
        <f>IFERROR(SUMPRODUCT(--ISNUMBER(SEARCH("-", C25:F25)), VALUE(LEFT(C25:F25, FIND("-", C25:F25)-1)) - VALUE(MID(C25:F25, FIND("-", C25:F25)+1, LEN(C25:F25)))), "")</f>
        <v>1</v>
      </c>
      <c r="H25" s="123">
        <f>IFERROR($G$25 + SUMPRODUCT(--ISNUMBER(SEARCH("-", C25:F25)), --(VALUE(LEFT(C25:F25, FIND("-", C25:F25)-1)) &gt; VALUE(MID(C25:F25, FIND("-", C25:F25)+1, LEN(C25:F25)))) * 3), "")</f>
        <v>7</v>
      </c>
      <c r="I25" s="123">
        <f>IFERROR(_xlfn.IFNA(_xlfn.RANK.EQ($H$25, $H$24:$H$27, 0),),"")</f>
        <v>2</v>
      </c>
    </row>
    <row r="26" spans="1:9" ht="36" x14ac:dyDescent="0.35">
      <c r="A26" s="121">
        <v>3</v>
      </c>
      <c r="B26" s="131" t="s">
        <v>2353</v>
      </c>
      <c r="C26" s="126" t="str">
        <f>ReverseString($E$24)</f>
        <v>1-2</v>
      </c>
      <c r="D26" s="126" t="str">
        <f>ReverseString($E$25)</f>
        <v>1-2</v>
      </c>
      <c r="E26" s="124" t="s">
        <v>2030</v>
      </c>
      <c r="F26" s="125" t="s">
        <v>2363</v>
      </c>
      <c r="G26" s="123">
        <f>IFERROR(SUMPRODUCT(--ISNUMBER(SEARCH("-", C26:F26)), VALUE(LEFT(C26:F26, FIND("-", C26:F26)-1)) - VALUE(MID(C26:F26, FIND("-", C26:F26)+1, LEN(C26:F26)))), "")</f>
        <v>-1</v>
      </c>
      <c r="H26" s="123">
        <f>IFERROR($G$26 + SUMPRODUCT(--ISNUMBER(SEARCH("-", C26:F26)), --(VALUE(LEFT(C26:F26, FIND("-", C26:F26)-1)) &gt; VALUE(MID(C26:F26, FIND("-", C26:F26)+1, LEN(C26:F26)))) * 3), "")</f>
        <v>2</v>
      </c>
      <c r="I26" s="123">
        <f>IFERROR(_xlfn.IFNA(_xlfn.RANK.EQ($H$26, $H$24:$H$27, 0),),"")</f>
        <v>3</v>
      </c>
    </row>
    <row r="27" spans="1:9" ht="36" x14ac:dyDescent="0.35">
      <c r="A27" s="121">
        <v>4</v>
      </c>
      <c r="B27" s="131" t="s">
        <v>2354</v>
      </c>
      <c r="C27" s="126" t="str">
        <f>ReverseString($F$24)</f>
        <v>1-2</v>
      </c>
      <c r="D27" s="126" t="str">
        <f>ReverseString($F$25)</f>
        <v>1-2</v>
      </c>
      <c r="E27" s="126" t="str">
        <f>ReverseString($F$26)</f>
        <v>1-2</v>
      </c>
      <c r="F27" s="124" t="s">
        <v>2030</v>
      </c>
      <c r="G27" s="123">
        <f>IFERROR(SUMPRODUCT(--ISNUMBER(SEARCH("-", C27:F27)), VALUE(LEFT(C27:F27, FIND("-", C27:F27)-1)) - VALUE(MID(C27:F27, FIND("-", C27:F27)+1, LEN(C27:F27)))), "")</f>
        <v>-3</v>
      </c>
      <c r="H27" s="123">
        <f>IFERROR($G$27 + SUMPRODUCT(--ISNUMBER(SEARCH("-", C27:F27)), --(VALUE(LEFT(C27:F27, FIND("-", C27:F27)-1)) &gt; VALUE(MID(C27:F27, FIND("-", C27:F27)+1, LEN(C27:F27)))) * 3), "")</f>
        <v>-3</v>
      </c>
      <c r="I27" s="123">
        <f>IFERROR(_xlfn.IFNA(_xlfn.RANK.EQ($H$27, $H$24:$H$27, 0),),"")</f>
        <v>4</v>
      </c>
    </row>
  </sheetData>
  <sheetProtection sheet="1" objects="1" scenarios="1"/>
  <mergeCells count="5">
    <mergeCell ref="A15:H15"/>
    <mergeCell ref="A22:H22"/>
    <mergeCell ref="B1:H1"/>
    <mergeCell ref="A3:G3"/>
    <mergeCell ref="A9:G9"/>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23034" r:id="rId4" name="Button 122">
              <controlPr defaultSize="0" print="0" autoFill="0" autoPict="0" macro="[0]!SaveAllScoreSheets">
                <anchor moveWithCells="1" sizeWithCells="1">
                  <from>
                    <xdr:col>1</xdr:col>
                    <xdr:colOff>0</xdr:colOff>
                    <xdr:row>0</xdr:row>
                    <xdr:rowOff>0</xdr:rowOff>
                  </from>
                  <to>
                    <xdr:col>2</xdr:col>
                    <xdr:colOff>114300</xdr:colOff>
                    <xdr:row>1</xdr:row>
                    <xdr:rowOff>0</xdr:rowOff>
                  </to>
                </anchor>
              </controlPr>
            </control>
          </mc:Choice>
        </mc:AlternateContent>
        <mc:AlternateContent xmlns:mc="http://schemas.openxmlformats.org/markup-compatibility/2006">
          <mc:Choice Requires="x14">
            <control shapeId="423035" r:id="rId5" name="Button 123">
              <controlPr defaultSize="0" print="0" autoFill="0" autoPict="0" macro="[0]!CalculateQualifiers">
                <anchor moveWithCells="1" sizeWithCells="1">
                  <from>
                    <xdr:col>2</xdr:col>
                    <xdr:colOff>114300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36" r:id="rId6" name="Button 124">
              <controlPr defaultSize="0" print="0" autoFill="0" autoPict="0" macro="[0]!PrintGroups">
                <anchor moveWithCells="1" sizeWithCells="1">
                  <from>
                    <xdr:col>8</xdr:col>
                    <xdr:colOff>0</xdr:colOff>
                    <xdr:row>0</xdr:row>
                    <xdr:rowOff>0</xdr:rowOff>
                  </from>
                  <to>
                    <xdr:col>12</xdr:col>
                    <xdr:colOff>236220</xdr:colOff>
                    <xdr:row>1</xdr:row>
                    <xdr:rowOff>0</xdr:rowOff>
                  </to>
                </anchor>
              </controlPr>
            </control>
          </mc:Choice>
        </mc:AlternateContent>
        <mc:AlternateContent xmlns:mc="http://schemas.openxmlformats.org/markup-compatibility/2006">
          <mc:Choice Requires="x14">
            <control shapeId="423037" r:id="rId7" name="Button 125">
              <controlPr defaultSize="0" print="0" autoFill="0" autoPict="0" macro="[0]!SaveAllScoreSheets">
                <anchor moveWithCells="1" sizeWithCells="1">
                  <from>
                    <xdr:col>1</xdr:col>
                    <xdr:colOff>0</xdr:colOff>
                    <xdr:row>0</xdr:row>
                    <xdr:rowOff>0</xdr:rowOff>
                  </from>
                  <to>
                    <xdr:col>2</xdr:col>
                    <xdr:colOff>114300</xdr:colOff>
                    <xdr:row>1</xdr:row>
                    <xdr:rowOff>0</xdr:rowOff>
                  </to>
                </anchor>
              </controlPr>
            </control>
          </mc:Choice>
        </mc:AlternateContent>
        <mc:AlternateContent xmlns:mc="http://schemas.openxmlformats.org/markup-compatibility/2006">
          <mc:Choice Requires="x14">
            <control shapeId="423038" r:id="rId8" name="Button 126">
              <controlPr defaultSize="0" print="0" autoFill="0" autoPict="0" macro="[0]!CalculateQualifiers">
                <anchor moveWithCells="1" sizeWithCells="1">
                  <from>
                    <xdr:col>2</xdr:col>
                    <xdr:colOff>114300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39" r:id="rId9" name="Button 127">
              <controlPr defaultSize="0" print="0" autoFill="0" autoPict="0" macro="[0]!PrintGroups">
                <anchor moveWithCells="1" sizeWithCells="1">
                  <from>
                    <xdr:col>8</xdr:col>
                    <xdr:colOff>0</xdr:colOff>
                    <xdr:row>0</xdr:row>
                    <xdr:rowOff>0</xdr:rowOff>
                  </from>
                  <to>
                    <xdr:col>12</xdr:col>
                    <xdr:colOff>236220</xdr:colOff>
                    <xdr:row>1</xdr:row>
                    <xdr:rowOff>0</xdr:rowOff>
                  </to>
                </anchor>
              </controlPr>
            </control>
          </mc:Choice>
        </mc:AlternateContent>
        <mc:AlternateContent xmlns:mc="http://schemas.openxmlformats.org/markup-compatibility/2006">
          <mc:Choice Requires="x14">
            <control shapeId="423040" r:id="rId10" name="Button 128">
              <controlPr defaultSize="0" print="0" autoFill="0" autoPict="0" macro="[0]!SaveAllScoreSheets">
                <anchor moveWithCells="1" sizeWithCells="1">
                  <from>
                    <xdr:col>1</xdr:col>
                    <xdr:colOff>0</xdr:colOff>
                    <xdr:row>0</xdr:row>
                    <xdr:rowOff>0</xdr:rowOff>
                  </from>
                  <to>
                    <xdr:col>2</xdr:col>
                    <xdr:colOff>114300</xdr:colOff>
                    <xdr:row>1</xdr:row>
                    <xdr:rowOff>0</xdr:rowOff>
                  </to>
                </anchor>
              </controlPr>
            </control>
          </mc:Choice>
        </mc:AlternateContent>
        <mc:AlternateContent xmlns:mc="http://schemas.openxmlformats.org/markup-compatibility/2006">
          <mc:Choice Requires="x14">
            <control shapeId="423041" r:id="rId11" name="Button 129">
              <controlPr defaultSize="0" print="0" autoFill="0" autoPict="0" macro="[0]!CalculateQualifiers">
                <anchor moveWithCells="1" sizeWithCells="1">
                  <from>
                    <xdr:col>2</xdr:col>
                    <xdr:colOff>114300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42" r:id="rId12" name="Button 130">
              <controlPr defaultSize="0" print="0" autoFill="0" autoPict="0" macro="[0]!PrintGroups">
                <anchor moveWithCells="1" sizeWithCells="1">
                  <from>
                    <xdr:col>8</xdr:col>
                    <xdr:colOff>0</xdr:colOff>
                    <xdr:row>0</xdr:row>
                    <xdr:rowOff>0</xdr:rowOff>
                  </from>
                  <to>
                    <xdr:col>12</xdr:col>
                    <xdr:colOff>236220</xdr:colOff>
                    <xdr:row>1</xdr:row>
                    <xdr:rowOff>0</xdr:rowOff>
                  </to>
                </anchor>
              </controlPr>
            </control>
          </mc:Choice>
        </mc:AlternateContent>
        <mc:AlternateContent xmlns:mc="http://schemas.openxmlformats.org/markup-compatibility/2006">
          <mc:Choice Requires="x14">
            <control shapeId="423043" r:id="rId13" name="Button 131">
              <controlPr defaultSize="0" print="0" autoFill="0" autoPict="0" macro="[0]!SaveAllScoreSheets">
                <anchor moveWithCells="1" sizeWithCells="1">
                  <from>
                    <xdr:col>1</xdr:col>
                    <xdr:colOff>0</xdr:colOff>
                    <xdr:row>0</xdr:row>
                    <xdr:rowOff>0</xdr:rowOff>
                  </from>
                  <to>
                    <xdr:col>3</xdr:col>
                    <xdr:colOff>236220</xdr:colOff>
                    <xdr:row>1</xdr:row>
                    <xdr:rowOff>0</xdr:rowOff>
                  </to>
                </anchor>
              </controlPr>
            </control>
          </mc:Choice>
        </mc:AlternateContent>
        <mc:AlternateContent xmlns:mc="http://schemas.openxmlformats.org/markup-compatibility/2006">
          <mc:Choice Requires="x14">
            <control shapeId="423044" r:id="rId14" name="Button 132">
              <controlPr defaultSize="0" print="0" autoFill="0" autoPict="0" macro="[0]!CalculateQualifiers">
                <anchor moveWithCells="1" sizeWithCells="1">
                  <from>
                    <xdr:col>3</xdr:col>
                    <xdr:colOff>236220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45" r:id="rId15" name="Button 133">
              <controlPr defaultSize="0" print="0" autoFill="0" autoPict="0" macro="[0]!PrintGroups">
                <anchor moveWithCells="1" sizeWithCells="1">
                  <from>
                    <xdr:col>8</xdr:col>
                    <xdr:colOff>0</xdr:colOff>
                    <xdr:row>0</xdr:row>
                    <xdr:rowOff>0</xdr:rowOff>
                  </from>
                  <to>
                    <xdr:col>11</xdr:col>
                    <xdr:colOff>251460</xdr:colOff>
                    <xdr:row>1</xdr:row>
                    <xdr:rowOff>0</xdr:rowOff>
                  </to>
                </anchor>
              </controlPr>
            </control>
          </mc:Choice>
        </mc:AlternateContent>
        <mc:AlternateContent xmlns:mc="http://schemas.openxmlformats.org/markup-compatibility/2006">
          <mc:Choice Requires="x14">
            <control shapeId="423046" r:id="rId16" name="Button 134">
              <controlPr defaultSize="0" print="0" autoFill="0" autoPict="0" macro="[0]!SaveAllScoreSheets">
                <anchor moveWithCells="1" sizeWithCells="1">
                  <from>
                    <xdr:col>1</xdr:col>
                    <xdr:colOff>0</xdr:colOff>
                    <xdr:row>0</xdr:row>
                    <xdr:rowOff>0</xdr:rowOff>
                  </from>
                  <to>
                    <xdr:col>3</xdr:col>
                    <xdr:colOff>289560</xdr:colOff>
                    <xdr:row>1</xdr:row>
                    <xdr:rowOff>0</xdr:rowOff>
                  </to>
                </anchor>
              </controlPr>
            </control>
          </mc:Choice>
        </mc:AlternateContent>
        <mc:AlternateContent xmlns:mc="http://schemas.openxmlformats.org/markup-compatibility/2006">
          <mc:Choice Requires="x14">
            <control shapeId="423047" r:id="rId17" name="Button 135">
              <controlPr defaultSize="0" print="0" autoFill="0" autoPict="0" macro="[0]!CalculateQualifiers">
                <anchor moveWithCells="1" sizeWithCells="1">
                  <from>
                    <xdr:col>3</xdr:col>
                    <xdr:colOff>289560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48" r:id="rId18" name="Button 136">
              <controlPr defaultSize="0" print="0" autoFill="0" autoPict="0" macro="[0]!PrintGroups">
                <anchor moveWithCells="1" sizeWithCells="1">
                  <from>
                    <xdr:col>8</xdr:col>
                    <xdr:colOff>0</xdr:colOff>
                    <xdr:row>0</xdr:row>
                    <xdr:rowOff>0</xdr:rowOff>
                  </from>
                  <to>
                    <xdr:col>11</xdr:col>
                    <xdr:colOff>350520</xdr:colOff>
                    <xdr:row>1</xdr:row>
                    <xdr:rowOff>0</xdr:rowOff>
                  </to>
                </anchor>
              </controlPr>
            </control>
          </mc:Choice>
        </mc:AlternateContent>
        <mc:AlternateContent xmlns:mc="http://schemas.openxmlformats.org/markup-compatibility/2006">
          <mc:Choice Requires="x14">
            <control shapeId="423049" r:id="rId19" name="Button 137">
              <controlPr defaultSize="0" print="0" autoFill="0" autoPict="0" macro="[0]!SaveAllScoreSheets">
                <anchor moveWithCells="1" sizeWithCells="1">
                  <from>
                    <xdr:col>1</xdr:col>
                    <xdr:colOff>0</xdr:colOff>
                    <xdr:row>0</xdr:row>
                    <xdr:rowOff>0</xdr:rowOff>
                  </from>
                  <to>
                    <xdr:col>3</xdr:col>
                    <xdr:colOff>152400</xdr:colOff>
                    <xdr:row>1</xdr:row>
                    <xdr:rowOff>0</xdr:rowOff>
                  </to>
                </anchor>
              </controlPr>
            </control>
          </mc:Choice>
        </mc:AlternateContent>
        <mc:AlternateContent xmlns:mc="http://schemas.openxmlformats.org/markup-compatibility/2006">
          <mc:Choice Requires="x14">
            <control shapeId="423050" r:id="rId20" name="Button 138">
              <controlPr defaultSize="0" print="0" autoFill="0" autoPict="0" macro="[0]!CalculateQualifiers">
                <anchor moveWithCells="1" sizeWithCells="1">
                  <from>
                    <xdr:col>3</xdr:col>
                    <xdr:colOff>152400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51" r:id="rId21" name="Button 139">
              <controlPr defaultSize="0" print="0" autoFill="0" autoPict="0" macro="[0]!PrintGroups">
                <anchor moveWithCells="1" sizeWithCells="1">
                  <from>
                    <xdr:col>8</xdr:col>
                    <xdr:colOff>0</xdr:colOff>
                    <xdr:row>0</xdr:row>
                    <xdr:rowOff>0</xdr:rowOff>
                  </from>
                  <to>
                    <xdr:col>11</xdr:col>
                    <xdr:colOff>487680</xdr:colOff>
                    <xdr:row>1</xdr:row>
                    <xdr:rowOff>0</xdr:rowOff>
                  </to>
                </anchor>
              </controlPr>
            </control>
          </mc:Choice>
        </mc:AlternateContent>
        <mc:AlternateContent xmlns:mc="http://schemas.openxmlformats.org/markup-compatibility/2006">
          <mc:Choice Requires="x14">
            <control shapeId="423052" r:id="rId22" name="Button 140">
              <controlPr defaultSize="0" print="0" autoFill="0" autoPict="0" macro="[0]!SaveAllScoreSheets">
                <anchor moveWithCells="1" sizeWithCells="1">
                  <from>
                    <xdr:col>1</xdr:col>
                    <xdr:colOff>0</xdr:colOff>
                    <xdr:row>0</xdr:row>
                    <xdr:rowOff>0</xdr:rowOff>
                  </from>
                  <to>
                    <xdr:col>3</xdr:col>
                    <xdr:colOff>152400</xdr:colOff>
                    <xdr:row>1</xdr:row>
                    <xdr:rowOff>0</xdr:rowOff>
                  </to>
                </anchor>
              </controlPr>
            </control>
          </mc:Choice>
        </mc:AlternateContent>
        <mc:AlternateContent xmlns:mc="http://schemas.openxmlformats.org/markup-compatibility/2006">
          <mc:Choice Requires="x14">
            <control shapeId="423053" r:id="rId23" name="Button 141">
              <controlPr defaultSize="0" print="0" autoFill="0" autoPict="0" macro="[0]!CalculateQualifiers">
                <anchor moveWithCells="1" sizeWithCells="1">
                  <from>
                    <xdr:col>3</xdr:col>
                    <xdr:colOff>152400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54" r:id="rId24" name="Button 142">
              <controlPr defaultSize="0" print="0" autoFill="0" autoPict="0" macro="[0]!PrintGroups">
                <anchor moveWithCells="1" sizeWithCells="1">
                  <from>
                    <xdr:col>8</xdr:col>
                    <xdr:colOff>0</xdr:colOff>
                    <xdr:row>0</xdr:row>
                    <xdr:rowOff>0</xdr:rowOff>
                  </from>
                  <to>
                    <xdr:col>11</xdr:col>
                    <xdr:colOff>487680</xdr:colOff>
                    <xdr:row>1</xdr:row>
                    <xdr:rowOff>0</xdr:rowOff>
                  </to>
                </anchor>
              </controlPr>
            </control>
          </mc:Choice>
        </mc:AlternateContent>
        <mc:AlternateContent xmlns:mc="http://schemas.openxmlformats.org/markup-compatibility/2006">
          <mc:Choice Requires="x14">
            <control shapeId="423055" r:id="rId25" name="Button 143">
              <controlPr defaultSize="0" print="0" autoFill="0" autoPict="0" macro="[0]!SaveAllScoreSheets">
                <anchor moveWithCells="1" sizeWithCells="1">
                  <from>
                    <xdr:col>1</xdr:col>
                    <xdr:colOff>0</xdr:colOff>
                    <xdr:row>0</xdr:row>
                    <xdr:rowOff>0</xdr:rowOff>
                  </from>
                  <to>
                    <xdr:col>3</xdr:col>
                    <xdr:colOff>152400</xdr:colOff>
                    <xdr:row>1</xdr:row>
                    <xdr:rowOff>0</xdr:rowOff>
                  </to>
                </anchor>
              </controlPr>
            </control>
          </mc:Choice>
        </mc:AlternateContent>
        <mc:AlternateContent xmlns:mc="http://schemas.openxmlformats.org/markup-compatibility/2006">
          <mc:Choice Requires="x14">
            <control shapeId="423056" r:id="rId26" name="Button 144">
              <controlPr defaultSize="0" print="0" autoFill="0" autoPict="0" macro="[0]!CalculateQualifiers">
                <anchor moveWithCells="1" sizeWithCells="1">
                  <from>
                    <xdr:col>3</xdr:col>
                    <xdr:colOff>152400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57" r:id="rId27" name="Button 145">
              <controlPr defaultSize="0" print="0" autoFill="0" autoPict="0" macro="[0]!PrintGroups">
                <anchor moveWithCells="1" sizeWithCells="1">
                  <from>
                    <xdr:col>8</xdr:col>
                    <xdr:colOff>0</xdr:colOff>
                    <xdr:row>0</xdr:row>
                    <xdr:rowOff>0</xdr:rowOff>
                  </from>
                  <to>
                    <xdr:col>11</xdr:col>
                    <xdr:colOff>487680</xdr:colOff>
                    <xdr:row>1</xdr:row>
                    <xdr:rowOff>0</xdr:rowOff>
                  </to>
                </anchor>
              </controlPr>
            </control>
          </mc:Choice>
        </mc:AlternateContent>
        <mc:AlternateContent xmlns:mc="http://schemas.openxmlformats.org/markup-compatibility/2006">
          <mc:Choice Requires="x14">
            <control shapeId="423058" r:id="rId28" name="Button 146">
              <controlPr defaultSize="0" print="0" autoFill="0" autoPict="0" macro="[0]!SaveAllScoreSheets">
                <anchor moveWithCells="1" sizeWithCells="1">
                  <from>
                    <xdr:col>1</xdr:col>
                    <xdr:colOff>0</xdr:colOff>
                    <xdr:row>0</xdr:row>
                    <xdr:rowOff>0</xdr:rowOff>
                  </from>
                  <to>
                    <xdr:col>2</xdr:col>
                    <xdr:colOff>182880</xdr:colOff>
                    <xdr:row>1</xdr:row>
                    <xdr:rowOff>0</xdr:rowOff>
                  </to>
                </anchor>
              </controlPr>
            </control>
          </mc:Choice>
        </mc:AlternateContent>
        <mc:AlternateContent xmlns:mc="http://schemas.openxmlformats.org/markup-compatibility/2006">
          <mc:Choice Requires="x14">
            <control shapeId="423059" r:id="rId29" name="Button 147">
              <controlPr defaultSize="0" print="0" autoFill="0" autoPict="0" macro="[0]!CalculateQualifiers">
                <anchor moveWithCells="1" sizeWithCells="1">
                  <from>
                    <xdr:col>2</xdr:col>
                    <xdr:colOff>182880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60" r:id="rId30" name="Button 148">
              <controlPr defaultSize="0" print="0" autoFill="0" autoPict="0" macro="[0]!PrintGroups">
                <anchor moveWithCells="1" sizeWithCells="1">
                  <from>
                    <xdr:col>8</xdr:col>
                    <xdr:colOff>0</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423061" r:id="rId31" name="Button 149">
              <controlPr defaultSize="0" print="0" autoFill="0" autoPict="0" macro="[0]!SaveAllScoreSheets">
                <anchor moveWithCells="1" sizeWithCells="1">
                  <from>
                    <xdr:col>1</xdr:col>
                    <xdr:colOff>0</xdr:colOff>
                    <xdr:row>0</xdr:row>
                    <xdr:rowOff>0</xdr:rowOff>
                  </from>
                  <to>
                    <xdr:col>2</xdr:col>
                    <xdr:colOff>388620</xdr:colOff>
                    <xdr:row>1</xdr:row>
                    <xdr:rowOff>0</xdr:rowOff>
                  </to>
                </anchor>
              </controlPr>
            </control>
          </mc:Choice>
        </mc:AlternateContent>
        <mc:AlternateContent xmlns:mc="http://schemas.openxmlformats.org/markup-compatibility/2006">
          <mc:Choice Requires="x14">
            <control shapeId="423062" r:id="rId32" name="Button 150">
              <controlPr defaultSize="0" print="0" autoFill="0" autoPict="0" macro="[0]!CalculateQualifiers">
                <anchor moveWithCells="1" sizeWithCells="1">
                  <from>
                    <xdr:col>2</xdr:col>
                    <xdr:colOff>388620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63" r:id="rId33" name="Button 151">
              <controlPr defaultSize="0" print="0" autoFill="0" autoPict="0" macro="[0]!PrintGroups">
                <anchor moveWithCells="1" sizeWithCells="1">
                  <from>
                    <xdr:col>8</xdr:col>
                    <xdr:colOff>0</xdr:colOff>
                    <xdr:row>0</xdr:row>
                    <xdr:rowOff>0</xdr:rowOff>
                  </from>
                  <to>
                    <xdr:col>12</xdr:col>
                    <xdr:colOff>106680</xdr:colOff>
                    <xdr:row>1</xdr:row>
                    <xdr:rowOff>0</xdr:rowOff>
                  </to>
                </anchor>
              </controlPr>
            </control>
          </mc:Choice>
        </mc:AlternateContent>
        <mc:AlternateContent xmlns:mc="http://schemas.openxmlformats.org/markup-compatibility/2006">
          <mc:Choice Requires="x14">
            <control shapeId="423064" r:id="rId34" name="Button 152">
              <controlPr defaultSize="0" print="0" autoFill="0" autoPict="0" macro="[0]!SaveAllScoreSheets">
                <anchor moveWithCells="1" sizeWithCells="1">
                  <from>
                    <xdr:col>1</xdr:col>
                    <xdr:colOff>0</xdr:colOff>
                    <xdr:row>0</xdr:row>
                    <xdr:rowOff>0</xdr:rowOff>
                  </from>
                  <to>
                    <xdr:col>2</xdr:col>
                    <xdr:colOff>388620</xdr:colOff>
                    <xdr:row>1</xdr:row>
                    <xdr:rowOff>0</xdr:rowOff>
                  </to>
                </anchor>
              </controlPr>
            </control>
          </mc:Choice>
        </mc:AlternateContent>
        <mc:AlternateContent xmlns:mc="http://schemas.openxmlformats.org/markup-compatibility/2006">
          <mc:Choice Requires="x14">
            <control shapeId="423065" r:id="rId35" name="Button 153">
              <controlPr defaultSize="0" print="0" autoFill="0" autoPict="0" macro="[0]!CalculateQualifiers">
                <anchor moveWithCells="1" sizeWithCells="1">
                  <from>
                    <xdr:col>2</xdr:col>
                    <xdr:colOff>388620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66" r:id="rId36" name="Button 154">
              <controlPr defaultSize="0" print="0" autoFill="0" autoPict="0" macro="[0]!PrintGroups">
                <anchor moveWithCells="1" sizeWithCells="1">
                  <from>
                    <xdr:col>8</xdr:col>
                    <xdr:colOff>0</xdr:colOff>
                    <xdr:row>0</xdr:row>
                    <xdr:rowOff>0</xdr:rowOff>
                  </from>
                  <to>
                    <xdr:col>12</xdr:col>
                    <xdr:colOff>106680</xdr:colOff>
                    <xdr:row>1</xdr:row>
                    <xdr:rowOff>0</xdr:rowOff>
                  </to>
                </anchor>
              </controlPr>
            </control>
          </mc:Choice>
        </mc:AlternateContent>
        <mc:AlternateContent xmlns:mc="http://schemas.openxmlformats.org/markup-compatibility/2006">
          <mc:Choice Requires="x14">
            <control shapeId="423067" r:id="rId37" name="Button 155">
              <controlPr defaultSize="0" print="0" autoFill="0" autoPict="0" macro="[0]!SaveAllScoreSheets">
                <anchor moveWithCells="1" sizeWithCells="1">
                  <from>
                    <xdr:col>1</xdr:col>
                    <xdr:colOff>0</xdr:colOff>
                    <xdr:row>0</xdr:row>
                    <xdr:rowOff>0</xdr:rowOff>
                  </from>
                  <to>
                    <xdr:col>2</xdr:col>
                    <xdr:colOff>388620</xdr:colOff>
                    <xdr:row>1</xdr:row>
                    <xdr:rowOff>0</xdr:rowOff>
                  </to>
                </anchor>
              </controlPr>
            </control>
          </mc:Choice>
        </mc:AlternateContent>
        <mc:AlternateContent xmlns:mc="http://schemas.openxmlformats.org/markup-compatibility/2006">
          <mc:Choice Requires="x14">
            <control shapeId="423068" r:id="rId38" name="Button 156">
              <controlPr defaultSize="0" print="0" autoFill="0" autoPict="0" macro="[0]!CalculateQualifiers">
                <anchor moveWithCells="1" sizeWithCells="1">
                  <from>
                    <xdr:col>2</xdr:col>
                    <xdr:colOff>388620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69" r:id="rId39" name="Button 157">
              <controlPr defaultSize="0" print="0" autoFill="0" autoPict="0" macro="[0]!PrintGroups">
                <anchor moveWithCells="1" sizeWithCells="1">
                  <from>
                    <xdr:col>8</xdr:col>
                    <xdr:colOff>0</xdr:colOff>
                    <xdr:row>0</xdr:row>
                    <xdr:rowOff>0</xdr:rowOff>
                  </from>
                  <to>
                    <xdr:col>12</xdr:col>
                    <xdr:colOff>106680</xdr:colOff>
                    <xdr:row>1</xdr:row>
                    <xdr:rowOff>0</xdr:rowOff>
                  </to>
                </anchor>
              </controlPr>
            </control>
          </mc:Choice>
        </mc:AlternateContent>
        <mc:AlternateContent xmlns:mc="http://schemas.openxmlformats.org/markup-compatibility/2006">
          <mc:Choice Requires="x14">
            <control shapeId="423070" r:id="rId40" name="Button 158">
              <controlPr defaultSize="0" print="0" autoFill="0" autoPict="0" macro="[0]!SaveAllScoreSheets">
                <anchor moveWithCells="1" sizeWithCells="1">
                  <from>
                    <xdr:col>1</xdr:col>
                    <xdr:colOff>0</xdr:colOff>
                    <xdr:row>0</xdr:row>
                    <xdr:rowOff>0</xdr:rowOff>
                  </from>
                  <to>
                    <xdr:col>2</xdr:col>
                    <xdr:colOff>167640</xdr:colOff>
                    <xdr:row>1</xdr:row>
                    <xdr:rowOff>0</xdr:rowOff>
                  </to>
                </anchor>
              </controlPr>
            </control>
          </mc:Choice>
        </mc:AlternateContent>
        <mc:AlternateContent xmlns:mc="http://schemas.openxmlformats.org/markup-compatibility/2006">
          <mc:Choice Requires="x14">
            <control shapeId="423071" r:id="rId41" name="Button 159">
              <controlPr defaultSize="0" print="0" autoFill="0" autoPict="0" macro="[0]!CalculateQualifiers">
                <anchor moveWithCells="1" sizeWithCells="1">
                  <from>
                    <xdr:col>2</xdr:col>
                    <xdr:colOff>167640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72" r:id="rId42" name="Button 160">
              <controlPr defaultSize="0" print="0" autoFill="0" autoPict="0" macro="[0]!PrintGroups">
                <anchor moveWithCells="1" sizeWithCells="1">
                  <from>
                    <xdr:col>8</xdr:col>
                    <xdr:colOff>0</xdr:colOff>
                    <xdr:row>0</xdr:row>
                    <xdr:rowOff>0</xdr:rowOff>
                  </from>
                  <to>
                    <xdr:col>12</xdr:col>
                    <xdr:colOff>320040</xdr:colOff>
                    <xdr:row>1</xdr:row>
                    <xdr:rowOff>0</xdr:rowOff>
                  </to>
                </anchor>
              </controlPr>
            </control>
          </mc:Choice>
        </mc:AlternateContent>
        <mc:AlternateContent xmlns:mc="http://schemas.openxmlformats.org/markup-compatibility/2006">
          <mc:Choice Requires="x14">
            <control shapeId="423073" r:id="rId43" name="Button 161">
              <controlPr defaultSize="0" print="0" autoFill="0" autoPict="0" macro="[0]!SaveAllScoreSheets">
                <anchor moveWithCells="1" sizeWithCells="1">
                  <from>
                    <xdr:col>1</xdr:col>
                    <xdr:colOff>0</xdr:colOff>
                    <xdr:row>0</xdr:row>
                    <xdr:rowOff>0</xdr:rowOff>
                  </from>
                  <to>
                    <xdr:col>2</xdr:col>
                    <xdr:colOff>167640</xdr:colOff>
                    <xdr:row>1</xdr:row>
                    <xdr:rowOff>0</xdr:rowOff>
                  </to>
                </anchor>
              </controlPr>
            </control>
          </mc:Choice>
        </mc:AlternateContent>
        <mc:AlternateContent xmlns:mc="http://schemas.openxmlformats.org/markup-compatibility/2006">
          <mc:Choice Requires="x14">
            <control shapeId="423074" r:id="rId44" name="Button 162">
              <controlPr defaultSize="0" print="0" autoFill="0" autoPict="0" macro="[0]!CalculateQualifiers">
                <anchor moveWithCells="1" sizeWithCells="1">
                  <from>
                    <xdr:col>2</xdr:col>
                    <xdr:colOff>167640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75" r:id="rId45" name="Button 163">
              <controlPr defaultSize="0" print="0" autoFill="0" autoPict="0" macro="[0]!SaveGroups">
                <anchor moveWithCells="1" sizeWithCells="1">
                  <from>
                    <xdr:col>8</xdr:col>
                    <xdr:colOff>0</xdr:colOff>
                    <xdr:row>0</xdr:row>
                    <xdr:rowOff>0</xdr:rowOff>
                  </from>
                  <to>
                    <xdr:col>12</xdr:col>
                    <xdr:colOff>320040</xdr:colOff>
                    <xdr:row>1</xdr:row>
                    <xdr:rowOff>0</xdr:rowOff>
                  </to>
                </anchor>
              </controlPr>
            </control>
          </mc:Choice>
        </mc:AlternateContent>
        <mc:AlternateContent xmlns:mc="http://schemas.openxmlformats.org/markup-compatibility/2006">
          <mc:Choice Requires="x14">
            <control shapeId="423076" r:id="rId46" name="Button 164">
              <controlPr defaultSize="0" print="0" autoFill="0" autoPict="0" macro="[0]!SaveAllScoreSheets">
                <anchor moveWithCells="1" sizeWithCells="1">
                  <from>
                    <xdr:col>1</xdr:col>
                    <xdr:colOff>0</xdr:colOff>
                    <xdr:row>0</xdr:row>
                    <xdr:rowOff>0</xdr:rowOff>
                  </from>
                  <to>
                    <xdr:col>2</xdr:col>
                    <xdr:colOff>167640</xdr:colOff>
                    <xdr:row>1</xdr:row>
                    <xdr:rowOff>0</xdr:rowOff>
                  </to>
                </anchor>
              </controlPr>
            </control>
          </mc:Choice>
        </mc:AlternateContent>
        <mc:AlternateContent xmlns:mc="http://schemas.openxmlformats.org/markup-compatibility/2006">
          <mc:Choice Requires="x14">
            <control shapeId="423077" r:id="rId47" name="Button 165">
              <controlPr defaultSize="0" print="0" autoFill="0" autoPict="0" macro="[0]!CalculateQualifiers">
                <anchor moveWithCells="1" sizeWithCells="1">
                  <from>
                    <xdr:col>2</xdr:col>
                    <xdr:colOff>167640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78" r:id="rId48" name="Button 166">
              <controlPr defaultSize="0" print="0" autoFill="0" autoPict="0" macro="[0]!SaveGroups">
                <anchor moveWithCells="1" sizeWithCells="1">
                  <from>
                    <xdr:col>8</xdr:col>
                    <xdr:colOff>0</xdr:colOff>
                    <xdr:row>0</xdr:row>
                    <xdr:rowOff>0</xdr:rowOff>
                  </from>
                  <to>
                    <xdr:col>12</xdr:col>
                    <xdr:colOff>320040</xdr:colOff>
                    <xdr:row>1</xdr:row>
                    <xdr:rowOff>0</xdr:rowOff>
                  </to>
                </anchor>
              </controlPr>
            </control>
          </mc:Choice>
        </mc:AlternateContent>
        <mc:AlternateContent xmlns:mc="http://schemas.openxmlformats.org/markup-compatibility/2006">
          <mc:Choice Requires="x14">
            <control shapeId="423079" r:id="rId49" name="Button 167">
              <controlPr defaultSize="0" print="0" autoFill="0" autoPict="0" macro="[0]!SaveAllScoreSheets">
                <anchor moveWithCells="1" sizeWithCells="1">
                  <from>
                    <xdr:col>1</xdr:col>
                    <xdr:colOff>0</xdr:colOff>
                    <xdr:row>0</xdr:row>
                    <xdr:rowOff>0</xdr:rowOff>
                  </from>
                  <to>
                    <xdr:col>2</xdr:col>
                    <xdr:colOff>167640</xdr:colOff>
                    <xdr:row>1</xdr:row>
                    <xdr:rowOff>0</xdr:rowOff>
                  </to>
                </anchor>
              </controlPr>
            </control>
          </mc:Choice>
        </mc:AlternateContent>
        <mc:AlternateContent xmlns:mc="http://schemas.openxmlformats.org/markup-compatibility/2006">
          <mc:Choice Requires="x14">
            <control shapeId="423080" r:id="rId50" name="Button 168">
              <controlPr defaultSize="0" print="0" autoFill="0" autoPict="0" macro="[0]!CalculateQualifiers">
                <anchor moveWithCells="1" sizeWithCells="1">
                  <from>
                    <xdr:col>2</xdr:col>
                    <xdr:colOff>167640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81" r:id="rId51" name="Button 169">
              <controlPr defaultSize="0" print="0" autoFill="0" autoPict="0" macro="[0]!SaveGroups">
                <anchor moveWithCells="1" sizeWithCells="1">
                  <from>
                    <xdr:col>8</xdr:col>
                    <xdr:colOff>0</xdr:colOff>
                    <xdr:row>0</xdr:row>
                    <xdr:rowOff>0</xdr:rowOff>
                  </from>
                  <to>
                    <xdr:col>12</xdr:col>
                    <xdr:colOff>320040</xdr:colOff>
                    <xdr:row>1</xdr:row>
                    <xdr:rowOff>0</xdr:rowOff>
                  </to>
                </anchor>
              </controlPr>
            </control>
          </mc:Choice>
        </mc:AlternateContent>
        <mc:AlternateContent xmlns:mc="http://schemas.openxmlformats.org/markup-compatibility/2006">
          <mc:Choice Requires="x14">
            <control shapeId="423082" r:id="rId52" name="Button 170">
              <controlPr defaultSize="0" print="0" autoFill="0" autoPict="0" macro="[0]!SaveAllScoreSheets">
                <anchor moveWithCells="1" sizeWithCells="1">
                  <from>
                    <xdr:col>1</xdr:col>
                    <xdr:colOff>0</xdr:colOff>
                    <xdr:row>0</xdr:row>
                    <xdr:rowOff>0</xdr:rowOff>
                  </from>
                  <to>
                    <xdr:col>2</xdr:col>
                    <xdr:colOff>274320</xdr:colOff>
                    <xdr:row>1</xdr:row>
                    <xdr:rowOff>0</xdr:rowOff>
                  </to>
                </anchor>
              </controlPr>
            </control>
          </mc:Choice>
        </mc:AlternateContent>
        <mc:AlternateContent xmlns:mc="http://schemas.openxmlformats.org/markup-compatibility/2006">
          <mc:Choice Requires="x14">
            <control shapeId="423083" r:id="rId53" name="Button 171">
              <controlPr defaultSize="0" print="0" autoFill="0" autoPict="0" macro="[0]!CalculateQualifiers">
                <anchor moveWithCells="1" sizeWithCells="1">
                  <from>
                    <xdr:col>2</xdr:col>
                    <xdr:colOff>274320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84" r:id="rId54" name="Button 172">
              <controlPr defaultSize="0" print="0" autoFill="0" autoPict="0" macro="[0]!SaveGroups">
                <anchor moveWithCells="1" sizeWithCells="1">
                  <from>
                    <xdr:col>8</xdr:col>
                    <xdr:colOff>0</xdr:colOff>
                    <xdr:row>0</xdr:row>
                    <xdr:rowOff>0</xdr:rowOff>
                  </from>
                  <to>
                    <xdr:col>12</xdr:col>
                    <xdr:colOff>220980</xdr:colOff>
                    <xdr:row>1</xdr:row>
                    <xdr:rowOff>0</xdr:rowOff>
                  </to>
                </anchor>
              </controlPr>
            </control>
          </mc:Choice>
        </mc:AlternateContent>
        <mc:AlternateContent xmlns:mc="http://schemas.openxmlformats.org/markup-compatibility/2006">
          <mc:Choice Requires="x14">
            <control shapeId="423085" r:id="rId55" name="Button 173">
              <controlPr defaultSize="0" print="0" autoFill="0" autoPict="0" macro="[0]!SaveAllScoreSheets">
                <anchor moveWithCells="1" sizeWithCells="1">
                  <from>
                    <xdr:col>1</xdr:col>
                    <xdr:colOff>0</xdr:colOff>
                    <xdr:row>0</xdr:row>
                    <xdr:rowOff>0</xdr:rowOff>
                  </from>
                  <to>
                    <xdr:col>2</xdr:col>
                    <xdr:colOff>274320</xdr:colOff>
                    <xdr:row>1</xdr:row>
                    <xdr:rowOff>0</xdr:rowOff>
                  </to>
                </anchor>
              </controlPr>
            </control>
          </mc:Choice>
        </mc:AlternateContent>
        <mc:AlternateContent xmlns:mc="http://schemas.openxmlformats.org/markup-compatibility/2006">
          <mc:Choice Requires="x14">
            <control shapeId="423086" r:id="rId56" name="Button 174">
              <controlPr defaultSize="0" print="0" autoFill="0" autoPict="0" macro="[0]!CalculateQualifiers">
                <anchor moveWithCells="1" sizeWithCells="1">
                  <from>
                    <xdr:col>2</xdr:col>
                    <xdr:colOff>274320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87" r:id="rId57" name="Button 175">
              <controlPr defaultSize="0" print="0" autoFill="0" autoPict="0" macro="[0]!SaveGroups">
                <anchor moveWithCells="1" sizeWithCells="1">
                  <from>
                    <xdr:col>8</xdr:col>
                    <xdr:colOff>0</xdr:colOff>
                    <xdr:row>0</xdr:row>
                    <xdr:rowOff>0</xdr:rowOff>
                  </from>
                  <to>
                    <xdr:col>12</xdr:col>
                    <xdr:colOff>220980</xdr:colOff>
                    <xdr:row>1</xdr:row>
                    <xdr:rowOff>0</xdr:rowOff>
                  </to>
                </anchor>
              </controlPr>
            </control>
          </mc:Choice>
        </mc:AlternateContent>
        <mc:AlternateContent xmlns:mc="http://schemas.openxmlformats.org/markup-compatibility/2006">
          <mc:Choice Requires="x14">
            <control shapeId="423088" r:id="rId58" name="Button 176">
              <controlPr defaultSize="0" print="0" autoFill="0" autoPict="0" macro="[0]!SaveAllScoreSheets">
                <anchor moveWithCells="1" sizeWithCells="1">
                  <from>
                    <xdr:col>1</xdr:col>
                    <xdr:colOff>0</xdr:colOff>
                    <xdr:row>0</xdr:row>
                    <xdr:rowOff>0</xdr:rowOff>
                  </from>
                  <to>
                    <xdr:col>2</xdr:col>
                    <xdr:colOff>274320</xdr:colOff>
                    <xdr:row>1</xdr:row>
                    <xdr:rowOff>0</xdr:rowOff>
                  </to>
                </anchor>
              </controlPr>
            </control>
          </mc:Choice>
        </mc:AlternateContent>
        <mc:AlternateContent xmlns:mc="http://schemas.openxmlformats.org/markup-compatibility/2006">
          <mc:Choice Requires="x14">
            <control shapeId="423089" r:id="rId59" name="Button 177">
              <controlPr defaultSize="0" print="0" autoFill="0" autoPict="0" macro="[0]!CalculateQualifiers">
                <anchor moveWithCells="1" sizeWithCells="1">
                  <from>
                    <xdr:col>2</xdr:col>
                    <xdr:colOff>274320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90" r:id="rId60" name="Button 178">
              <controlPr defaultSize="0" print="0" autoFill="0" autoPict="0" macro="[0]!SaveGroups">
                <anchor moveWithCells="1" sizeWithCells="1">
                  <from>
                    <xdr:col>8</xdr:col>
                    <xdr:colOff>0</xdr:colOff>
                    <xdr:row>0</xdr:row>
                    <xdr:rowOff>0</xdr:rowOff>
                  </from>
                  <to>
                    <xdr:col>12</xdr:col>
                    <xdr:colOff>220980</xdr:colOff>
                    <xdr:row>1</xdr:row>
                    <xdr:rowOff>0</xdr:rowOff>
                  </to>
                </anchor>
              </controlPr>
            </control>
          </mc:Choice>
        </mc:AlternateContent>
        <mc:AlternateContent xmlns:mc="http://schemas.openxmlformats.org/markup-compatibility/2006">
          <mc:Choice Requires="x14">
            <control shapeId="423091" r:id="rId61" name="Button 179">
              <controlPr defaultSize="0" print="0" autoFill="0" autoPict="0" macro="[0]!SaveAllScoreSheets">
                <anchor moveWithCells="1" sizeWithCells="1">
                  <from>
                    <xdr:col>1</xdr:col>
                    <xdr:colOff>0</xdr:colOff>
                    <xdr:row>0</xdr:row>
                    <xdr:rowOff>0</xdr:rowOff>
                  </from>
                  <to>
                    <xdr:col>2</xdr:col>
                    <xdr:colOff>274320</xdr:colOff>
                    <xdr:row>1</xdr:row>
                    <xdr:rowOff>0</xdr:rowOff>
                  </to>
                </anchor>
              </controlPr>
            </control>
          </mc:Choice>
        </mc:AlternateContent>
        <mc:AlternateContent xmlns:mc="http://schemas.openxmlformats.org/markup-compatibility/2006">
          <mc:Choice Requires="x14">
            <control shapeId="423092" r:id="rId62" name="Button 180">
              <controlPr defaultSize="0" print="0" autoFill="0" autoPict="0" macro="[0]!CalculateQualifiers">
                <anchor moveWithCells="1" sizeWithCells="1">
                  <from>
                    <xdr:col>2</xdr:col>
                    <xdr:colOff>274320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93" r:id="rId63" name="Button 181">
              <controlPr defaultSize="0" print="0" autoFill="0" autoPict="0" macro="[0]!SaveGroups">
                <anchor moveWithCells="1" sizeWithCells="1">
                  <from>
                    <xdr:col>8</xdr:col>
                    <xdr:colOff>0</xdr:colOff>
                    <xdr:row>0</xdr:row>
                    <xdr:rowOff>0</xdr:rowOff>
                  </from>
                  <to>
                    <xdr:col>12</xdr:col>
                    <xdr:colOff>220980</xdr:colOff>
                    <xdr:row>1</xdr:row>
                    <xdr:rowOff>0</xdr:rowOff>
                  </to>
                </anchor>
              </controlPr>
            </control>
          </mc:Choice>
        </mc:AlternateContent>
        <mc:AlternateContent xmlns:mc="http://schemas.openxmlformats.org/markup-compatibility/2006">
          <mc:Choice Requires="x14">
            <control shapeId="423094" r:id="rId64" name="Button 182">
              <controlPr defaultSize="0" print="0" autoFill="0" autoPict="0" macro="[0]!SaveAllScoreSheets">
                <anchor moveWithCells="1" sizeWithCells="1">
                  <from>
                    <xdr:col>1</xdr:col>
                    <xdr:colOff>0</xdr:colOff>
                    <xdr:row>0</xdr:row>
                    <xdr:rowOff>0</xdr:rowOff>
                  </from>
                  <to>
                    <xdr:col>2</xdr:col>
                    <xdr:colOff>274320</xdr:colOff>
                    <xdr:row>1</xdr:row>
                    <xdr:rowOff>0</xdr:rowOff>
                  </to>
                </anchor>
              </controlPr>
            </control>
          </mc:Choice>
        </mc:AlternateContent>
        <mc:AlternateContent xmlns:mc="http://schemas.openxmlformats.org/markup-compatibility/2006">
          <mc:Choice Requires="x14">
            <control shapeId="423095" r:id="rId65" name="Button 183">
              <controlPr defaultSize="0" print="0" autoFill="0" autoPict="0" macro="[0]!CalculateQualifiers">
                <anchor moveWithCells="1" sizeWithCells="1">
                  <from>
                    <xdr:col>2</xdr:col>
                    <xdr:colOff>274320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96" r:id="rId66" name="Button 184">
              <controlPr defaultSize="0" print="0" autoFill="0" autoPict="0" macro="[0]!SaveGroups">
                <anchor moveWithCells="1" sizeWithCells="1">
                  <from>
                    <xdr:col>8</xdr:col>
                    <xdr:colOff>0</xdr:colOff>
                    <xdr:row>0</xdr:row>
                    <xdr:rowOff>0</xdr:rowOff>
                  </from>
                  <to>
                    <xdr:col>12</xdr:col>
                    <xdr:colOff>220980</xdr:colOff>
                    <xdr:row>1</xdr:row>
                    <xdr:rowOff>0</xdr:rowOff>
                  </to>
                </anchor>
              </controlPr>
            </control>
          </mc:Choice>
        </mc:AlternateContent>
        <mc:AlternateContent xmlns:mc="http://schemas.openxmlformats.org/markup-compatibility/2006">
          <mc:Choice Requires="x14">
            <control shapeId="423097" r:id="rId67" name="Button 185">
              <controlPr defaultSize="0" print="0" autoFill="0" autoPict="0" macro="[0]!SaveAllScoreSheets">
                <anchor moveWithCells="1" sizeWithCells="1">
                  <from>
                    <xdr:col>1</xdr:col>
                    <xdr:colOff>0</xdr:colOff>
                    <xdr:row>0</xdr:row>
                    <xdr:rowOff>0</xdr:rowOff>
                  </from>
                  <to>
                    <xdr:col>2</xdr:col>
                    <xdr:colOff>274320</xdr:colOff>
                    <xdr:row>1</xdr:row>
                    <xdr:rowOff>0</xdr:rowOff>
                  </to>
                </anchor>
              </controlPr>
            </control>
          </mc:Choice>
        </mc:AlternateContent>
        <mc:AlternateContent xmlns:mc="http://schemas.openxmlformats.org/markup-compatibility/2006">
          <mc:Choice Requires="x14">
            <control shapeId="423098" r:id="rId68" name="Button 186">
              <controlPr defaultSize="0" print="0" autoFill="0" autoPict="0" macro="[0]!CalculateQualifiers">
                <anchor moveWithCells="1" sizeWithCells="1">
                  <from>
                    <xdr:col>2</xdr:col>
                    <xdr:colOff>274320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423099" r:id="rId69" name="Button 187">
              <controlPr defaultSize="0" print="0" autoFill="0" autoPict="0" macro="[0]!SaveGroups">
                <anchor moveWithCells="1" sizeWithCells="1">
                  <from>
                    <xdr:col>8</xdr:col>
                    <xdr:colOff>0</xdr:colOff>
                    <xdr:row>0</xdr:row>
                    <xdr:rowOff>0</xdr:rowOff>
                  </from>
                  <to>
                    <xdr:col>12</xdr:col>
                    <xdr:colOff>220980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513D-587D-4B3A-94AA-24A01AD76325}">
  <sheetPr codeName="Sheet17"/>
  <dimension ref="A1:K1000"/>
  <sheetViews>
    <sheetView workbookViewId="0">
      <selection activeCell="A2" sqref="A2:E129"/>
    </sheetView>
  </sheetViews>
  <sheetFormatPr defaultRowHeight="18" x14ac:dyDescent="0.35"/>
  <cols>
    <col min="1" max="1" width="9.5546875" style="10" bestFit="1" customWidth="1"/>
    <col min="2" max="2" width="34" style="10" bestFit="1" customWidth="1"/>
    <col min="3" max="3" width="19.44140625" style="10" bestFit="1" customWidth="1"/>
    <col min="4" max="4" width="18" bestFit="1" customWidth="1"/>
    <col min="5" max="5" width="24" bestFit="1" customWidth="1"/>
    <col min="6" max="6" width="19.33203125" customWidth="1"/>
    <col min="7" max="7" width="9.109375" customWidth="1"/>
    <col min="8" max="8" width="10.44140625" bestFit="1" customWidth="1"/>
    <col min="9" max="9" width="27.6640625" bestFit="1" customWidth="1"/>
    <col min="10" max="11" width="8.6640625" customWidth="1"/>
  </cols>
  <sheetData>
    <row r="1" spans="1:11" x14ac:dyDescent="0.35">
      <c r="A1" s="10" t="s">
        <v>10</v>
      </c>
      <c r="B1" s="10" t="s">
        <v>21</v>
      </c>
      <c r="C1" s="10" t="s">
        <v>13</v>
      </c>
      <c r="D1" s="10" t="s">
        <v>2038</v>
      </c>
      <c r="E1" s="10" t="s">
        <v>2039</v>
      </c>
      <c r="H1" s="177" t="s">
        <v>22</v>
      </c>
      <c r="I1" s="161"/>
      <c r="J1" s="161"/>
      <c r="K1" s="161"/>
    </row>
    <row r="2" spans="1:11" ht="14.4" x14ac:dyDescent="0.3">
      <c r="A2">
        <v>1</v>
      </c>
      <c r="B2" t="s">
        <v>2343</v>
      </c>
      <c r="C2" t="s">
        <v>2024</v>
      </c>
      <c r="D2" t="s">
        <v>2024</v>
      </c>
      <c r="E2">
        <v>1</v>
      </c>
      <c r="H2" s="2" t="s">
        <v>23</v>
      </c>
      <c r="I2" s="7" cm="1">
        <f t="array" ref="I2">SUMPRODUCT(--(LEN(TRIM(TableQualifiers[Player])) &gt; 0))</f>
        <v>8</v>
      </c>
    </row>
    <row r="3" spans="1:11" ht="14.4" x14ac:dyDescent="0.3">
      <c r="A3">
        <v>2</v>
      </c>
      <c r="B3" t="s">
        <v>2345</v>
      </c>
      <c r="C3" t="s">
        <v>2027</v>
      </c>
      <c r="D3" t="s">
        <v>2027</v>
      </c>
      <c r="E3">
        <v>1</v>
      </c>
      <c r="H3" s="2" t="s">
        <v>24</v>
      </c>
      <c r="I3" s="7" t="str">
        <f>"Qualifiers!A2:Qualifiers!C"&amp;I2+1</f>
        <v>Qualifiers!A2:Qualifiers!C9</v>
      </c>
    </row>
    <row r="4" spans="1:11" ht="14.4" x14ac:dyDescent="0.3">
      <c r="A4">
        <v>3</v>
      </c>
      <c r="B4" t="s">
        <v>2347</v>
      </c>
      <c r="C4" t="s">
        <v>2028</v>
      </c>
      <c r="D4" t="s">
        <v>2028</v>
      </c>
      <c r="E4">
        <v>1</v>
      </c>
      <c r="H4" s="8" t="s">
        <v>25</v>
      </c>
      <c r="I4" s="2" t="str">
        <f>Draw!F5</f>
        <v>Men Doubles</v>
      </c>
    </row>
    <row r="5" spans="1:11" ht="14.4" x14ac:dyDescent="0.3">
      <c r="A5">
        <v>4</v>
      </c>
      <c r="B5" t="s">
        <v>2351</v>
      </c>
      <c r="C5" t="s">
        <v>2029</v>
      </c>
      <c r="D5" t="s">
        <v>2029</v>
      </c>
      <c r="E5">
        <v>1</v>
      </c>
      <c r="H5" s="7"/>
      <c r="I5" s="7"/>
    </row>
    <row r="6" spans="1:11" ht="14.4" x14ac:dyDescent="0.3">
      <c r="A6">
        <v>5</v>
      </c>
      <c r="B6" t="s">
        <v>2344</v>
      </c>
      <c r="C6" t="s">
        <v>2024</v>
      </c>
      <c r="D6" t="s">
        <v>2024</v>
      </c>
      <c r="E6">
        <v>2</v>
      </c>
    </row>
    <row r="7" spans="1:11" ht="14.4" x14ac:dyDescent="0.3">
      <c r="A7">
        <v>6</v>
      </c>
      <c r="B7" t="s">
        <v>2346</v>
      </c>
      <c r="C7" t="s">
        <v>2027</v>
      </c>
      <c r="D7" t="s">
        <v>2027</v>
      </c>
      <c r="E7">
        <v>2</v>
      </c>
    </row>
    <row r="8" spans="1:11" ht="14.4" x14ac:dyDescent="0.3">
      <c r="A8">
        <v>7</v>
      </c>
      <c r="B8" t="s">
        <v>2348</v>
      </c>
      <c r="C8" t="s">
        <v>2028</v>
      </c>
      <c r="D8" t="s">
        <v>2028</v>
      </c>
      <c r="E8">
        <v>2</v>
      </c>
    </row>
    <row r="9" spans="1:11" ht="14.4" x14ac:dyDescent="0.3">
      <c r="A9">
        <v>8</v>
      </c>
      <c r="B9" t="s">
        <v>2352</v>
      </c>
      <c r="C9" t="s">
        <v>2029</v>
      </c>
      <c r="D9" t="s">
        <v>2029</v>
      </c>
      <c r="E9">
        <v>2</v>
      </c>
    </row>
    <row r="10" spans="1:11" ht="14.4" x14ac:dyDescent="0.3">
      <c r="A10"/>
      <c r="B10"/>
      <c r="C10"/>
    </row>
    <row r="11" spans="1:11" ht="14.4" x14ac:dyDescent="0.3">
      <c r="A11"/>
      <c r="B11"/>
      <c r="C11"/>
    </row>
    <row r="12" spans="1:11" ht="14.4" x14ac:dyDescent="0.3">
      <c r="A12"/>
      <c r="B12"/>
      <c r="C12"/>
    </row>
    <row r="13" spans="1:11" ht="14.4" x14ac:dyDescent="0.3">
      <c r="A13"/>
      <c r="B13"/>
      <c r="C13"/>
    </row>
    <row r="14" spans="1:11" ht="14.4" x14ac:dyDescent="0.3">
      <c r="A14"/>
      <c r="B14"/>
      <c r="C14"/>
    </row>
    <row r="15" spans="1:11" ht="14.4" x14ac:dyDescent="0.3">
      <c r="A15"/>
      <c r="B15"/>
      <c r="C15"/>
    </row>
    <row r="16" spans="1:11" ht="14.4" x14ac:dyDescent="0.3">
      <c r="A16"/>
      <c r="B16"/>
      <c r="C16"/>
    </row>
    <row r="17" spans="1:3" ht="14.4" x14ac:dyDescent="0.3">
      <c r="A17"/>
      <c r="B17"/>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row r="25" spans="1:3" ht="14.4" x14ac:dyDescent="0.3">
      <c r="A25"/>
      <c r="B25"/>
      <c r="C25"/>
    </row>
    <row r="26" spans="1:3" ht="14.4" x14ac:dyDescent="0.3">
      <c r="A26"/>
      <c r="B26"/>
      <c r="C26"/>
    </row>
    <row r="27" spans="1:3" ht="14.4" x14ac:dyDescent="0.3">
      <c r="A27"/>
      <c r="B27"/>
      <c r="C27"/>
    </row>
    <row r="28" spans="1:3" ht="14.4" x14ac:dyDescent="0.3">
      <c r="A28"/>
      <c r="B28"/>
      <c r="C28"/>
    </row>
    <row r="29" spans="1:3" ht="14.4" x14ac:dyDescent="0.3">
      <c r="A29"/>
      <c r="B29"/>
      <c r="C29"/>
    </row>
    <row r="30" spans="1:3" ht="14.4" x14ac:dyDescent="0.3">
      <c r="A30"/>
      <c r="B30"/>
      <c r="C30"/>
    </row>
    <row r="31" spans="1:3" ht="14.4" x14ac:dyDescent="0.3">
      <c r="A31"/>
      <c r="B31"/>
      <c r="C31"/>
    </row>
    <row r="32" spans="1:3" ht="14.4" x14ac:dyDescent="0.3">
      <c r="A32"/>
      <c r="B32"/>
      <c r="C32"/>
    </row>
    <row r="33" spans="1:3" ht="14.4" x14ac:dyDescent="0.3">
      <c r="A33"/>
      <c r="B33"/>
      <c r="C33"/>
    </row>
    <row r="34" spans="1:3" ht="14.4" x14ac:dyDescent="0.3">
      <c r="A34"/>
      <c r="B34"/>
      <c r="C34"/>
    </row>
    <row r="35" spans="1:3" ht="14.4" x14ac:dyDescent="0.3">
      <c r="A35"/>
      <c r="B35"/>
      <c r="C35"/>
    </row>
    <row r="36" spans="1:3" ht="14.4" x14ac:dyDescent="0.3">
      <c r="A36"/>
      <c r="B36"/>
      <c r="C36"/>
    </row>
    <row r="37" spans="1:3" ht="14.4" x14ac:dyDescent="0.3">
      <c r="A37"/>
      <c r="B37"/>
      <c r="C37"/>
    </row>
    <row r="38" spans="1:3" ht="14.4" x14ac:dyDescent="0.3">
      <c r="A38"/>
      <c r="B38"/>
      <c r="C38"/>
    </row>
    <row r="39" spans="1:3" ht="14.4" x14ac:dyDescent="0.3">
      <c r="A39"/>
      <c r="B39"/>
      <c r="C39"/>
    </row>
    <row r="40" spans="1:3" ht="14.4" x14ac:dyDescent="0.3">
      <c r="A40"/>
      <c r="B40"/>
      <c r="C40"/>
    </row>
    <row r="41" spans="1:3" ht="14.4" x14ac:dyDescent="0.3">
      <c r="A41"/>
      <c r="B41"/>
      <c r="C41"/>
    </row>
    <row r="42" spans="1:3" ht="14.4" x14ac:dyDescent="0.3">
      <c r="A42"/>
      <c r="B42"/>
      <c r="C42"/>
    </row>
    <row r="43" spans="1:3" ht="14.4" x14ac:dyDescent="0.3">
      <c r="A43"/>
      <c r="B43"/>
      <c r="C43"/>
    </row>
    <row r="44" spans="1:3" ht="14.4" x14ac:dyDescent="0.3">
      <c r="A44"/>
      <c r="B44"/>
      <c r="C44"/>
    </row>
    <row r="45" spans="1:3" ht="14.4" x14ac:dyDescent="0.3">
      <c r="A45"/>
      <c r="B45"/>
      <c r="C45"/>
    </row>
    <row r="46" spans="1:3" ht="14.4" x14ac:dyDescent="0.3">
      <c r="A46"/>
      <c r="B46"/>
      <c r="C46"/>
    </row>
    <row r="47" spans="1:3" ht="14.4" x14ac:dyDescent="0.3">
      <c r="A47"/>
      <c r="B47"/>
      <c r="C47"/>
    </row>
    <row r="48" spans="1:3" ht="14.4" x14ac:dyDescent="0.3">
      <c r="A48"/>
      <c r="B48"/>
      <c r="C48"/>
    </row>
    <row r="49" spans="1:3" ht="14.4" x14ac:dyDescent="0.3">
      <c r="A49"/>
      <c r="B49"/>
      <c r="C49"/>
    </row>
    <row r="50" spans="1:3" ht="14.4" x14ac:dyDescent="0.3">
      <c r="A50"/>
      <c r="B50"/>
      <c r="C50"/>
    </row>
    <row r="51" spans="1:3" ht="14.4" x14ac:dyDescent="0.3">
      <c r="A51"/>
      <c r="B51"/>
      <c r="C51"/>
    </row>
    <row r="52" spans="1:3" ht="14.4" x14ac:dyDescent="0.3">
      <c r="A52"/>
      <c r="B52"/>
      <c r="C52"/>
    </row>
    <row r="53" spans="1:3" ht="14.4" x14ac:dyDescent="0.3">
      <c r="A53"/>
      <c r="B53"/>
      <c r="C53"/>
    </row>
    <row r="54" spans="1:3" ht="14.4" x14ac:dyDescent="0.3">
      <c r="A54"/>
      <c r="B54"/>
      <c r="C54"/>
    </row>
    <row r="55" spans="1:3" ht="14.4" x14ac:dyDescent="0.3">
      <c r="A55"/>
      <c r="B55"/>
      <c r="C55"/>
    </row>
    <row r="56" spans="1:3" ht="14.4" x14ac:dyDescent="0.3">
      <c r="A56"/>
      <c r="B56"/>
      <c r="C56"/>
    </row>
    <row r="57" spans="1:3" ht="14.4" x14ac:dyDescent="0.3">
      <c r="A57"/>
      <c r="B57"/>
      <c r="C57"/>
    </row>
    <row r="58" spans="1:3" ht="14.4" x14ac:dyDescent="0.3">
      <c r="A58"/>
      <c r="B58"/>
      <c r="C58"/>
    </row>
    <row r="59" spans="1:3" ht="14.4" x14ac:dyDescent="0.3">
      <c r="A59"/>
      <c r="B59"/>
      <c r="C59"/>
    </row>
    <row r="60" spans="1:3" ht="14.4" x14ac:dyDescent="0.3">
      <c r="A60"/>
      <c r="B60"/>
      <c r="C60"/>
    </row>
    <row r="61" spans="1:3" ht="14.4" x14ac:dyDescent="0.3">
      <c r="A61"/>
      <c r="B61"/>
      <c r="C61"/>
    </row>
    <row r="62" spans="1:3" ht="14.4" x14ac:dyDescent="0.3">
      <c r="A62"/>
      <c r="B62"/>
      <c r="C62"/>
    </row>
    <row r="63" spans="1:3" ht="14.4" x14ac:dyDescent="0.3">
      <c r="A63"/>
      <c r="B63"/>
      <c r="C63"/>
    </row>
    <row r="64" spans="1:3" ht="14.4" x14ac:dyDescent="0.3">
      <c r="A64"/>
      <c r="B64"/>
      <c r="C64"/>
    </row>
    <row r="65" spans="1:3" ht="14.4" x14ac:dyDescent="0.3">
      <c r="A65"/>
      <c r="B65"/>
      <c r="C65"/>
    </row>
    <row r="66" spans="1:3" ht="14.4" x14ac:dyDescent="0.3">
      <c r="A66"/>
      <c r="B66"/>
      <c r="C66"/>
    </row>
    <row r="67" spans="1:3" ht="14.4" x14ac:dyDescent="0.3">
      <c r="A67"/>
      <c r="B67"/>
      <c r="C67"/>
    </row>
    <row r="68" spans="1:3" ht="14.4" x14ac:dyDescent="0.3">
      <c r="A68"/>
      <c r="B68"/>
      <c r="C68"/>
    </row>
    <row r="69" spans="1:3" ht="14.4" x14ac:dyDescent="0.3">
      <c r="A69"/>
      <c r="B69"/>
      <c r="C69"/>
    </row>
    <row r="70" spans="1:3" ht="14.4" x14ac:dyDescent="0.3">
      <c r="A70"/>
      <c r="B70"/>
      <c r="C70"/>
    </row>
    <row r="71" spans="1:3" ht="14.4" x14ac:dyDescent="0.3">
      <c r="A71"/>
      <c r="B71"/>
      <c r="C71"/>
    </row>
    <row r="72" spans="1:3" ht="14.4" x14ac:dyDescent="0.3">
      <c r="A72"/>
      <c r="B72"/>
      <c r="C72"/>
    </row>
    <row r="73" spans="1:3" ht="14.4" x14ac:dyDescent="0.3">
      <c r="A73"/>
      <c r="B73"/>
      <c r="C73"/>
    </row>
    <row r="74" spans="1:3" ht="14.4" x14ac:dyDescent="0.3">
      <c r="A74"/>
      <c r="B74"/>
      <c r="C74"/>
    </row>
    <row r="75" spans="1:3" ht="14.4" x14ac:dyDescent="0.3">
      <c r="A75"/>
      <c r="B75"/>
      <c r="C75"/>
    </row>
    <row r="76" spans="1:3" ht="14.4" x14ac:dyDescent="0.3">
      <c r="A76"/>
      <c r="B76"/>
      <c r="C76"/>
    </row>
    <row r="77" spans="1:3" ht="14.4" x14ac:dyDescent="0.3">
      <c r="A77"/>
      <c r="B77"/>
      <c r="C77"/>
    </row>
    <row r="78" spans="1:3" ht="14.4" x14ac:dyDescent="0.3">
      <c r="A78"/>
      <c r="B78"/>
      <c r="C78"/>
    </row>
    <row r="79" spans="1:3" ht="14.4" x14ac:dyDescent="0.3">
      <c r="A79"/>
      <c r="B79"/>
      <c r="C79"/>
    </row>
    <row r="80" spans="1:3" ht="14.4" x14ac:dyDescent="0.3">
      <c r="A80"/>
      <c r="B80"/>
      <c r="C80"/>
    </row>
    <row r="81" spans="1:3" ht="14.4" x14ac:dyDescent="0.3">
      <c r="A81"/>
      <c r="B81"/>
      <c r="C81"/>
    </row>
    <row r="82" spans="1:3" ht="14.4" x14ac:dyDescent="0.3">
      <c r="A82"/>
      <c r="B82"/>
      <c r="C82"/>
    </row>
    <row r="83" spans="1:3" ht="14.4" x14ac:dyDescent="0.3">
      <c r="A83"/>
      <c r="B83"/>
      <c r="C83"/>
    </row>
    <row r="84" spans="1:3" ht="14.4" x14ac:dyDescent="0.3">
      <c r="A84"/>
      <c r="B84"/>
      <c r="C84"/>
    </row>
    <row r="85" spans="1:3" ht="14.4" x14ac:dyDescent="0.3">
      <c r="A85"/>
      <c r="B85"/>
      <c r="C85"/>
    </row>
    <row r="86" spans="1:3" ht="14.4" x14ac:dyDescent="0.3">
      <c r="A86"/>
      <c r="B86"/>
      <c r="C86"/>
    </row>
    <row r="87" spans="1:3" ht="14.4" x14ac:dyDescent="0.3">
      <c r="A87"/>
      <c r="B87"/>
      <c r="C87"/>
    </row>
    <row r="88" spans="1:3" ht="14.4" x14ac:dyDescent="0.3">
      <c r="A88"/>
      <c r="B88"/>
      <c r="C88"/>
    </row>
    <row r="89" spans="1:3" ht="14.4" x14ac:dyDescent="0.3">
      <c r="A89"/>
      <c r="B89"/>
      <c r="C89"/>
    </row>
    <row r="90" spans="1:3" ht="14.4" x14ac:dyDescent="0.3">
      <c r="A90"/>
      <c r="B90"/>
      <c r="C90"/>
    </row>
    <row r="91" spans="1:3" ht="14.4" x14ac:dyDescent="0.3">
      <c r="A91"/>
      <c r="B91"/>
      <c r="C91"/>
    </row>
    <row r="92" spans="1:3" ht="14.4" x14ac:dyDescent="0.3">
      <c r="A92"/>
      <c r="B92"/>
      <c r="C92"/>
    </row>
    <row r="93" spans="1:3" ht="14.4" x14ac:dyDescent="0.3">
      <c r="A93"/>
      <c r="B93"/>
      <c r="C93"/>
    </row>
    <row r="94" spans="1:3" ht="14.4" x14ac:dyDescent="0.3">
      <c r="A94"/>
      <c r="B94"/>
      <c r="C94"/>
    </row>
    <row r="95" spans="1:3" ht="14.4" x14ac:dyDescent="0.3">
      <c r="A95"/>
      <c r="B95"/>
      <c r="C95"/>
    </row>
    <row r="96" spans="1:3" ht="14.4" x14ac:dyDescent="0.3">
      <c r="A96"/>
      <c r="B96"/>
      <c r="C96"/>
    </row>
    <row r="97" spans="1:3" ht="14.4" x14ac:dyDescent="0.3">
      <c r="A97"/>
      <c r="B97"/>
      <c r="C97"/>
    </row>
    <row r="98" spans="1:3" ht="14.4" x14ac:dyDescent="0.3">
      <c r="A98"/>
      <c r="B98"/>
      <c r="C98"/>
    </row>
    <row r="99" spans="1:3" ht="14.4" x14ac:dyDescent="0.3">
      <c r="A99"/>
      <c r="B99"/>
      <c r="C99"/>
    </row>
    <row r="100" spans="1:3" ht="14.4" x14ac:dyDescent="0.3">
      <c r="A100"/>
      <c r="B100"/>
      <c r="C100"/>
    </row>
    <row r="101" spans="1:3" ht="14.4" x14ac:dyDescent="0.3">
      <c r="A101"/>
      <c r="B101"/>
      <c r="C101"/>
    </row>
    <row r="102" spans="1:3" ht="14.4" x14ac:dyDescent="0.3">
      <c r="A102"/>
      <c r="B102"/>
      <c r="C102"/>
    </row>
    <row r="103" spans="1:3" ht="14.4" x14ac:dyDescent="0.3">
      <c r="A103"/>
      <c r="B103"/>
      <c r="C103"/>
    </row>
    <row r="104" spans="1:3" ht="14.4" x14ac:dyDescent="0.3">
      <c r="A104"/>
      <c r="B104"/>
      <c r="C104"/>
    </row>
    <row r="105" spans="1:3" ht="14.4" x14ac:dyDescent="0.3">
      <c r="A105"/>
      <c r="B105"/>
      <c r="C105"/>
    </row>
    <row r="106" spans="1:3" ht="14.4" x14ac:dyDescent="0.3">
      <c r="A106"/>
      <c r="B106"/>
      <c r="C106"/>
    </row>
    <row r="107" spans="1:3" ht="14.4" x14ac:dyDescent="0.3">
      <c r="A107"/>
      <c r="B107"/>
      <c r="C107"/>
    </row>
    <row r="108" spans="1:3" ht="14.4" x14ac:dyDescent="0.3">
      <c r="A108"/>
      <c r="B108"/>
      <c r="C108"/>
    </row>
    <row r="109" spans="1:3" ht="14.4" x14ac:dyDescent="0.3">
      <c r="A109"/>
      <c r="B109"/>
      <c r="C109"/>
    </row>
    <row r="110" spans="1:3" ht="14.4" x14ac:dyDescent="0.3">
      <c r="A110"/>
      <c r="B110"/>
      <c r="C110"/>
    </row>
    <row r="111" spans="1:3" ht="14.4" x14ac:dyDescent="0.3">
      <c r="A111"/>
      <c r="B111"/>
      <c r="C111"/>
    </row>
    <row r="112" spans="1:3" ht="14.4" x14ac:dyDescent="0.3">
      <c r="A112"/>
      <c r="B112"/>
      <c r="C112"/>
    </row>
    <row r="113" spans="1:3" ht="14.4" x14ac:dyDescent="0.3">
      <c r="A113"/>
      <c r="B113"/>
      <c r="C113"/>
    </row>
    <row r="114" spans="1:3" ht="14.4" x14ac:dyDescent="0.3">
      <c r="A114"/>
      <c r="B114"/>
      <c r="C114"/>
    </row>
    <row r="115" spans="1:3" ht="14.4" x14ac:dyDescent="0.3">
      <c r="A115"/>
      <c r="B115"/>
      <c r="C115"/>
    </row>
    <row r="116" spans="1:3" ht="14.4" x14ac:dyDescent="0.3">
      <c r="A116"/>
      <c r="B116"/>
      <c r="C116"/>
    </row>
    <row r="117" spans="1:3" ht="14.4" x14ac:dyDescent="0.3">
      <c r="A117"/>
      <c r="B117"/>
      <c r="C117"/>
    </row>
    <row r="118" spans="1:3" ht="14.4" x14ac:dyDescent="0.3">
      <c r="A118"/>
      <c r="B118"/>
      <c r="C118"/>
    </row>
    <row r="119" spans="1:3" ht="14.4" x14ac:dyDescent="0.3">
      <c r="A119"/>
      <c r="B119"/>
      <c r="C119"/>
    </row>
    <row r="120" spans="1:3" ht="14.4" x14ac:dyDescent="0.3">
      <c r="A120"/>
      <c r="B120"/>
      <c r="C120"/>
    </row>
    <row r="121" spans="1:3" ht="14.4" x14ac:dyDescent="0.3">
      <c r="A121"/>
      <c r="B121"/>
      <c r="C121"/>
    </row>
    <row r="122" spans="1:3" ht="14.4" x14ac:dyDescent="0.3">
      <c r="A122"/>
      <c r="B122"/>
      <c r="C122"/>
    </row>
    <row r="123" spans="1:3" ht="14.4" x14ac:dyDescent="0.3">
      <c r="A123"/>
      <c r="B123"/>
      <c r="C123"/>
    </row>
    <row r="124" spans="1:3" ht="14.4" x14ac:dyDescent="0.3">
      <c r="A124"/>
      <c r="B124"/>
      <c r="C124"/>
    </row>
    <row r="125" spans="1:3" ht="14.4" x14ac:dyDescent="0.3">
      <c r="A125"/>
      <c r="B125"/>
      <c r="C125"/>
    </row>
    <row r="126" spans="1:3" ht="14.4" x14ac:dyDescent="0.3">
      <c r="A126"/>
      <c r="B126"/>
      <c r="C126"/>
    </row>
    <row r="127" spans="1:3" ht="14.4" x14ac:dyDescent="0.3">
      <c r="A127"/>
      <c r="B127"/>
      <c r="C127"/>
    </row>
    <row r="128" spans="1:3" ht="14.4" x14ac:dyDescent="0.3">
      <c r="A128"/>
      <c r="B128"/>
      <c r="C128"/>
    </row>
    <row r="129" spans="1:3" ht="14.4" x14ac:dyDescent="0.3">
      <c r="A129"/>
      <c r="B129"/>
      <c r="C129"/>
    </row>
    <row r="130" spans="1:3" ht="14.4" x14ac:dyDescent="0.3">
      <c r="A130"/>
      <c r="B130"/>
      <c r="C130"/>
    </row>
    <row r="131" spans="1:3" ht="14.4" x14ac:dyDescent="0.3">
      <c r="A131"/>
      <c r="B131"/>
      <c r="C131"/>
    </row>
    <row r="132" spans="1:3" ht="14.4" x14ac:dyDescent="0.3">
      <c r="A132"/>
      <c r="B132"/>
      <c r="C132"/>
    </row>
    <row r="133" spans="1:3" ht="14.4" x14ac:dyDescent="0.3">
      <c r="A133"/>
      <c r="B133"/>
      <c r="C133"/>
    </row>
    <row r="134" spans="1:3" ht="14.4" x14ac:dyDescent="0.3">
      <c r="A134"/>
      <c r="B134"/>
      <c r="C134"/>
    </row>
    <row r="135" spans="1:3" ht="14.4" x14ac:dyDescent="0.3">
      <c r="A135"/>
      <c r="B135"/>
      <c r="C135"/>
    </row>
    <row r="136" spans="1:3" ht="14.4" x14ac:dyDescent="0.3">
      <c r="A136"/>
      <c r="B136"/>
      <c r="C136"/>
    </row>
    <row r="137" spans="1:3" ht="14.4" x14ac:dyDescent="0.3">
      <c r="A137"/>
      <c r="B137"/>
      <c r="C137"/>
    </row>
    <row r="138" spans="1:3" ht="14.4" x14ac:dyDescent="0.3">
      <c r="A138"/>
      <c r="B138"/>
      <c r="C138"/>
    </row>
    <row r="139" spans="1:3" ht="14.4" x14ac:dyDescent="0.3">
      <c r="A139"/>
      <c r="B139"/>
      <c r="C139"/>
    </row>
    <row r="140" spans="1:3" ht="14.4" x14ac:dyDescent="0.3">
      <c r="A140"/>
      <c r="B140"/>
      <c r="C140"/>
    </row>
    <row r="141" spans="1:3" ht="14.4" x14ac:dyDescent="0.3">
      <c r="A141"/>
      <c r="B141"/>
      <c r="C141"/>
    </row>
    <row r="142" spans="1:3" ht="14.4" x14ac:dyDescent="0.3">
      <c r="A142"/>
      <c r="B142"/>
      <c r="C142"/>
    </row>
    <row r="143" spans="1:3" ht="14.4" x14ac:dyDescent="0.3">
      <c r="A143"/>
      <c r="B143"/>
      <c r="C143"/>
    </row>
    <row r="144" spans="1:3" ht="14.4" x14ac:dyDescent="0.3">
      <c r="A144"/>
      <c r="B144"/>
      <c r="C144"/>
    </row>
    <row r="145" customFormat="1" ht="14.4" x14ac:dyDescent="0.3"/>
    <row r="146" customFormat="1" ht="14.4" x14ac:dyDescent="0.3"/>
    <row r="147" customFormat="1" ht="14.4" x14ac:dyDescent="0.3"/>
    <row r="148" customFormat="1" ht="14.4" x14ac:dyDescent="0.3"/>
    <row r="149" customFormat="1" ht="14.4" x14ac:dyDescent="0.3"/>
    <row r="150" customFormat="1" ht="14.4" x14ac:dyDescent="0.3"/>
    <row r="151" customFormat="1" ht="14.4" x14ac:dyDescent="0.3"/>
    <row r="152" customFormat="1" ht="14.4" x14ac:dyDescent="0.3"/>
    <row r="153" customFormat="1" ht="14.4" x14ac:dyDescent="0.3"/>
    <row r="154" customFormat="1" ht="14.4" x14ac:dyDescent="0.3"/>
    <row r="155" customFormat="1" ht="14.4" x14ac:dyDescent="0.3"/>
    <row r="156" customFormat="1" ht="14.4" x14ac:dyDescent="0.3"/>
    <row r="157" customFormat="1" ht="14.4" x14ac:dyDescent="0.3"/>
    <row r="158" customFormat="1" ht="14.4" x14ac:dyDescent="0.3"/>
    <row r="159" customFormat="1" ht="14.4" x14ac:dyDescent="0.3"/>
    <row r="160" customFormat="1" ht="14.4" x14ac:dyDescent="0.3"/>
    <row r="161" customFormat="1" ht="14.4" x14ac:dyDescent="0.3"/>
    <row r="162" customFormat="1" ht="14.4" x14ac:dyDescent="0.3"/>
    <row r="163" customFormat="1" ht="14.4" x14ac:dyDescent="0.3"/>
    <row r="164" customFormat="1" ht="14.4" x14ac:dyDescent="0.3"/>
    <row r="165" customFormat="1" ht="14.4" x14ac:dyDescent="0.3"/>
    <row r="166" customFormat="1" ht="14.4" x14ac:dyDescent="0.3"/>
    <row r="167" customFormat="1" ht="14.4" x14ac:dyDescent="0.3"/>
    <row r="168" customFormat="1" ht="14.4" x14ac:dyDescent="0.3"/>
    <row r="169" customFormat="1" ht="14.4" x14ac:dyDescent="0.3"/>
    <row r="170" customFormat="1" ht="14.4" x14ac:dyDescent="0.3"/>
    <row r="171" customFormat="1" ht="14.4" x14ac:dyDescent="0.3"/>
    <row r="172" customFormat="1" ht="14.4" x14ac:dyDescent="0.3"/>
    <row r="173" customFormat="1" ht="14.4" x14ac:dyDescent="0.3"/>
    <row r="174" customFormat="1" ht="14.4" x14ac:dyDescent="0.3"/>
    <row r="175" customFormat="1" ht="14.4" x14ac:dyDescent="0.3"/>
    <row r="176" customFormat="1" ht="14.4" x14ac:dyDescent="0.3"/>
    <row r="177" customFormat="1" ht="14.4" x14ac:dyDescent="0.3"/>
    <row r="178" customFormat="1" ht="14.4" x14ac:dyDescent="0.3"/>
    <row r="179" customFormat="1" ht="14.4" x14ac:dyDescent="0.3"/>
    <row r="180" customFormat="1" ht="14.4" x14ac:dyDescent="0.3"/>
    <row r="181" customFormat="1" ht="14.4" x14ac:dyDescent="0.3"/>
    <row r="182" customFormat="1" ht="14.4" x14ac:dyDescent="0.3"/>
    <row r="183" customFormat="1" ht="14.4" x14ac:dyDescent="0.3"/>
    <row r="184" customFormat="1" ht="14.4" x14ac:dyDescent="0.3"/>
    <row r="185" customFormat="1" ht="14.4" x14ac:dyDescent="0.3"/>
    <row r="186" customFormat="1" ht="14.4" x14ac:dyDescent="0.3"/>
    <row r="187" customFormat="1" ht="14.4" x14ac:dyDescent="0.3"/>
    <row r="188" customFormat="1" ht="14.4" x14ac:dyDescent="0.3"/>
    <row r="189" customFormat="1" ht="14.4" x14ac:dyDescent="0.3"/>
    <row r="190" customFormat="1" ht="14.4" x14ac:dyDescent="0.3"/>
    <row r="191" customFormat="1" ht="14.4" x14ac:dyDescent="0.3"/>
    <row r="192" customFormat="1" ht="14.4" x14ac:dyDescent="0.3"/>
    <row r="193" customFormat="1" ht="14.4" x14ac:dyDescent="0.3"/>
    <row r="194" customFormat="1" ht="14.4" x14ac:dyDescent="0.3"/>
    <row r="195" customFormat="1" ht="14.4" x14ac:dyDescent="0.3"/>
    <row r="196" customFormat="1" ht="14.4" x14ac:dyDescent="0.3"/>
    <row r="197" customFormat="1" ht="14.4" x14ac:dyDescent="0.3"/>
    <row r="198" customFormat="1" ht="14.4" x14ac:dyDescent="0.3"/>
    <row r="199" customFormat="1" ht="14.4" x14ac:dyDescent="0.3"/>
    <row r="200" customFormat="1" ht="14.4" x14ac:dyDescent="0.3"/>
    <row r="201" customFormat="1" ht="14.4" x14ac:dyDescent="0.3"/>
    <row r="202" customFormat="1" ht="14.4" x14ac:dyDescent="0.3"/>
    <row r="203" customFormat="1" ht="14.4" x14ac:dyDescent="0.3"/>
    <row r="204" customFormat="1" ht="14.4" x14ac:dyDescent="0.3"/>
    <row r="205" customFormat="1" ht="14.4" x14ac:dyDescent="0.3"/>
    <row r="206" customFormat="1" ht="14.4" x14ac:dyDescent="0.3"/>
    <row r="207" customFormat="1" ht="14.4" x14ac:dyDescent="0.3"/>
    <row r="208" customFormat="1" ht="14.4" x14ac:dyDescent="0.3"/>
    <row r="209" customFormat="1" ht="14.4" x14ac:dyDescent="0.3"/>
    <row r="210" customFormat="1" ht="14.4" x14ac:dyDescent="0.3"/>
    <row r="211" customFormat="1" ht="14.4" x14ac:dyDescent="0.3"/>
    <row r="212" customFormat="1" ht="14.4" x14ac:dyDescent="0.3"/>
    <row r="213" customFormat="1" ht="14.4" x14ac:dyDescent="0.3"/>
    <row r="214" customFormat="1" ht="14.4" x14ac:dyDescent="0.3"/>
    <row r="215" customFormat="1" ht="14.4" x14ac:dyDescent="0.3"/>
    <row r="216" customFormat="1" ht="14.4" x14ac:dyDescent="0.3"/>
    <row r="217" customFormat="1" ht="14.4" x14ac:dyDescent="0.3"/>
    <row r="218" customFormat="1" ht="14.4" x14ac:dyDescent="0.3"/>
    <row r="219" customFormat="1" ht="14.4" x14ac:dyDescent="0.3"/>
    <row r="220" customFormat="1" ht="14.4" x14ac:dyDescent="0.3"/>
    <row r="221" customFormat="1" ht="14.4" x14ac:dyDescent="0.3"/>
    <row r="222" customFormat="1" ht="14.4" x14ac:dyDescent="0.3"/>
    <row r="223" customFormat="1" ht="14.4" x14ac:dyDescent="0.3"/>
    <row r="224" customFormat="1" ht="14.4" x14ac:dyDescent="0.3"/>
    <row r="225" customFormat="1" ht="14.4" x14ac:dyDescent="0.3"/>
    <row r="226" customFormat="1" ht="14.4" x14ac:dyDescent="0.3"/>
    <row r="227" customFormat="1" ht="14.4" x14ac:dyDescent="0.3"/>
    <row r="228" customFormat="1" ht="14.4" x14ac:dyDescent="0.3"/>
    <row r="229" customFormat="1" ht="14.4" x14ac:dyDescent="0.3"/>
    <row r="230" customFormat="1" ht="14.4" x14ac:dyDescent="0.3"/>
    <row r="231" customFormat="1" ht="14.4" x14ac:dyDescent="0.3"/>
    <row r="232" customFormat="1" ht="14.4" x14ac:dyDescent="0.3"/>
    <row r="233" customFormat="1" ht="14.4" x14ac:dyDescent="0.3"/>
    <row r="234" customFormat="1" ht="14.4" x14ac:dyDescent="0.3"/>
    <row r="235" customFormat="1" ht="14.4" x14ac:dyDescent="0.3"/>
    <row r="236" customFormat="1" ht="14.4" x14ac:dyDescent="0.3"/>
    <row r="237" customFormat="1" ht="14.4" x14ac:dyDescent="0.3"/>
    <row r="238" customFormat="1" ht="14.4" x14ac:dyDescent="0.3"/>
    <row r="239" customFormat="1" ht="14.4" x14ac:dyDescent="0.3"/>
    <row r="240" customFormat="1" ht="14.4" x14ac:dyDescent="0.3"/>
    <row r="241" customFormat="1" ht="14.4" x14ac:dyDescent="0.3"/>
    <row r="242" customFormat="1" ht="14.4" x14ac:dyDescent="0.3"/>
    <row r="243" customFormat="1" ht="14.4" x14ac:dyDescent="0.3"/>
    <row r="244" customFormat="1" ht="14.4" x14ac:dyDescent="0.3"/>
    <row r="245" customFormat="1" ht="14.4" x14ac:dyDescent="0.3"/>
    <row r="246" customFormat="1" ht="14.4" x14ac:dyDescent="0.3"/>
    <row r="247" customFormat="1" ht="14.4" x14ac:dyDescent="0.3"/>
    <row r="248" customFormat="1" ht="14.4" x14ac:dyDescent="0.3"/>
    <row r="249" customFormat="1" ht="14.4" x14ac:dyDescent="0.3"/>
    <row r="250" customFormat="1" ht="14.4" x14ac:dyDescent="0.3"/>
    <row r="251" customFormat="1" ht="14.4" x14ac:dyDescent="0.3"/>
    <row r="252" customFormat="1" ht="14.4" x14ac:dyDescent="0.3"/>
    <row r="253" customFormat="1" ht="14.4" x14ac:dyDescent="0.3"/>
    <row r="254" customFormat="1" ht="14.4" x14ac:dyDescent="0.3"/>
    <row r="255" customFormat="1" ht="14.4" x14ac:dyDescent="0.3"/>
    <row r="256" customFormat="1" ht="14.4" x14ac:dyDescent="0.3"/>
    <row r="257" customFormat="1" ht="14.4" x14ac:dyDescent="0.3"/>
    <row r="258" customFormat="1" ht="14.4" x14ac:dyDescent="0.3"/>
    <row r="259" customFormat="1" ht="14.4" x14ac:dyDescent="0.3"/>
    <row r="260" customFormat="1" ht="14.4" x14ac:dyDescent="0.3"/>
    <row r="261" customFormat="1" ht="14.4" x14ac:dyDescent="0.3"/>
    <row r="262" customFormat="1" ht="14.4" x14ac:dyDescent="0.3"/>
    <row r="263" customFormat="1" ht="14.4" x14ac:dyDescent="0.3"/>
    <row r="264" customFormat="1" ht="14.4" x14ac:dyDescent="0.3"/>
    <row r="265" customFormat="1" ht="14.4" x14ac:dyDescent="0.3"/>
    <row r="266" customFormat="1" ht="14.4" x14ac:dyDescent="0.3"/>
    <row r="267" customFormat="1" ht="14.4" x14ac:dyDescent="0.3"/>
    <row r="268" customFormat="1" ht="14.4" x14ac:dyDescent="0.3"/>
    <row r="269" customFormat="1" ht="14.4" x14ac:dyDescent="0.3"/>
    <row r="270" customFormat="1" ht="14.4" x14ac:dyDescent="0.3"/>
    <row r="271" customFormat="1" ht="14.4" x14ac:dyDescent="0.3"/>
    <row r="272" customFormat="1" ht="14.4" x14ac:dyDescent="0.3"/>
    <row r="273" customFormat="1" ht="14.4" x14ac:dyDescent="0.3"/>
    <row r="274" customFormat="1" ht="14.4" x14ac:dyDescent="0.3"/>
    <row r="275" customFormat="1" ht="14.4" x14ac:dyDescent="0.3"/>
    <row r="276" customFormat="1" ht="14.4" x14ac:dyDescent="0.3"/>
    <row r="277" customFormat="1" ht="14.4" x14ac:dyDescent="0.3"/>
    <row r="278" customFormat="1" ht="14.4" x14ac:dyDescent="0.3"/>
    <row r="279" customFormat="1" ht="14.4" x14ac:dyDescent="0.3"/>
    <row r="280" customFormat="1" ht="14.4" x14ac:dyDescent="0.3"/>
    <row r="281" customFormat="1" ht="14.4" x14ac:dyDescent="0.3"/>
    <row r="282" customFormat="1" ht="14.4" x14ac:dyDescent="0.3"/>
    <row r="283" customFormat="1" ht="14.4" x14ac:dyDescent="0.3"/>
    <row r="284" customFormat="1" ht="14.4" x14ac:dyDescent="0.3"/>
    <row r="285" customFormat="1" ht="14.4" x14ac:dyDescent="0.3"/>
    <row r="286" customFormat="1" ht="14.4" x14ac:dyDescent="0.3"/>
    <row r="287" customFormat="1" ht="14.4" x14ac:dyDescent="0.3"/>
    <row r="288" customFormat="1" ht="14.4" x14ac:dyDescent="0.3"/>
    <row r="289" customFormat="1" ht="14.4" x14ac:dyDescent="0.3"/>
    <row r="290" customFormat="1" ht="14.4" x14ac:dyDescent="0.3"/>
    <row r="291" customFormat="1" ht="14.4" x14ac:dyDescent="0.3"/>
    <row r="292" customFormat="1" ht="14.4" x14ac:dyDescent="0.3"/>
    <row r="293" customFormat="1" ht="14.4" x14ac:dyDescent="0.3"/>
    <row r="294" customFormat="1" ht="14.4" x14ac:dyDescent="0.3"/>
    <row r="295" customFormat="1" ht="14.4" x14ac:dyDescent="0.3"/>
    <row r="296" customFormat="1" ht="14.4" x14ac:dyDescent="0.3"/>
    <row r="297" customFormat="1" ht="14.4" x14ac:dyDescent="0.3"/>
    <row r="298" customFormat="1" ht="14.4" x14ac:dyDescent="0.3"/>
    <row r="299" customFormat="1" ht="14.4" x14ac:dyDescent="0.3"/>
    <row r="300" customFormat="1" ht="14.4" x14ac:dyDescent="0.3"/>
    <row r="301" customFormat="1" ht="14.4" x14ac:dyDescent="0.3"/>
    <row r="302" customFormat="1" ht="14.4" x14ac:dyDescent="0.3"/>
    <row r="303" customFormat="1" ht="14.4" x14ac:dyDescent="0.3"/>
    <row r="304" customFormat="1" ht="14.4" x14ac:dyDescent="0.3"/>
    <row r="305" customFormat="1" ht="14.4" x14ac:dyDescent="0.3"/>
    <row r="306" customFormat="1" ht="14.4" x14ac:dyDescent="0.3"/>
    <row r="307" customFormat="1" ht="14.4" x14ac:dyDescent="0.3"/>
    <row r="308" customFormat="1" ht="14.4" x14ac:dyDescent="0.3"/>
    <row r="309" customFormat="1" ht="14.4" x14ac:dyDescent="0.3"/>
    <row r="310" customFormat="1" ht="14.4" x14ac:dyDescent="0.3"/>
    <row r="311" customFormat="1" ht="14.4" x14ac:dyDescent="0.3"/>
    <row r="312" customFormat="1" ht="14.4" x14ac:dyDescent="0.3"/>
    <row r="313" customFormat="1" ht="14.4" x14ac:dyDescent="0.3"/>
    <row r="314" customFormat="1" ht="14.4" x14ac:dyDescent="0.3"/>
    <row r="315" customFormat="1" ht="14.4" x14ac:dyDescent="0.3"/>
    <row r="316" customFormat="1" ht="14.4" x14ac:dyDescent="0.3"/>
    <row r="317" customFormat="1" ht="14.4" x14ac:dyDescent="0.3"/>
    <row r="318" customFormat="1" ht="14.4" x14ac:dyDescent="0.3"/>
    <row r="319" customFormat="1" ht="14.4" x14ac:dyDescent="0.3"/>
    <row r="320" customFormat="1" ht="14.4" x14ac:dyDescent="0.3"/>
    <row r="321" customFormat="1" ht="14.4" x14ac:dyDescent="0.3"/>
    <row r="322" customFormat="1" ht="14.4" x14ac:dyDescent="0.3"/>
    <row r="323" customFormat="1" ht="14.4" x14ac:dyDescent="0.3"/>
    <row r="324" customFormat="1" ht="14.4" x14ac:dyDescent="0.3"/>
    <row r="325" customFormat="1" ht="14.4" x14ac:dyDescent="0.3"/>
    <row r="326" customFormat="1" ht="14.4" x14ac:dyDescent="0.3"/>
    <row r="327" customFormat="1" ht="14.4" x14ac:dyDescent="0.3"/>
    <row r="328" customFormat="1" ht="14.4" x14ac:dyDescent="0.3"/>
    <row r="329" customFormat="1" ht="14.4" x14ac:dyDescent="0.3"/>
    <row r="330" customFormat="1" ht="14.4" x14ac:dyDescent="0.3"/>
    <row r="331" customFormat="1" ht="14.4" x14ac:dyDescent="0.3"/>
    <row r="332" customFormat="1" ht="14.4" x14ac:dyDescent="0.3"/>
    <row r="333" customFormat="1" ht="14.4" x14ac:dyDescent="0.3"/>
    <row r="334" customFormat="1" ht="14.4" x14ac:dyDescent="0.3"/>
    <row r="335" customFormat="1" ht="14.4" x14ac:dyDescent="0.3"/>
    <row r="336" customFormat="1" ht="14.4" x14ac:dyDescent="0.3"/>
    <row r="337" customFormat="1" ht="14.4" x14ac:dyDescent="0.3"/>
    <row r="338" customFormat="1" ht="14.4" x14ac:dyDescent="0.3"/>
    <row r="339" customFormat="1" ht="14.4" x14ac:dyDescent="0.3"/>
    <row r="340" customFormat="1" ht="14.4" x14ac:dyDescent="0.3"/>
    <row r="341" customFormat="1" ht="14.4" x14ac:dyDescent="0.3"/>
    <row r="342" customFormat="1" ht="14.4" x14ac:dyDescent="0.3"/>
    <row r="343" customFormat="1" ht="14.4" x14ac:dyDescent="0.3"/>
    <row r="344" customFormat="1" ht="14.4" x14ac:dyDescent="0.3"/>
    <row r="345" customFormat="1" ht="14.4" x14ac:dyDescent="0.3"/>
    <row r="346" customFormat="1" ht="14.4" x14ac:dyDescent="0.3"/>
    <row r="347" customFormat="1" ht="14.4" x14ac:dyDescent="0.3"/>
    <row r="348" customFormat="1" ht="14.4" x14ac:dyDescent="0.3"/>
    <row r="349" customFormat="1" ht="14.4" x14ac:dyDescent="0.3"/>
    <row r="350" customFormat="1" ht="14.4" x14ac:dyDescent="0.3"/>
    <row r="351" customFormat="1" ht="14.4" x14ac:dyDescent="0.3"/>
    <row r="352" customFormat="1" ht="14.4" x14ac:dyDescent="0.3"/>
    <row r="353" customFormat="1" ht="14.4" x14ac:dyDescent="0.3"/>
    <row r="354" customFormat="1" ht="14.4" x14ac:dyDescent="0.3"/>
    <row r="355" customFormat="1" ht="14.4" x14ac:dyDescent="0.3"/>
    <row r="356" customFormat="1" ht="14.4" x14ac:dyDescent="0.3"/>
    <row r="357" customFormat="1" ht="14.4" x14ac:dyDescent="0.3"/>
    <row r="358" customFormat="1" ht="14.4" x14ac:dyDescent="0.3"/>
    <row r="359" customFormat="1" ht="14.4" x14ac:dyDescent="0.3"/>
    <row r="360" customFormat="1" ht="14.4" x14ac:dyDescent="0.3"/>
    <row r="361" customFormat="1" ht="14.4" x14ac:dyDescent="0.3"/>
    <row r="362" customFormat="1" ht="14.4" x14ac:dyDescent="0.3"/>
    <row r="363" customFormat="1" ht="14.4" x14ac:dyDescent="0.3"/>
    <row r="364" customFormat="1" ht="14.4" x14ac:dyDescent="0.3"/>
    <row r="365" customFormat="1" ht="14.4" x14ac:dyDescent="0.3"/>
    <row r="366" customFormat="1" ht="14.4" x14ac:dyDescent="0.3"/>
    <row r="367" customFormat="1" ht="14.4" x14ac:dyDescent="0.3"/>
    <row r="368" customFormat="1" ht="14.4" x14ac:dyDescent="0.3"/>
    <row r="369" customFormat="1" ht="14.4" x14ac:dyDescent="0.3"/>
    <row r="370" customFormat="1" ht="14.4" x14ac:dyDescent="0.3"/>
    <row r="371" customFormat="1" ht="14.4" x14ac:dyDescent="0.3"/>
    <row r="372" customFormat="1" ht="14.4" x14ac:dyDescent="0.3"/>
    <row r="373" customFormat="1" ht="14.4" x14ac:dyDescent="0.3"/>
    <row r="374" customFormat="1" ht="14.4" x14ac:dyDescent="0.3"/>
    <row r="375" customFormat="1" ht="14.4" x14ac:dyDescent="0.3"/>
    <row r="376" customFormat="1" ht="14.4" x14ac:dyDescent="0.3"/>
    <row r="377" customFormat="1" ht="14.4" x14ac:dyDescent="0.3"/>
    <row r="378" customFormat="1" ht="14.4" x14ac:dyDescent="0.3"/>
    <row r="379" customFormat="1" ht="14.4" x14ac:dyDescent="0.3"/>
    <row r="380" customFormat="1" ht="14.4" x14ac:dyDescent="0.3"/>
    <row r="381" customFormat="1" ht="14.4" x14ac:dyDescent="0.3"/>
    <row r="382" customFormat="1" ht="14.4" x14ac:dyDescent="0.3"/>
    <row r="383" customFormat="1" ht="14.4" x14ac:dyDescent="0.3"/>
    <row r="384" customFormat="1" ht="14.4" x14ac:dyDescent="0.3"/>
    <row r="385" customFormat="1" ht="14.4" x14ac:dyDescent="0.3"/>
    <row r="386" customFormat="1" ht="14.4" x14ac:dyDescent="0.3"/>
    <row r="387" customFormat="1" ht="14.4" x14ac:dyDescent="0.3"/>
    <row r="388" customFormat="1" ht="14.4" x14ac:dyDescent="0.3"/>
    <row r="389" customFormat="1" ht="14.4" x14ac:dyDescent="0.3"/>
    <row r="390" customFormat="1" ht="14.4" x14ac:dyDescent="0.3"/>
    <row r="391" customFormat="1" ht="14.4" x14ac:dyDescent="0.3"/>
    <row r="392" customFormat="1" ht="14.4" x14ac:dyDescent="0.3"/>
    <row r="393" customFormat="1" ht="14.4" x14ac:dyDescent="0.3"/>
    <row r="394" customFormat="1" ht="14.4" x14ac:dyDescent="0.3"/>
    <row r="395" customFormat="1" ht="14.4" x14ac:dyDescent="0.3"/>
    <row r="396" customFormat="1" ht="14.4" x14ac:dyDescent="0.3"/>
    <row r="397" customFormat="1" ht="14.4" x14ac:dyDescent="0.3"/>
    <row r="398" customFormat="1" ht="14.4" x14ac:dyDescent="0.3"/>
    <row r="399" customFormat="1" ht="14.4" x14ac:dyDescent="0.3"/>
    <row r="400" customFormat="1" ht="14.4" x14ac:dyDescent="0.3"/>
    <row r="401" customFormat="1" ht="14.4" x14ac:dyDescent="0.3"/>
    <row r="402" customFormat="1" ht="14.4" x14ac:dyDescent="0.3"/>
    <row r="403" customFormat="1" ht="14.4" x14ac:dyDescent="0.3"/>
    <row r="404" customFormat="1" ht="14.4" x14ac:dyDescent="0.3"/>
    <row r="405" customFormat="1" ht="14.4" x14ac:dyDescent="0.3"/>
    <row r="406" customFormat="1" ht="14.4" x14ac:dyDescent="0.3"/>
    <row r="407" customFormat="1" ht="14.4" x14ac:dyDescent="0.3"/>
    <row r="408" customFormat="1" ht="14.4" x14ac:dyDescent="0.3"/>
    <row r="409" customFormat="1" ht="14.4" x14ac:dyDescent="0.3"/>
    <row r="410" customFormat="1" ht="14.4" x14ac:dyDescent="0.3"/>
    <row r="411" customFormat="1" ht="14.4" x14ac:dyDescent="0.3"/>
    <row r="412" customFormat="1" ht="14.4" x14ac:dyDescent="0.3"/>
    <row r="413" customFormat="1" ht="14.4" x14ac:dyDescent="0.3"/>
    <row r="414" customFormat="1" ht="14.4" x14ac:dyDescent="0.3"/>
    <row r="415" customFormat="1" ht="14.4" x14ac:dyDescent="0.3"/>
    <row r="416" customFormat="1" ht="14.4" x14ac:dyDescent="0.3"/>
    <row r="417" customFormat="1" ht="14.4" x14ac:dyDescent="0.3"/>
    <row r="418" customFormat="1" ht="14.4" x14ac:dyDescent="0.3"/>
    <row r="419" customFormat="1" ht="14.4" x14ac:dyDescent="0.3"/>
    <row r="420" customFormat="1" ht="14.4" x14ac:dyDescent="0.3"/>
    <row r="421" customFormat="1" ht="14.4" x14ac:dyDescent="0.3"/>
    <row r="422" customFormat="1" ht="14.4" x14ac:dyDescent="0.3"/>
    <row r="423" customFormat="1" ht="14.4" x14ac:dyDescent="0.3"/>
    <row r="424" customFormat="1" ht="14.4" x14ac:dyDescent="0.3"/>
    <row r="425" customFormat="1" ht="14.4" x14ac:dyDescent="0.3"/>
    <row r="426" customFormat="1" ht="14.4" x14ac:dyDescent="0.3"/>
    <row r="427" customFormat="1" ht="14.4" x14ac:dyDescent="0.3"/>
    <row r="428" customFormat="1" ht="14.4" x14ac:dyDescent="0.3"/>
    <row r="429" customFormat="1" ht="14.4" x14ac:dyDescent="0.3"/>
    <row r="430" customFormat="1" ht="14.4" x14ac:dyDescent="0.3"/>
    <row r="431" customFormat="1" ht="14.4" x14ac:dyDescent="0.3"/>
    <row r="432" customFormat="1" ht="14.4" x14ac:dyDescent="0.3"/>
    <row r="433" customFormat="1" ht="14.4" x14ac:dyDescent="0.3"/>
    <row r="434" customFormat="1" ht="14.4" x14ac:dyDescent="0.3"/>
    <row r="435" customFormat="1" ht="14.4" x14ac:dyDescent="0.3"/>
    <row r="436" customFormat="1" ht="14.4" x14ac:dyDescent="0.3"/>
    <row r="437" customFormat="1" ht="14.4" x14ac:dyDescent="0.3"/>
    <row r="438" customFormat="1" ht="14.4" x14ac:dyDescent="0.3"/>
    <row r="439" customFormat="1" ht="14.4" x14ac:dyDescent="0.3"/>
    <row r="440" customFormat="1" ht="14.4" x14ac:dyDescent="0.3"/>
    <row r="441" customFormat="1" ht="14.4" x14ac:dyDescent="0.3"/>
    <row r="442" customFormat="1" ht="14.4" x14ac:dyDescent="0.3"/>
    <row r="443" customFormat="1" ht="14.4" x14ac:dyDescent="0.3"/>
    <row r="444" customFormat="1" ht="14.4" x14ac:dyDescent="0.3"/>
    <row r="445" customFormat="1" ht="14.4" x14ac:dyDescent="0.3"/>
    <row r="446" customFormat="1" ht="14.4" x14ac:dyDescent="0.3"/>
    <row r="447" customFormat="1" ht="14.4" x14ac:dyDescent="0.3"/>
    <row r="448" customFormat="1" ht="14.4" x14ac:dyDescent="0.3"/>
    <row r="449" customFormat="1" ht="14.4" x14ac:dyDescent="0.3"/>
    <row r="450" customFormat="1" ht="14.4" x14ac:dyDescent="0.3"/>
    <row r="451" customFormat="1" ht="14.4" x14ac:dyDescent="0.3"/>
    <row r="452" customFormat="1" ht="14.4" x14ac:dyDescent="0.3"/>
    <row r="453" customFormat="1" ht="14.4" x14ac:dyDescent="0.3"/>
    <row r="454" customFormat="1" ht="14.4" x14ac:dyDescent="0.3"/>
    <row r="455" customFormat="1" ht="14.4" x14ac:dyDescent="0.3"/>
    <row r="456" customFormat="1" ht="14.4" x14ac:dyDescent="0.3"/>
    <row r="457" customFormat="1" ht="14.4" x14ac:dyDescent="0.3"/>
    <row r="458" customFormat="1" ht="14.4" x14ac:dyDescent="0.3"/>
    <row r="459" customFormat="1" ht="14.4" x14ac:dyDescent="0.3"/>
    <row r="460" customFormat="1" ht="14.4" x14ac:dyDescent="0.3"/>
    <row r="461" customFormat="1" ht="14.4" x14ac:dyDescent="0.3"/>
    <row r="462" customFormat="1" ht="14.4" x14ac:dyDescent="0.3"/>
    <row r="463" customFormat="1" ht="14.4" x14ac:dyDescent="0.3"/>
    <row r="464" customFormat="1" ht="14.4" x14ac:dyDescent="0.3"/>
    <row r="465" customFormat="1" ht="14.4" x14ac:dyDescent="0.3"/>
    <row r="466" customFormat="1" ht="14.4" x14ac:dyDescent="0.3"/>
    <row r="467" customFormat="1" ht="14.4" x14ac:dyDescent="0.3"/>
    <row r="468" customFormat="1" ht="14.4" x14ac:dyDescent="0.3"/>
    <row r="469" customFormat="1" ht="14.4" x14ac:dyDescent="0.3"/>
    <row r="470" customFormat="1" ht="14.4" x14ac:dyDescent="0.3"/>
    <row r="471" customFormat="1" ht="14.4" x14ac:dyDescent="0.3"/>
    <row r="472" customFormat="1" ht="14.4" x14ac:dyDescent="0.3"/>
    <row r="473" customFormat="1" ht="14.4" x14ac:dyDescent="0.3"/>
    <row r="474" customFormat="1" ht="14.4" x14ac:dyDescent="0.3"/>
    <row r="475" customFormat="1" ht="14.4" x14ac:dyDescent="0.3"/>
    <row r="476" customFormat="1" ht="14.4" x14ac:dyDescent="0.3"/>
    <row r="477" customFormat="1" ht="14.4" x14ac:dyDescent="0.3"/>
    <row r="478" customFormat="1" ht="14.4" x14ac:dyDescent="0.3"/>
    <row r="479" customFormat="1" ht="14.4" x14ac:dyDescent="0.3"/>
    <row r="480" customFormat="1" ht="14.4" x14ac:dyDescent="0.3"/>
    <row r="481" customFormat="1" ht="14.4" x14ac:dyDescent="0.3"/>
    <row r="482" customFormat="1" ht="14.4" x14ac:dyDescent="0.3"/>
    <row r="483" customFormat="1" ht="14.4" x14ac:dyDescent="0.3"/>
    <row r="484" customFormat="1" ht="14.4" x14ac:dyDescent="0.3"/>
    <row r="485" customFormat="1" ht="14.4" x14ac:dyDescent="0.3"/>
    <row r="486" customFormat="1" ht="14.4" x14ac:dyDescent="0.3"/>
    <row r="487" customFormat="1" ht="14.4" x14ac:dyDescent="0.3"/>
    <row r="488" customFormat="1" ht="14.4" x14ac:dyDescent="0.3"/>
    <row r="489" customFormat="1" ht="14.4" x14ac:dyDescent="0.3"/>
    <row r="490" customFormat="1" ht="14.4" x14ac:dyDescent="0.3"/>
    <row r="491" customFormat="1" ht="14.4" x14ac:dyDescent="0.3"/>
    <row r="492" customFormat="1" ht="14.4" x14ac:dyDescent="0.3"/>
    <row r="493" customFormat="1" ht="14.4" x14ac:dyDescent="0.3"/>
    <row r="494" customFormat="1" ht="14.4" x14ac:dyDescent="0.3"/>
    <row r="495" customFormat="1" ht="14.4" x14ac:dyDescent="0.3"/>
    <row r="496" customFormat="1" ht="14.4" x14ac:dyDescent="0.3"/>
    <row r="497" customFormat="1" ht="14.4" x14ac:dyDescent="0.3"/>
    <row r="498" customFormat="1" ht="14.4" x14ac:dyDescent="0.3"/>
    <row r="499" customFormat="1" ht="14.4" x14ac:dyDescent="0.3"/>
    <row r="500" customFormat="1" ht="14.4" x14ac:dyDescent="0.3"/>
    <row r="501" customFormat="1" ht="14.4" x14ac:dyDescent="0.3"/>
    <row r="502" customFormat="1" ht="14.4" x14ac:dyDescent="0.3"/>
    <row r="503" customFormat="1" ht="14.4" x14ac:dyDescent="0.3"/>
    <row r="504" customFormat="1" ht="14.4" x14ac:dyDescent="0.3"/>
    <row r="505" customFormat="1" ht="14.4" x14ac:dyDescent="0.3"/>
    <row r="506" customFormat="1" ht="14.4" x14ac:dyDescent="0.3"/>
    <row r="507" customFormat="1" ht="14.4" x14ac:dyDescent="0.3"/>
    <row r="508" customFormat="1" ht="14.4" x14ac:dyDescent="0.3"/>
    <row r="509" customFormat="1" ht="14.4" x14ac:dyDescent="0.3"/>
    <row r="510" customFormat="1" ht="14.4" x14ac:dyDescent="0.3"/>
    <row r="511" customFormat="1" ht="14.4" x14ac:dyDescent="0.3"/>
    <row r="512" customFormat="1" ht="14.4" x14ac:dyDescent="0.3"/>
    <row r="513" customFormat="1" ht="14.4" x14ac:dyDescent="0.3"/>
    <row r="514" customFormat="1" ht="14.4" x14ac:dyDescent="0.3"/>
    <row r="515" customFormat="1" ht="14.4" x14ac:dyDescent="0.3"/>
    <row r="516" customFormat="1" ht="14.4" x14ac:dyDescent="0.3"/>
    <row r="517" customFormat="1" ht="14.4" x14ac:dyDescent="0.3"/>
    <row r="518" customFormat="1" ht="14.4" x14ac:dyDescent="0.3"/>
    <row r="519" customFormat="1" ht="14.4" x14ac:dyDescent="0.3"/>
    <row r="520" customFormat="1" ht="14.4" x14ac:dyDescent="0.3"/>
    <row r="521" customFormat="1" ht="14.4" x14ac:dyDescent="0.3"/>
    <row r="522" customFormat="1" ht="14.4" x14ac:dyDescent="0.3"/>
    <row r="523" customFormat="1" ht="14.4" x14ac:dyDescent="0.3"/>
    <row r="524" customFormat="1" ht="14.4" x14ac:dyDescent="0.3"/>
    <row r="525" customFormat="1" ht="14.4" x14ac:dyDescent="0.3"/>
    <row r="526" customFormat="1" ht="14.4" x14ac:dyDescent="0.3"/>
    <row r="527" customFormat="1" ht="14.4" x14ac:dyDescent="0.3"/>
    <row r="528" customFormat="1" ht="14.4" x14ac:dyDescent="0.3"/>
    <row r="529" customFormat="1" ht="14.4" x14ac:dyDescent="0.3"/>
    <row r="530" customFormat="1" ht="14.4" x14ac:dyDescent="0.3"/>
    <row r="531" customFormat="1" ht="14.4" x14ac:dyDescent="0.3"/>
    <row r="532" customFormat="1" ht="14.4" x14ac:dyDescent="0.3"/>
    <row r="533" customFormat="1" ht="14.4" x14ac:dyDescent="0.3"/>
    <row r="534" customFormat="1" ht="14.4" x14ac:dyDescent="0.3"/>
    <row r="535" customFormat="1" ht="14.4" x14ac:dyDescent="0.3"/>
    <row r="536" customFormat="1" ht="14.4" x14ac:dyDescent="0.3"/>
    <row r="537" customFormat="1" ht="14.4" x14ac:dyDescent="0.3"/>
    <row r="538" customFormat="1" ht="14.4" x14ac:dyDescent="0.3"/>
    <row r="539" customFormat="1" ht="14.4" x14ac:dyDescent="0.3"/>
    <row r="540" customFormat="1" ht="14.4" x14ac:dyDescent="0.3"/>
    <row r="541" customFormat="1" ht="14.4" x14ac:dyDescent="0.3"/>
    <row r="542" customFormat="1" ht="14.4" x14ac:dyDescent="0.3"/>
    <row r="543" customFormat="1" ht="14.4" x14ac:dyDescent="0.3"/>
    <row r="544" customFormat="1" ht="14.4" x14ac:dyDescent="0.3"/>
    <row r="545" customFormat="1" ht="14.4" x14ac:dyDescent="0.3"/>
    <row r="546" customFormat="1" ht="14.4" x14ac:dyDescent="0.3"/>
    <row r="547" customFormat="1" ht="14.4" x14ac:dyDescent="0.3"/>
    <row r="548" customFormat="1" ht="14.4" x14ac:dyDescent="0.3"/>
    <row r="549" customFormat="1" ht="14.4" x14ac:dyDescent="0.3"/>
    <row r="550" customFormat="1" ht="14.4" x14ac:dyDescent="0.3"/>
    <row r="551" customFormat="1" ht="14.4" x14ac:dyDescent="0.3"/>
    <row r="552" customFormat="1" ht="14.4" x14ac:dyDescent="0.3"/>
    <row r="553" customFormat="1" ht="14.4" x14ac:dyDescent="0.3"/>
    <row r="554" customFormat="1" ht="14.4" x14ac:dyDescent="0.3"/>
    <row r="555" customFormat="1" ht="14.4" x14ac:dyDescent="0.3"/>
    <row r="556" customFormat="1" ht="14.4" x14ac:dyDescent="0.3"/>
    <row r="557" customFormat="1" ht="14.4" x14ac:dyDescent="0.3"/>
    <row r="558" customFormat="1" ht="14.4" x14ac:dyDescent="0.3"/>
    <row r="559" customFormat="1" ht="14.4" x14ac:dyDescent="0.3"/>
    <row r="560" customFormat="1" ht="14.4" x14ac:dyDescent="0.3"/>
    <row r="561" customFormat="1" ht="14.4" x14ac:dyDescent="0.3"/>
    <row r="562" customFormat="1" ht="14.4" x14ac:dyDescent="0.3"/>
    <row r="563" customFormat="1" ht="14.4" x14ac:dyDescent="0.3"/>
    <row r="564" customFormat="1" ht="14.4" x14ac:dyDescent="0.3"/>
    <row r="565" customFormat="1" ht="14.4" x14ac:dyDescent="0.3"/>
    <row r="566" customFormat="1" ht="14.4" x14ac:dyDescent="0.3"/>
    <row r="567" customFormat="1" ht="14.4" x14ac:dyDescent="0.3"/>
    <row r="568" customFormat="1" ht="14.4" x14ac:dyDescent="0.3"/>
    <row r="569" customFormat="1" ht="14.4" x14ac:dyDescent="0.3"/>
    <row r="570" customFormat="1" ht="14.4" x14ac:dyDescent="0.3"/>
    <row r="571" customFormat="1" ht="14.4" x14ac:dyDescent="0.3"/>
    <row r="572" customFormat="1" ht="14.4" x14ac:dyDescent="0.3"/>
    <row r="573" customFormat="1" ht="14.4" x14ac:dyDescent="0.3"/>
    <row r="574" customFormat="1" ht="14.4" x14ac:dyDescent="0.3"/>
    <row r="575" customFormat="1" ht="14.4" x14ac:dyDescent="0.3"/>
    <row r="576" customFormat="1" ht="14.4" x14ac:dyDescent="0.3"/>
    <row r="577" customFormat="1" ht="14.4" x14ac:dyDescent="0.3"/>
    <row r="578" customFormat="1" ht="14.4" x14ac:dyDescent="0.3"/>
    <row r="579" customFormat="1" ht="14.4" x14ac:dyDescent="0.3"/>
    <row r="580" customFormat="1" ht="14.4" x14ac:dyDescent="0.3"/>
    <row r="581" customFormat="1" ht="14.4" x14ac:dyDescent="0.3"/>
    <row r="582" customFormat="1" ht="14.4" x14ac:dyDescent="0.3"/>
    <row r="583" customFormat="1" ht="14.4" x14ac:dyDescent="0.3"/>
    <row r="584" customFormat="1" ht="14.4" x14ac:dyDescent="0.3"/>
    <row r="585" customFormat="1" ht="14.4" x14ac:dyDescent="0.3"/>
    <row r="586" customFormat="1" ht="14.4" x14ac:dyDescent="0.3"/>
    <row r="587" customFormat="1" ht="14.4" x14ac:dyDescent="0.3"/>
    <row r="588" customFormat="1" ht="14.4" x14ac:dyDescent="0.3"/>
    <row r="589" customFormat="1" ht="14.4" x14ac:dyDescent="0.3"/>
    <row r="590" customFormat="1" ht="14.4" x14ac:dyDescent="0.3"/>
    <row r="591" customFormat="1" ht="14.4" x14ac:dyDescent="0.3"/>
    <row r="592" customFormat="1" ht="14.4" x14ac:dyDescent="0.3"/>
    <row r="593" customFormat="1" ht="14.4" x14ac:dyDescent="0.3"/>
    <row r="594" customFormat="1" ht="14.4" x14ac:dyDescent="0.3"/>
    <row r="595" customFormat="1" ht="14.4" x14ac:dyDescent="0.3"/>
    <row r="596" customFormat="1" ht="14.4" x14ac:dyDescent="0.3"/>
    <row r="597" customFormat="1" ht="14.4" x14ac:dyDescent="0.3"/>
    <row r="598" customFormat="1" ht="14.4" x14ac:dyDescent="0.3"/>
    <row r="599" customFormat="1" ht="14.4" x14ac:dyDescent="0.3"/>
    <row r="600" customFormat="1" ht="14.4" x14ac:dyDescent="0.3"/>
    <row r="601" customFormat="1" ht="14.4" x14ac:dyDescent="0.3"/>
    <row r="602" customFormat="1" ht="14.4" x14ac:dyDescent="0.3"/>
    <row r="603" customFormat="1" ht="14.4" x14ac:dyDescent="0.3"/>
    <row r="604" customFormat="1" ht="14.4" x14ac:dyDescent="0.3"/>
    <row r="605" customFormat="1" ht="14.4" x14ac:dyDescent="0.3"/>
    <row r="606" customFormat="1" ht="14.4" x14ac:dyDescent="0.3"/>
    <row r="607" customFormat="1" ht="14.4" x14ac:dyDescent="0.3"/>
    <row r="608" customFormat="1" ht="14.4" x14ac:dyDescent="0.3"/>
    <row r="609" customFormat="1" ht="14.4" x14ac:dyDescent="0.3"/>
    <row r="610" customFormat="1" ht="14.4" x14ac:dyDescent="0.3"/>
    <row r="611" customFormat="1" ht="14.4" x14ac:dyDescent="0.3"/>
    <row r="612" customFormat="1" ht="14.4" x14ac:dyDescent="0.3"/>
    <row r="613" customFormat="1" ht="14.4" x14ac:dyDescent="0.3"/>
    <row r="614" customFormat="1" ht="14.4" x14ac:dyDescent="0.3"/>
    <row r="615" customFormat="1" ht="14.4" x14ac:dyDescent="0.3"/>
    <row r="616" customFormat="1" ht="14.4" x14ac:dyDescent="0.3"/>
    <row r="617" customFormat="1" ht="14.4" x14ac:dyDescent="0.3"/>
    <row r="618" customFormat="1" ht="14.4" x14ac:dyDescent="0.3"/>
    <row r="619" customFormat="1" ht="14.4" x14ac:dyDescent="0.3"/>
    <row r="620" customFormat="1" ht="14.4" x14ac:dyDescent="0.3"/>
    <row r="621" customFormat="1" ht="14.4" x14ac:dyDescent="0.3"/>
    <row r="622" customFormat="1" ht="14.4" x14ac:dyDescent="0.3"/>
    <row r="623" customFormat="1" ht="14.4" x14ac:dyDescent="0.3"/>
    <row r="624" customFormat="1" ht="14.4" x14ac:dyDescent="0.3"/>
    <row r="625" customFormat="1" ht="14.4" x14ac:dyDescent="0.3"/>
    <row r="626" customFormat="1" ht="14.4" x14ac:dyDescent="0.3"/>
    <row r="627" customFormat="1" ht="14.4" x14ac:dyDescent="0.3"/>
    <row r="628" customFormat="1" ht="14.4" x14ac:dyDescent="0.3"/>
    <row r="629" customFormat="1" ht="14.4" x14ac:dyDescent="0.3"/>
    <row r="630" customFormat="1" ht="14.4" x14ac:dyDescent="0.3"/>
    <row r="631" customFormat="1" ht="14.4" x14ac:dyDescent="0.3"/>
    <row r="632" customFormat="1" ht="14.4" x14ac:dyDescent="0.3"/>
    <row r="633" customFormat="1" ht="14.4" x14ac:dyDescent="0.3"/>
    <row r="634" customFormat="1" ht="14.4" x14ac:dyDescent="0.3"/>
    <row r="635" customFormat="1" ht="14.4" x14ac:dyDescent="0.3"/>
    <row r="636" customFormat="1" ht="14.4" x14ac:dyDescent="0.3"/>
    <row r="637" customFormat="1" ht="14.4" x14ac:dyDescent="0.3"/>
    <row r="638" customFormat="1" ht="14.4" x14ac:dyDescent="0.3"/>
    <row r="639" customFormat="1" ht="14.4" x14ac:dyDescent="0.3"/>
    <row r="640" customFormat="1" ht="14.4" x14ac:dyDescent="0.3"/>
    <row r="641" customFormat="1" ht="14.4" x14ac:dyDescent="0.3"/>
    <row r="642" customFormat="1" ht="14.4" x14ac:dyDescent="0.3"/>
    <row r="643" customFormat="1" ht="14.4" x14ac:dyDescent="0.3"/>
    <row r="644" customFormat="1" ht="14.4" x14ac:dyDescent="0.3"/>
    <row r="645" customFormat="1" ht="14.4" x14ac:dyDescent="0.3"/>
    <row r="646" customFormat="1" ht="14.4" x14ac:dyDescent="0.3"/>
    <row r="647" customFormat="1" ht="14.4" x14ac:dyDescent="0.3"/>
    <row r="648" customFormat="1" ht="14.4" x14ac:dyDescent="0.3"/>
    <row r="649" customFormat="1" ht="14.4" x14ac:dyDescent="0.3"/>
    <row r="650" customFormat="1" ht="14.4" x14ac:dyDescent="0.3"/>
    <row r="651" customFormat="1" ht="14.4" x14ac:dyDescent="0.3"/>
    <row r="652" customFormat="1" ht="14.4" x14ac:dyDescent="0.3"/>
    <row r="653" customFormat="1" ht="14.4" x14ac:dyDescent="0.3"/>
    <row r="654" customFormat="1" ht="14.4" x14ac:dyDescent="0.3"/>
    <row r="655" customFormat="1" ht="14.4" x14ac:dyDescent="0.3"/>
    <row r="656" customFormat="1" ht="14.4" x14ac:dyDescent="0.3"/>
    <row r="657" customFormat="1" ht="14.4" x14ac:dyDescent="0.3"/>
    <row r="658" customFormat="1" ht="14.4" x14ac:dyDescent="0.3"/>
    <row r="659" customFormat="1" ht="14.4" x14ac:dyDescent="0.3"/>
    <row r="660" customFormat="1" ht="14.4" x14ac:dyDescent="0.3"/>
    <row r="661" customFormat="1" ht="14.4" x14ac:dyDescent="0.3"/>
    <row r="662" customFormat="1" ht="14.4" x14ac:dyDescent="0.3"/>
    <row r="663" customFormat="1" ht="14.4" x14ac:dyDescent="0.3"/>
    <row r="664" customFormat="1" ht="14.4" x14ac:dyDescent="0.3"/>
    <row r="665" customFormat="1" ht="14.4" x14ac:dyDescent="0.3"/>
    <row r="666" customFormat="1" ht="14.4" x14ac:dyDescent="0.3"/>
    <row r="667" customFormat="1" ht="14.4" x14ac:dyDescent="0.3"/>
    <row r="668" customFormat="1" ht="14.4" x14ac:dyDescent="0.3"/>
    <row r="669" customFormat="1" ht="14.4" x14ac:dyDescent="0.3"/>
    <row r="670" customFormat="1" ht="14.4" x14ac:dyDescent="0.3"/>
    <row r="671" customFormat="1" ht="14.4" x14ac:dyDescent="0.3"/>
    <row r="672" customFormat="1" ht="14.4" x14ac:dyDescent="0.3"/>
    <row r="673" customFormat="1" ht="14.4" x14ac:dyDescent="0.3"/>
    <row r="674" customFormat="1" ht="14.4" x14ac:dyDescent="0.3"/>
    <row r="675" customFormat="1" ht="14.4" x14ac:dyDescent="0.3"/>
    <row r="676" customFormat="1" ht="14.4" x14ac:dyDescent="0.3"/>
    <row r="677" customFormat="1" ht="14.4" x14ac:dyDescent="0.3"/>
    <row r="678" customFormat="1" ht="14.4" x14ac:dyDescent="0.3"/>
    <row r="679" customFormat="1" ht="14.4" x14ac:dyDescent="0.3"/>
    <row r="680" customFormat="1" ht="14.4" x14ac:dyDescent="0.3"/>
    <row r="681" customFormat="1" ht="14.4" x14ac:dyDescent="0.3"/>
    <row r="682" customFormat="1" ht="14.4" x14ac:dyDescent="0.3"/>
    <row r="683" customFormat="1" ht="14.4" x14ac:dyDescent="0.3"/>
    <row r="684" customFormat="1" ht="14.4" x14ac:dyDescent="0.3"/>
    <row r="685" customFormat="1" ht="14.4" x14ac:dyDescent="0.3"/>
    <row r="686" customFormat="1" ht="14.4" x14ac:dyDescent="0.3"/>
    <row r="687" customFormat="1" ht="14.4" x14ac:dyDescent="0.3"/>
    <row r="688" customFormat="1" ht="14.4" x14ac:dyDescent="0.3"/>
    <row r="689" customFormat="1" ht="14.4" x14ac:dyDescent="0.3"/>
    <row r="690" customFormat="1" ht="14.4" x14ac:dyDescent="0.3"/>
    <row r="691" customFormat="1" ht="14.4" x14ac:dyDescent="0.3"/>
    <row r="692" customFormat="1" ht="14.4" x14ac:dyDescent="0.3"/>
    <row r="693" customFormat="1" ht="14.4" x14ac:dyDescent="0.3"/>
    <row r="694" customFormat="1" ht="14.4" x14ac:dyDescent="0.3"/>
    <row r="695" customFormat="1" ht="14.4" x14ac:dyDescent="0.3"/>
    <row r="696" customFormat="1" ht="14.4" x14ac:dyDescent="0.3"/>
    <row r="697" customFormat="1" ht="14.4" x14ac:dyDescent="0.3"/>
    <row r="698" customFormat="1" ht="14.4" x14ac:dyDescent="0.3"/>
    <row r="699" customFormat="1" ht="14.4" x14ac:dyDescent="0.3"/>
    <row r="700" customFormat="1" ht="14.4" x14ac:dyDescent="0.3"/>
    <row r="701" customFormat="1" ht="14.4" x14ac:dyDescent="0.3"/>
    <row r="702" customFormat="1" ht="14.4" x14ac:dyDescent="0.3"/>
    <row r="703" customFormat="1" ht="14.4" x14ac:dyDescent="0.3"/>
    <row r="704" customFormat="1" ht="14.4" x14ac:dyDescent="0.3"/>
    <row r="705" customFormat="1" ht="14.4" x14ac:dyDescent="0.3"/>
    <row r="706" customFormat="1" ht="14.4" x14ac:dyDescent="0.3"/>
    <row r="707" customFormat="1" ht="14.4" x14ac:dyDescent="0.3"/>
    <row r="708" customFormat="1" ht="14.4" x14ac:dyDescent="0.3"/>
    <row r="709" customFormat="1" ht="14.4" x14ac:dyDescent="0.3"/>
    <row r="710" customFormat="1" ht="14.4" x14ac:dyDescent="0.3"/>
    <row r="711" customFormat="1" ht="14.4" x14ac:dyDescent="0.3"/>
    <row r="712" customFormat="1" ht="14.4" x14ac:dyDescent="0.3"/>
    <row r="713" customFormat="1" ht="14.4" x14ac:dyDescent="0.3"/>
    <row r="714" customFormat="1" ht="14.4" x14ac:dyDescent="0.3"/>
    <row r="715" customFormat="1" ht="14.4" x14ac:dyDescent="0.3"/>
    <row r="716" customFormat="1" ht="14.4" x14ac:dyDescent="0.3"/>
    <row r="717" customFormat="1" ht="14.4" x14ac:dyDescent="0.3"/>
    <row r="718" customFormat="1" ht="14.4" x14ac:dyDescent="0.3"/>
    <row r="719" customFormat="1" ht="14.4" x14ac:dyDescent="0.3"/>
    <row r="720" customFormat="1" ht="14.4" x14ac:dyDescent="0.3"/>
    <row r="721" customFormat="1" ht="14.4" x14ac:dyDescent="0.3"/>
    <row r="722" customFormat="1" ht="14.4" x14ac:dyDescent="0.3"/>
    <row r="723" customFormat="1" ht="14.4" x14ac:dyDescent="0.3"/>
    <row r="724" customFormat="1" ht="14.4" x14ac:dyDescent="0.3"/>
    <row r="725" customFormat="1" ht="14.4" x14ac:dyDescent="0.3"/>
    <row r="726" customFormat="1" ht="14.4" x14ac:dyDescent="0.3"/>
    <row r="727" customFormat="1" ht="14.4" x14ac:dyDescent="0.3"/>
    <row r="728" customFormat="1" ht="14.4" x14ac:dyDescent="0.3"/>
    <row r="729" customFormat="1" ht="14.4" x14ac:dyDescent="0.3"/>
    <row r="730" customFormat="1" ht="14.4" x14ac:dyDescent="0.3"/>
    <row r="731" customFormat="1" ht="14.4" x14ac:dyDescent="0.3"/>
    <row r="732" customFormat="1" ht="14.4" x14ac:dyDescent="0.3"/>
    <row r="733" customFormat="1" ht="14.4" x14ac:dyDescent="0.3"/>
    <row r="734" customFormat="1" ht="14.4" x14ac:dyDescent="0.3"/>
    <row r="735" customFormat="1" ht="14.4" x14ac:dyDescent="0.3"/>
    <row r="736" customFormat="1" ht="14.4" x14ac:dyDescent="0.3"/>
    <row r="737" customFormat="1" ht="14.4" x14ac:dyDescent="0.3"/>
    <row r="738" customFormat="1" ht="14.4" x14ac:dyDescent="0.3"/>
    <row r="739" customFormat="1" ht="14.4" x14ac:dyDescent="0.3"/>
    <row r="740" customFormat="1" ht="14.4" x14ac:dyDescent="0.3"/>
    <row r="741" customFormat="1" ht="14.4" x14ac:dyDescent="0.3"/>
    <row r="742" customFormat="1" ht="14.4" x14ac:dyDescent="0.3"/>
    <row r="743" customFormat="1" ht="14.4" x14ac:dyDescent="0.3"/>
    <row r="744" customFormat="1" ht="14.4" x14ac:dyDescent="0.3"/>
    <row r="745" customFormat="1" ht="14.4" x14ac:dyDescent="0.3"/>
    <row r="746" customFormat="1" ht="14.4" x14ac:dyDescent="0.3"/>
    <row r="747" customFormat="1" ht="14.4" x14ac:dyDescent="0.3"/>
    <row r="748" customFormat="1" ht="14.4" x14ac:dyDescent="0.3"/>
    <row r="749" customFormat="1" ht="14.4" x14ac:dyDescent="0.3"/>
    <row r="750" customFormat="1" ht="14.4" x14ac:dyDescent="0.3"/>
    <row r="751" customFormat="1" ht="14.4" x14ac:dyDescent="0.3"/>
    <row r="752" customFormat="1" ht="14.4" x14ac:dyDescent="0.3"/>
    <row r="753" customFormat="1" ht="14.4" x14ac:dyDescent="0.3"/>
    <row r="754" customFormat="1" ht="14.4" x14ac:dyDescent="0.3"/>
    <row r="755" customFormat="1" ht="14.4" x14ac:dyDescent="0.3"/>
    <row r="756" customFormat="1" ht="14.4" x14ac:dyDescent="0.3"/>
    <row r="757" customFormat="1" ht="14.4" x14ac:dyDescent="0.3"/>
    <row r="758" customFormat="1" ht="14.4" x14ac:dyDescent="0.3"/>
    <row r="759" customFormat="1" ht="14.4" x14ac:dyDescent="0.3"/>
    <row r="760" customFormat="1" ht="14.4" x14ac:dyDescent="0.3"/>
    <row r="761" customFormat="1" ht="14.4" x14ac:dyDescent="0.3"/>
    <row r="762" customFormat="1" ht="14.4" x14ac:dyDescent="0.3"/>
    <row r="763" customFormat="1" ht="14.4" x14ac:dyDescent="0.3"/>
    <row r="764" customFormat="1" ht="14.4" x14ac:dyDescent="0.3"/>
    <row r="765" customFormat="1" ht="14.4" x14ac:dyDescent="0.3"/>
    <row r="766" customFormat="1" ht="14.4" x14ac:dyDescent="0.3"/>
    <row r="767" customFormat="1" ht="14.4" x14ac:dyDescent="0.3"/>
    <row r="768" customFormat="1" ht="14.4" x14ac:dyDescent="0.3"/>
    <row r="769" customFormat="1" ht="14.4" x14ac:dyDescent="0.3"/>
    <row r="770" customFormat="1" ht="14.4" x14ac:dyDescent="0.3"/>
    <row r="771" customFormat="1" ht="14.4" x14ac:dyDescent="0.3"/>
    <row r="772" customFormat="1" ht="14.4" x14ac:dyDescent="0.3"/>
    <row r="773" customFormat="1" ht="14.4" x14ac:dyDescent="0.3"/>
    <row r="774" customFormat="1" ht="14.4" x14ac:dyDescent="0.3"/>
    <row r="775" customFormat="1" ht="14.4" x14ac:dyDescent="0.3"/>
    <row r="776" customFormat="1" ht="14.4" x14ac:dyDescent="0.3"/>
    <row r="777" customFormat="1" ht="14.4" x14ac:dyDescent="0.3"/>
    <row r="778" customFormat="1" ht="14.4" x14ac:dyDescent="0.3"/>
    <row r="779" customFormat="1" ht="14.4" x14ac:dyDescent="0.3"/>
    <row r="780" customFormat="1" ht="14.4" x14ac:dyDescent="0.3"/>
    <row r="781" customFormat="1" ht="14.4" x14ac:dyDescent="0.3"/>
    <row r="782" customFormat="1" ht="14.4" x14ac:dyDescent="0.3"/>
    <row r="783" customFormat="1" ht="14.4" x14ac:dyDescent="0.3"/>
    <row r="784" customFormat="1" ht="14.4" x14ac:dyDescent="0.3"/>
    <row r="785" customFormat="1" ht="14.4" x14ac:dyDescent="0.3"/>
    <row r="786" customFormat="1" ht="14.4" x14ac:dyDescent="0.3"/>
    <row r="787" customFormat="1" ht="14.4" x14ac:dyDescent="0.3"/>
    <row r="788" customFormat="1" ht="14.4" x14ac:dyDescent="0.3"/>
    <row r="789" customFormat="1" ht="14.4" x14ac:dyDescent="0.3"/>
    <row r="790" customFormat="1" ht="14.4" x14ac:dyDescent="0.3"/>
    <row r="791" customFormat="1" ht="14.4" x14ac:dyDescent="0.3"/>
    <row r="792" customFormat="1" ht="14.4" x14ac:dyDescent="0.3"/>
    <row r="793" customFormat="1" ht="14.4" x14ac:dyDescent="0.3"/>
    <row r="794" customFormat="1" ht="14.4" x14ac:dyDescent="0.3"/>
    <row r="795" customFormat="1" ht="14.4" x14ac:dyDescent="0.3"/>
    <row r="796" customFormat="1" ht="14.4" x14ac:dyDescent="0.3"/>
    <row r="797" customFormat="1" ht="14.4" x14ac:dyDescent="0.3"/>
    <row r="798" customFormat="1" ht="14.4" x14ac:dyDescent="0.3"/>
    <row r="799" customFormat="1" ht="14.4" x14ac:dyDescent="0.3"/>
    <row r="800" customFormat="1" ht="14.4" x14ac:dyDescent="0.3"/>
    <row r="801" customFormat="1" ht="14.4" x14ac:dyDescent="0.3"/>
    <row r="802" customFormat="1" ht="14.4" x14ac:dyDescent="0.3"/>
    <row r="803" customFormat="1" ht="14.4" x14ac:dyDescent="0.3"/>
    <row r="804" customFormat="1" ht="14.4" x14ac:dyDescent="0.3"/>
    <row r="805" customFormat="1" ht="14.4" x14ac:dyDescent="0.3"/>
    <row r="806" customFormat="1" ht="14.4" x14ac:dyDescent="0.3"/>
    <row r="807" customFormat="1" ht="14.4" x14ac:dyDescent="0.3"/>
    <row r="808" customFormat="1" ht="14.4" x14ac:dyDescent="0.3"/>
    <row r="809" customFormat="1" ht="14.4" x14ac:dyDescent="0.3"/>
    <row r="810" customFormat="1" ht="14.4" x14ac:dyDescent="0.3"/>
    <row r="811" customFormat="1" ht="14.4" x14ac:dyDescent="0.3"/>
    <row r="812" customFormat="1" ht="14.4" x14ac:dyDescent="0.3"/>
    <row r="813" customFormat="1" ht="14.4" x14ac:dyDescent="0.3"/>
    <row r="814" customFormat="1" ht="14.4" x14ac:dyDescent="0.3"/>
    <row r="815" customFormat="1" ht="14.4" x14ac:dyDescent="0.3"/>
    <row r="816" customFormat="1" ht="14.4" x14ac:dyDescent="0.3"/>
    <row r="817" customFormat="1" ht="14.4" x14ac:dyDescent="0.3"/>
    <row r="818" customFormat="1" ht="14.4" x14ac:dyDescent="0.3"/>
    <row r="819" customFormat="1" ht="14.4" x14ac:dyDescent="0.3"/>
    <row r="820" customFormat="1" ht="14.4" x14ac:dyDescent="0.3"/>
    <row r="821" customFormat="1" ht="14.4" x14ac:dyDescent="0.3"/>
    <row r="822" customFormat="1" ht="14.4" x14ac:dyDescent="0.3"/>
    <row r="823" customFormat="1" ht="14.4" x14ac:dyDescent="0.3"/>
    <row r="824" customFormat="1" ht="14.4" x14ac:dyDescent="0.3"/>
    <row r="825" customFormat="1" ht="14.4" x14ac:dyDescent="0.3"/>
    <row r="826" customFormat="1" ht="14.4" x14ac:dyDescent="0.3"/>
    <row r="827" customFormat="1" ht="14.4" x14ac:dyDescent="0.3"/>
    <row r="828" customFormat="1" ht="14.4" x14ac:dyDescent="0.3"/>
    <row r="829" customFormat="1" ht="14.4" x14ac:dyDescent="0.3"/>
    <row r="830" customFormat="1" ht="14.4" x14ac:dyDescent="0.3"/>
    <row r="831" customFormat="1" ht="14.4" x14ac:dyDescent="0.3"/>
    <row r="832" customFormat="1" ht="14.4" x14ac:dyDescent="0.3"/>
    <row r="833" customFormat="1" ht="14.4" x14ac:dyDescent="0.3"/>
    <row r="834" customFormat="1" ht="14.4" x14ac:dyDescent="0.3"/>
    <row r="835" customFormat="1" ht="14.4" x14ac:dyDescent="0.3"/>
    <row r="836" customFormat="1" ht="14.4" x14ac:dyDescent="0.3"/>
    <row r="837" customFormat="1" ht="14.4" x14ac:dyDescent="0.3"/>
    <row r="838" customFormat="1" ht="14.4" x14ac:dyDescent="0.3"/>
    <row r="839" customFormat="1" ht="14.4" x14ac:dyDescent="0.3"/>
    <row r="840" customFormat="1" ht="14.4" x14ac:dyDescent="0.3"/>
    <row r="841" customFormat="1" ht="14.4" x14ac:dyDescent="0.3"/>
    <row r="842" customFormat="1" ht="14.4" x14ac:dyDescent="0.3"/>
    <row r="843" customFormat="1" ht="14.4" x14ac:dyDescent="0.3"/>
    <row r="844" customFormat="1" ht="14.4" x14ac:dyDescent="0.3"/>
    <row r="845" customFormat="1" ht="14.4" x14ac:dyDescent="0.3"/>
    <row r="846" customFormat="1" ht="14.4" x14ac:dyDescent="0.3"/>
    <row r="847" customFormat="1" ht="14.4" x14ac:dyDescent="0.3"/>
    <row r="848" customFormat="1" ht="14.4" x14ac:dyDescent="0.3"/>
    <row r="849" customFormat="1" ht="14.4" x14ac:dyDescent="0.3"/>
    <row r="850" customFormat="1" ht="14.4" x14ac:dyDescent="0.3"/>
    <row r="851" customFormat="1" ht="14.4" x14ac:dyDescent="0.3"/>
    <row r="852" customFormat="1" ht="14.4" x14ac:dyDescent="0.3"/>
    <row r="853" customFormat="1" ht="14.4" x14ac:dyDescent="0.3"/>
    <row r="854" customFormat="1" ht="14.4" x14ac:dyDescent="0.3"/>
    <row r="855" customFormat="1" ht="14.4" x14ac:dyDescent="0.3"/>
    <row r="856" customFormat="1" ht="14.4" x14ac:dyDescent="0.3"/>
    <row r="857" customFormat="1" ht="14.4" x14ac:dyDescent="0.3"/>
    <row r="858" customFormat="1" ht="14.4" x14ac:dyDescent="0.3"/>
    <row r="859" customFormat="1" ht="14.4" x14ac:dyDescent="0.3"/>
    <row r="860" customFormat="1" ht="14.4" x14ac:dyDescent="0.3"/>
    <row r="861" customFormat="1" ht="14.4" x14ac:dyDescent="0.3"/>
    <row r="862" customFormat="1" ht="14.4" x14ac:dyDescent="0.3"/>
    <row r="863" customFormat="1" ht="14.4" x14ac:dyDescent="0.3"/>
    <row r="864" customFormat="1" ht="14.4" x14ac:dyDescent="0.3"/>
    <row r="865" customFormat="1" ht="14.4" x14ac:dyDescent="0.3"/>
    <row r="866" customFormat="1" ht="14.4" x14ac:dyDescent="0.3"/>
    <row r="867" customFormat="1" ht="14.4" x14ac:dyDescent="0.3"/>
    <row r="868" customFormat="1" ht="14.4" x14ac:dyDescent="0.3"/>
    <row r="869" customFormat="1" ht="14.4" x14ac:dyDescent="0.3"/>
    <row r="870" customFormat="1" ht="14.4" x14ac:dyDescent="0.3"/>
    <row r="871" customFormat="1" ht="14.4" x14ac:dyDescent="0.3"/>
    <row r="872" customFormat="1" ht="14.4" x14ac:dyDescent="0.3"/>
    <row r="873" customFormat="1" ht="14.4" x14ac:dyDescent="0.3"/>
    <row r="874" customFormat="1" ht="14.4" x14ac:dyDescent="0.3"/>
    <row r="875" customFormat="1" ht="14.4" x14ac:dyDescent="0.3"/>
    <row r="876" customFormat="1" ht="14.4" x14ac:dyDescent="0.3"/>
    <row r="877" customFormat="1" ht="14.4" x14ac:dyDescent="0.3"/>
    <row r="878" customFormat="1" ht="14.4" x14ac:dyDescent="0.3"/>
    <row r="879" customFormat="1" ht="14.4" x14ac:dyDescent="0.3"/>
    <row r="880" customFormat="1" ht="14.4" x14ac:dyDescent="0.3"/>
    <row r="881" customFormat="1" ht="14.4" x14ac:dyDescent="0.3"/>
    <row r="882" customFormat="1" ht="14.4" x14ac:dyDescent="0.3"/>
    <row r="883" customFormat="1" ht="14.4" x14ac:dyDescent="0.3"/>
    <row r="884" customFormat="1" ht="14.4" x14ac:dyDescent="0.3"/>
    <row r="885" customFormat="1" ht="14.4" x14ac:dyDescent="0.3"/>
    <row r="886" customFormat="1" ht="14.4" x14ac:dyDescent="0.3"/>
    <row r="887" customFormat="1" ht="14.4" x14ac:dyDescent="0.3"/>
    <row r="888" customFormat="1" ht="14.4" x14ac:dyDescent="0.3"/>
    <row r="889" customFormat="1" ht="14.4" x14ac:dyDescent="0.3"/>
    <row r="890" customFormat="1" ht="14.4" x14ac:dyDescent="0.3"/>
    <row r="891" customFormat="1" ht="14.4" x14ac:dyDescent="0.3"/>
    <row r="892" customFormat="1" ht="14.4" x14ac:dyDescent="0.3"/>
    <row r="893" customFormat="1" ht="14.4" x14ac:dyDescent="0.3"/>
    <row r="894" customFormat="1" ht="14.4" x14ac:dyDescent="0.3"/>
    <row r="895" customFormat="1" ht="14.4" x14ac:dyDescent="0.3"/>
    <row r="896" customFormat="1" ht="14.4" x14ac:dyDescent="0.3"/>
    <row r="897" customFormat="1" ht="14.4" x14ac:dyDescent="0.3"/>
    <row r="898" customFormat="1" ht="14.4" x14ac:dyDescent="0.3"/>
    <row r="899" customFormat="1" ht="14.4" x14ac:dyDescent="0.3"/>
    <row r="900" customFormat="1" ht="14.4" x14ac:dyDescent="0.3"/>
    <row r="901" customFormat="1" ht="14.4" x14ac:dyDescent="0.3"/>
    <row r="902" customFormat="1" ht="14.4" x14ac:dyDescent="0.3"/>
    <row r="903" customFormat="1" ht="14.4" x14ac:dyDescent="0.3"/>
    <row r="904" customFormat="1" ht="14.4" x14ac:dyDescent="0.3"/>
    <row r="905" customFormat="1" ht="14.4" x14ac:dyDescent="0.3"/>
    <row r="906" customFormat="1" ht="14.4" x14ac:dyDescent="0.3"/>
    <row r="907" customFormat="1" ht="14.4" x14ac:dyDescent="0.3"/>
    <row r="908" customFormat="1" ht="14.4" x14ac:dyDescent="0.3"/>
    <row r="909" customFormat="1" ht="14.4" x14ac:dyDescent="0.3"/>
    <row r="910" customFormat="1" ht="14.4" x14ac:dyDescent="0.3"/>
    <row r="911" customFormat="1" ht="14.4" x14ac:dyDescent="0.3"/>
    <row r="912" customFormat="1" ht="14.4" x14ac:dyDescent="0.3"/>
    <row r="913" customFormat="1" ht="14.4" x14ac:dyDescent="0.3"/>
    <row r="914" customFormat="1" ht="14.4" x14ac:dyDescent="0.3"/>
    <row r="915" customFormat="1" ht="14.4" x14ac:dyDescent="0.3"/>
    <row r="916" customFormat="1" ht="14.4" x14ac:dyDescent="0.3"/>
    <row r="917" customFormat="1" ht="14.4" x14ac:dyDescent="0.3"/>
    <row r="918" customFormat="1" ht="14.4" x14ac:dyDescent="0.3"/>
    <row r="919" customFormat="1" ht="14.4" x14ac:dyDescent="0.3"/>
    <row r="920" customFormat="1" ht="14.4" x14ac:dyDescent="0.3"/>
    <row r="921" customFormat="1" ht="14.4" x14ac:dyDescent="0.3"/>
    <row r="922" customFormat="1" ht="14.4" x14ac:dyDescent="0.3"/>
    <row r="923" customFormat="1" ht="14.4" x14ac:dyDescent="0.3"/>
    <row r="924" customFormat="1" ht="14.4" x14ac:dyDescent="0.3"/>
    <row r="925" customFormat="1" ht="14.4" x14ac:dyDescent="0.3"/>
    <row r="926" customFormat="1" ht="14.4" x14ac:dyDescent="0.3"/>
    <row r="927" customFormat="1" ht="14.4" x14ac:dyDescent="0.3"/>
    <row r="928" customFormat="1" ht="14.4" x14ac:dyDescent="0.3"/>
    <row r="929" customFormat="1" ht="14.4" x14ac:dyDescent="0.3"/>
    <row r="930" customFormat="1" ht="14.4" x14ac:dyDescent="0.3"/>
    <row r="931" customFormat="1" ht="14.4" x14ac:dyDescent="0.3"/>
    <row r="932" customFormat="1" ht="14.4" x14ac:dyDescent="0.3"/>
    <row r="933" customFormat="1" ht="14.4" x14ac:dyDescent="0.3"/>
    <row r="934" customFormat="1" ht="14.4" x14ac:dyDescent="0.3"/>
    <row r="935" customFormat="1" ht="14.4" x14ac:dyDescent="0.3"/>
    <row r="936" customFormat="1" ht="14.4" x14ac:dyDescent="0.3"/>
    <row r="937" customFormat="1" ht="14.4" x14ac:dyDescent="0.3"/>
    <row r="938" customFormat="1" ht="14.4" x14ac:dyDescent="0.3"/>
    <row r="939" customFormat="1" ht="14.4" x14ac:dyDescent="0.3"/>
    <row r="940" customFormat="1" ht="14.4" x14ac:dyDescent="0.3"/>
    <row r="941" customFormat="1" ht="14.4" x14ac:dyDescent="0.3"/>
    <row r="942" customFormat="1" ht="14.4" x14ac:dyDescent="0.3"/>
    <row r="943" customFormat="1" ht="14.4" x14ac:dyDescent="0.3"/>
    <row r="944" customFormat="1" ht="14.4" x14ac:dyDescent="0.3"/>
    <row r="945" customFormat="1" ht="14.4" x14ac:dyDescent="0.3"/>
    <row r="946" customFormat="1" ht="14.4" x14ac:dyDescent="0.3"/>
    <row r="947" customFormat="1" ht="14.4" x14ac:dyDescent="0.3"/>
    <row r="948" customFormat="1" ht="14.4" x14ac:dyDescent="0.3"/>
    <row r="949" customFormat="1" ht="14.4" x14ac:dyDescent="0.3"/>
    <row r="950" customFormat="1" ht="14.4" x14ac:dyDescent="0.3"/>
    <row r="951" customFormat="1" ht="14.4" x14ac:dyDescent="0.3"/>
    <row r="952" customFormat="1" ht="14.4" x14ac:dyDescent="0.3"/>
    <row r="953" customFormat="1" ht="14.4" x14ac:dyDescent="0.3"/>
    <row r="954" customFormat="1" ht="14.4" x14ac:dyDescent="0.3"/>
    <row r="955" customFormat="1" ht="14.4" x14ac:dyDescent="0.3"/>
    <row r="956" customFormat="1" ht="14.4" x14ac:dyDescent="0.3"/>
    <row r="957" customFormat="1" ht="14.4" x14ac:dyDescent="0.3"/>
    <row r="958" customFormat="1" ht="14.4" x14ac:dyDescent="0.3"/>
    <row r="959" customFormat="1" ht="14.4" x14ac:dyDescent="0.3"/>
    <row r="960" customFormat="1" ht="14.4" x14ac:dyDescent="0.3"/>
    <row r="961" customFormat="1" ht="14.4" x14ac:dyDescent="0.3"/>
    <row r="962" customFormat="1" ht="14.4" x14ac:dyDescent="0.3"/>
    <row r="963" customFormat="1" ht="14.4" x14ac:dyDescent="0.3"/>
    <row r="964" customFormat="1" ht="14.4" x14ac:dyDescent="0.3"/>
    <row r="965" customFormat="1" ht="14.4" x14ac:dyDescent="0.3"/>
    <row r="966" customFormat="1" ht="14.4" x14ac:dyDescent="0.3"/>
    <row r="967" customFormat="1" ht="14.4" x14ac:dyDescent="0.3"/>
    <row r="968" customFormat="1" ht="14.4" x14ac:dyDescent="0.3"/>
    <row r="969" customFormat="1" ht="14.4" x14ac:dyDescent="0.3"/>
    <row r="970" customFormat="1" ht="14.4" x14ac:dyDescent="0.3"/>
    <row r="971" customFormat="1" ht="14.4" x14ac:dyDescent="0.3"/>
    <row r="972" customFormat="1" ht="14.4" x14ac:dyDescent="0.3"/>
    <row r="973" customFormat="1" ht="14.4" x14ac:dyDescent="0.3"/>
    <row r="974" customFormat="1" ht="14.4" x14ac:dyDescent="0.3"/>
    <row r="975" customFormat="1" ht="14.4" x14ac:dyDescent="0.3"/>
    <row r="976" customFormat="1" ht="14.4" x14ac:dyDescent="0.3"/>
    <row r="977" customFormat="1" ht="14.4" x14ac:dyDescent="0.3"/>
    <row r="978" customFormat="1" ht="14.4" x14ac:dyDescent="0.3"/>
    <row r="979" customFormat="1" ht="14.4" x14ac:dyDescent="0.3"/>
    <row r="980" customFormat="1" ht="14.4" x14ac:dyDescent="0.3"/>
    <row r="981" customFormat="1" ht="14.4" x14ac:dyDescent="0.3"/>
    <row r="982" customFormat="1" ht="14.4" x14ac:dyDescent="0.3"/>
    <row r="983" customFormat="1" ht="14.4" x14ac:dyDescent="0.3"/>
    <row r="984" customFormat="1" ht="14.4" x14ac:dyDescent="0.3"/>
    <row r="985" customFormat="1" ht="14.4" x14ac:dyDescent="0.3"/>
    <row r="986" customFormat="1" ht="14.4" x14ac:dyDescent="0.3"/>
    <row r="987" customFormat="1" ht="14.4" x14ac:dyDescent="0.3"/>
    <row r="988" customFormat="1" ht="14.4" x14ac:dyDescent="0.3"/>
    <row r="989" customFormat="1" ht="14.4" x14ac:dyDescent="0.3"/>
    <row r="990" customFormat="1" ht="14.4" x14ac:dyDescent="0.3"/>
    <row r="991" customFormat="1" ht="14.4" x14ac:dyDescent="0.3"/>
    <row r="992" customFormat="1" ht="14.4" x14ac:dyDescent="0.3"/>
    <row r="993" customFormat="1" ht="14.4" x14ac:dyDescent="0.3"/>
    <row r="994" customFormat="1" ht="14.4" x14ac:dyDescent="0.3"/>
    <row r="995" customFormat="1" ht="14.4" x14ac:dyDescent="0.3"/>
    <row r="996" customFormat="1" ht="14.4" x14ac:dyDescent="0.3"/>
    <row r="997" customFormat="1" ht="14.4" x14ac:dyDescent="0.3"/>
    <row r="998" customFormat="1" ht="14.4" x14ac:dyDescent="0.3"/>
    <row r="999" customFormat="1" ht="14.4" x14ac:dyDescent="0.3"/>
    <row r="1000" customFormat="1" ht="14.4" x14ac:dyDescent="0.3"/>
  </sheetData>
  <mergeCells count="1">
    <mergeCell ref="H1:K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BB36B-EE08-4073-91B3-9627AF79B635}">
  <sheetPr codeName="Sheet10"/>
  <dimension ref="A1:AA68"/>
  <sheetViews>
    <sheetView showGridLines="0" zoomScale="80" zoomScaleNormal="80" workbookViewId="0">
      <pane xSplit="2" ySplit="4" topLeftCell="C5" activePane="bottomRight" state="frozenSplit"/>
      <selection pane="topRight" activeCell="C1" sqref="C1"/>
      <selection pane="bottomLeft" activeCell="A9" sqref="A9"/>
      <selection pane="bottomRight" activeCell="L19" sqref="L19"/>
    </sheetView>
  </sheetViews>
  <sheetFormatPr defaultRowHeight="15.6" x14ac:dyDescent="0.3"/>
  <cols>
    <col min="1" max="1" width="2.77734375" style="33" customWidth="1"/>
    <col min="2" max="2" width="2.109375" style="33" bestFit="1" customWidth="1"/>
    <col min="3" max="3" width="56.33203125" style="33" bestFit="1" customWidth="1"/>
    <col min="4" max="4" width="2.77734375" style="33" customWidth="1"/>
    <col min="5" max="5" width="9.77734375" style="33" customWidth="1"/>
    <col min="6" max="6" width="24.77734375" style="33" customWidth="1"/>
    <col min="7" max="7" width="2.77734375" style="33" customWidth="1"/>
    <col min="8" max="8" width="9.77734375" style="33" customWidth="1"/>
    <col min="9" max="9" width="24.77734375" style="33" customWidth="1"/>
    <col min="10" max="10" width="2.77734375" style="33" customWidth="1"/>
    <col min="11" max="11" width="9.77734375" style="33" customWidth="1"/>
    <col min="12" max="12" width="24.77734375" style="33" customWidth="1"/>
    <col min="13" max="13" width="2.77734375" style="33" customWidth="1"/>
    <col min="14" max="14" width="9.77734375" style="33" customWidth="1"/>
    <col min="15" max="15" width="15.77734375" style="33" customWidth="1"/>
    <col min="16" max="16" width="2.77734375" style="33" customWidth="1"/>
    <col min="17" max="17" width="9.77734375" style="33" customWidth="1"/>
    <col min="18" max="18" width="15.77734375" style="33" customWidth="1"/>
    <col min="19" max="19" width="2.77734375" style="33" customWidth="1"/>
    <col min="20" max="20" width="9.77734375" style="33" customWidth="1"/>
    <col min="21" max="21" width="15.77734375" style="33" customWidth="1"/>
    <col min="22" max="22" width="2.77734375" style="33" customWidth="1"/>
    <col min="23" max="23" width="9.77734375" style="33" customWidth="1"/>
    <col min="24" max="24" width="15.77734375" style="33" customWidth="1"/>
    <col min="25" max="16384" width="8.88671875" style="33"/>
  </cols>
  <sheetData>
    <row r="1" spans="1:27" x14ac:dyDescent="0.3">
      <c r="A1" s="197" t="e" vm="1">
        <f>'General Inputs'!B7</f>
        <v>#VALUE!</v>
      </c>
      <c r="B1" s="197"/>
      <c r="C1" s="198" t="s">
        <v>2311</v>
      </c>
      <c r="D1" s="198"/>
      <c r="E1" s="198"/>
      <c r="F1" s="198"/>
      <c r="G1" s="198"/>
      <c r="H1" s="180"/>
      <c r="I1" s="180"/>
      <c r="J1" s="180"/>
      <c r="K1" s="180"/>
      <c r="L1" s="180"/>
      <c r="M1" s="180"/>
    </row>
    <row r="2" spans="1:27" x14ac:dyDescent="0.3">
      <c r="A2" s="179"/>
      <c r="B2" s="179"/>
      <c r="C2" s="178" t="s">
        <v>2355</v>
      </c>
      <c r="D2" s="178"/>
      <c r="E2" s="178"/>
      <c r="F2" s="178"/>
      <c r="G2" s="178"/>
      <c r="H2" s="180"/>
      <c r="I2" s="180"/>
      <c r="J2" s="180"/>
      <c r="K2" s="180"/>
      <c r="L2" s="180"/>
      <c r="M2" s="180"/>
    </row>
    <row r="3" spans="1:27" x14ac:dyDescent="0.3">
      <c r="A3" s="34"/>
      <c r="B3" s="34"/>
      <c r="C3" s="34"/>
      <c r="D3" s="34"/>
      <c r="E3" s="34"/>
      <c r="F3" s="34"/>
      <c r="G3" s="34"/>
      <c r="H3" s="34"/>
      <c r="I3" s="34"/>
      <c r="J3" s="34"/>
      <c r="K3" s="34"/>
      <c r="L3" s="34"/>
      <c r="M3" s="34"/>
      <c r="N3" s="34"/>
      <c r="O3" s="34"/>
      <c r="P3" s="34"/>
      <c r="Q3" s="34"/>
      <c r="R3" s="34"/>
      <c r="S3" s="34"/>
      <c r="T3" s="34"/>
      <c r="U3" s="34"/>
      <c r="V3" s="34"/>
      <c r="W3" s="34"/>
      <c r="X3" s="34"/>
      <c r="Y3" s="34"/>
      <c r="Z3" s="34"/>
      <c r="AA3" s="34"/>
    </row>
    <row r="4" spans="1:27" x14ac:dyDescent="0.3">
      <c r="C4" s="37" t="s">
        <v>300</v>
      </c>
      <c r="F4" s="37" t="s">
        <v>297</v>
      </c>
      <c r="I4" s="37" t="s">
        <v>291</v>
      </c>
    </row>
    <row r="6" spans="1:27" x14ac:dyDescent="0.3">
      <c r="B6" s="33">
        <v>1</v>
      </c>
      <c r="C6" s="118" t="s">
        <v>2364</v>
      </c>
      <c r="D6" s="44"/>
    </row>
    <row r="7" spans="1:27" x14ac:dyDescent="0.3">
      <c r="C7" s="37" t="s">
        <v>282</v>
      </c>
      <c r="D7" s="41"/>
      <c r="E7" s="42"/>
      <c r="F7" s="119"/>
      <c r="G7" s="44"/>
    </row>
    <row r="8" spans="1:27" x14ac:dyDescent="0.3">
      <c r="B8" s="33">
        <v>2</v>
      </c>
      <c r="C8" s="118" t="s">
        <v>2370</v>
      </c>
      <c r="D8" s="43"/>
      <c r="G8" s="40"/>
    </row>
    <row r="9" spans="1:27" x14ac:dyDescent="0.3">
      <c r="F9" s="37" t="s">
        <v>2332</v>
      </c>
      <c r="G9" s="199"/>
      <c r="H9" s="42"/>
      <c r="I9" s="119"/>
      <c r="J9" s="44"/>
    </row>
    <row r="10" spans="1:27" x14ac:dyDescent="0.3">
      <c r="B10" s="33">
        <v>3</v>
      </c>
      <c r="C10" s="118" t="s">
        <v>2369</v>
      </c>
      <c r="D10" s="44"/>
      <c r="G10" s="45"/>
      <c r="J10" s="40"/>
    </row>
    <row r="11" spans="1:27" x14ac:dyDescent="0.3">
      <c r="C11" s="37" t="s">
        <v>283</v>
      </c>
      <c r="D11" s="41"/>
      <c r="E11" s="42"/>
      <c r="F11" s="119"/>
      <c r="G11" s="43"/>
      <c r="J11" s="45"/>
    </row>
    <row r="12" spans="1:27" x14ac:dyDescent="0.3">
      <c r="B12" s="33">
        <v>4</v>
      </c>
      <c r="C12" s="118" t="s">
        <v>2367</v>
      </c>
      <c r="D12" s="43"/>
      <c r="J12" s="45"/>
    </row>
    <row r="13" spans="1:27" x14ac:dyDescent="0.3">
      <c r="I13" s="37" t="s">
        <v>2341</v>
      </c>
      <c r="J13" s="199"/>
      <c r="K13" s="42"/>
      <c r="L13" s="43"/>
    </row>
    <row r="14" spans="1:27" x14ac:dyDescent="0.3">
      <c r="B14" s="33">
        <v>5</v>
      </c>
      <c r="C14" s="118" t="s">
        <v>2366</v>
      </c>
      <c r="D14" s="44"/>
      <c r="J14" s="45"/>
    </row>
    <row r="15" spans="1:27" x14ac:dyDescent="0.3">
      <c r="C15" s="37" t="s">
        <v>284</v>
      </c>
      <c r="D15" s="41"/>
      <c r="E15" s="42"/>
      <c r="F15" s="119"/>
      <c r="G15" s="44"/>
      <c r="J15" s="45"/>
    </row>
    <row r="16" spans="1:27" x14ac:dyDescent="0.3">
      <c r="B16" s="33">
        <v>6</v>
      </c>
      <c r="C16" s="118" t="s">
        <v>2368</v>
      </c>
      <c r="D16" s="43"/>
      <c r="G16" s="40"/>
      <c r="J16" s="45"/>
    </row>
    <row r="17" spans="2:10" x14ac:dyDescent="0.3">
      <c r="F17" s="37" t="s">
        <v>2333</v>
      </c>
      <c r="G17" s="199"/>
      <c r="H17" s="42"/>
      <c r="I17" s="119"/>
      <c r="J17" s="43"/>
    </row>
    <row r="18" spans="2:10" x14ac:dyDescent="0.3">
      <c r="B18" s="33">
        <v>7</v>
      </c>
      <c r="C18" s="118" t="s">
        <v>2371</v>
      </c>
      <c r="D18" s="44"/>
      <c r="G18" s="45"/>
    </row>
    <row r="19" spans="2:10" x14ac:dyDescent="0.3">
      <c r="C19" s="37" t="s">
        <v>2331</v>
      </c>
      <c r="D19" s="41"/>
      <c r="E19" s="42"/>
      <c r="F19" s="119"/>
      <c r="G19" s="43"/>
    </row>
    <row r="20" spans="2:10" x14ac:dyDescent="0.3">
      <c r="B20" s="33">
        <v>8</v>
      </c>
      <c r="C20" s="118" t="s">
        <v>2365</v>
      </c>
      <c r="D20" s="43"/>
    </row>
    <row r="68" ht="17.399999999999999" customHeight="1" x14ac:dyDescent="0.3"/>
  </sheetData>
  <mergeCells count="4">
    <mergeCell ref="C1:G1"/>
    <mergeCell ref="C2:G2"/>
    <mergeCell ref="A1:B2"/>
    <mergeCell ref="H1:M2"/>
  </mergeCells>
  <printOptions horizontalCentered="1" verticalCentered="1"/>
  <pageMargins left="0.25" right="0.25" top="0.25" bottom="0.25" header="0" footer="0"/>
  <pageSetup scale="4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62068" r:id="rId4" name="Button 2292">
              <controlPr defaultSize="0" print="0" autoFill="0" autoPict="0" macro="[0]!ButtonPlus_Click">
                <anchor moveWithCells="1" sizeWithCells="1">
                  <from>
                    <xdr:col>3</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462069" r:id="rId5" name="Button 2293">
              <controlPr defaultSize="0" print="0" autoFill="0" autoPict="0" macro="[0]!ButtonPlus_Click">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462070" r:id="rId6" name="Button 2294">
              <controlPr defaultSize="0" print="0" autoFill="0" autoPict="0" macro="[0]!ButtonPlus_Click">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462071" r:id="rId7" name="Button 2295">
              <controlPr defaultSize="0" print="0" autoFill="0" autoPict="0" macro="[0]!ButtonPlus_Click">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462072" r:id="rId8" name="Button 2296">
              <controlPr defaultSize="0" print="0" autoFill="0" autoPict="0" macro="[0]!ButtonPlus_Click">
                <anchor moveWithCells="1" sizeWithCells="1">
                  <from>
                    <xdr:col>6</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462073" r:id="rId9" name="Button 2297">
              <controlPr defaultSize="0" print="0" autoFill="0" autoPict="0" macro="[0]!ButtonPlus_Click">
                <anchor moveWithCells="1" sizeWithCells="1">
                  <from>
                    <xdr:col>6</xdr:col>
                    <xdr:colOff>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462074" r:id="rId10" name="Button 2298">
              <controlPr defaultSize="0" print="0" autoFill="0" autoPict="0" macro="[0]!ButtonPlus_Click">
                <anchor moveWithCells="1" sizeWithCells="1">
                  <from>
                    <xdr:col>9</xdr:col>
                    <xdr:colOff>0</xdr:colOff>
                    <xdr:row>12</xdr:row>
                    <xdr:rowOff>0</xdr:rowOff>
                  </from>
                  <to>
                    <xdr:col>10</xdr:col>
                    <xdr:colOff>0</xdr:colOff>
                    <xdr:row>13</xdr:row>
                    <xdr:rowOff>0</xdr:rowOff>
                  </to>
                </anchor>
              </controlPr>
            </control>
          </mc:Choice>
        </mc:AlternateContent>
        <mc:AlternateContent xmlns:mc="http://schemas.openxmlformats.org/markup-compatibility/2006">
          <mc:Choice Requires="x14">
            <control shapeId="462075" r:id="rId11" name="Button 2299">
              <controlPr defaultSize="0" print="0" autoFill="0" autoPict="0" macro="[0]!Swap_Players">
                <anchor moveWithCells="1" sizeWithCells="1">
                  <from>
                    <xdr:col>7</xdr:col>
                    <xdr:colOff>0</xdr:colOff>
                    <xdr:row>0</xdr:row>
                    <xdr:rowOff>0</xdr:rowOff>
                  </from>
                  <to>
                    <xdr:col>8</xdr:col>
                    <xdr:colOff>182880</xdr:colOff>
                    <xdr:row>2</xdr:row>
                    <xdr:rowOff>0</xdr:rowOff>
                  </to>
                </anchor>
              </controlPr>
            </control>
          </mc:Choice>
        </mc:AlternateContent>
        <mc:AlternateContent xmlns:mc="http://schemas.openxmlformats.org/markup-compatibility/2006">
          <mc:Choice Requires="x14">
            <control shapeId="462076" r:id="rId12" name="Button 2300">
              <controlPr defaultSize="0" print="0" autoFill="0" autoPict="0" macro="[0]!Clear_Bracket">
                <anchor moveWithCells="1" sizeWithCells="1">
                  <from>
                    <xdr:col>8</xdr:col>
                    <xdr:colOff>182880</xdr:colOff>
                    <xdr:row>0</xdr:row>
                    <xdr:rowOff>0</xdr:rowOff>
                  </from>
                  <to>
                    <xdr:col>8</xdr:col>
                    <xdr:colOff>1036320</xdr:colOff>
                    <xdr:row>2</xdr:row>
                    <xdr:rowOff>0</xdr:rowOff>
                  </to>
                </anchor>
              </controlPr>
            </control>
          </mc:Choice>
        </mc:AlternateContent>
        <mc:AlternateContent xmlns:mc="http://schemas.openxmlformats.org/markup-compatibility/2006">
          <mc:Choice Requires="x14">
            <control shapeId="462077" r:id="rId13" name="Button 2301">
              <controlPr defaultSize="0" print="0" autoFill="0" autoPict="0" macro="[0]!Save_Draw">
                <anchor moveWithCells="1" sizeWithCells="1">
                  <from>
                    <xdr:col>8</xdr:col>
                    <xdr:colOff>1036320</xdr:colOff>
                    <xdr:row>0</xdr:row>
                    <xdr:rowOff>0</xdr:rowOff>
                  </from>
                  <to>
                    <xdr:col>10</xdr:col>
                    <xdr:colOff>0</xdr:colOff>
                    <xdr:row>2</xdr:row>
                    <xdr:rowOff>0</xdr:rowOff>
                  </to>
                </anchor>
              </controlPr>
            </control>
          </mc:Choice>
        </mc:AlternateContent>
        <mc:AlternateContent xmlns:mc="http://schemas.openxmlformats.org/markup-compatibility/2006">
          <mc:Choice Requires="x14">
            <control shapeId="462078" r:id="rId14" name="Button 2302">
              <controlPr defaultSize="0" print="0" autoFill="0" autoPict="0" macro="[0]!SaveNewScoresheets">
                <anchor moveWithCells="1" sizeWithCells="1">
                  <from>
                    <xdr:col>10</xdr:col>
                    <xdr:colOff>0</xdr:colOff>
                    <xdr:row>0</xdr:row>
                    <xdr:rowOff>0</xdr:rowOff>
                  </from>
                  <to>
                    <xdr:col>11</xdr:col>
                    <xdr:colOff>182880</xdr:colOff>
                    <xdr:row>2</xdr:row>
                    <xdr:rowOff>0</xdr:rowOff>
                  </to>
                </anchor>
              </controlPr>
            </control>
          </mc:Choice>
        </mc:AlternateContent>
        <mc:AlternateContent xmlns:mc="http://schemas.openxmlformats.org/markup-compatibility/2006">
          <mc:Choice Requires="x14">
            <control shapeId="462079" r:id="rId15" name="Button 2303">
              <controlPr defaultSize="0" print="0" autoFill="0" autoPict="0" macro="[0]!SaveAllScoreSheets">
                <anchor moveWithCells="1" sizeWithCells="1">
                  <from>
                    <xdr:col>11</xdr:col>
                    <xdr:colOff>182880</xdr:colOff>
                    <xdr:row>0</xdr:row>
                    <xdr:rowOff>0</xdr:rowOff>
                  </from>
                  <to>
                    <xdr:col>11</xdr:col>
                    <xdr:colOff>1036320</xdr:colOff>
                    <xdr:row>2</xdr:row>
                    <xdr:rowOff>0</xdr:rowOff>
                  </to>
                </anchor>
              </controlPr>
            </control>
          </mc:Choice>
        </mc:AlternateContent>
        <mc:AlternateContent xmlns:mc="http://schemas.openxmlformats.org/markup-compatibility/2006">
          <mc:Choice Requires="x14">
            <control shapeId="462080" r:id="rId16" name="Button 2304">
              <controlPr defaultSize="0" print="0" autoFill="0" autoPict="0" macro="[0]!GenerateMeritListWithPlayersAndRanks">
                <anchor moveWithCells="1" sizeWithCells="1">
                  <from>
                    <xdr:col>11</xdr:col>
                    <xdr:colOff>1036320</xdr:colOff>
                    <xdr:row>0</xdr:row>
                    <xdr:rowOff>0</xdr:rowOff>
                  </from>
                  <to>
                    <xdr:col>13</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6D809-FD2F-4479-8B21-A22570B31D47}">
  <sheetPr codeName="Sheet11"/>
  <dimension ref="A1:AA20"/>
  <sheetViews>
    <sheetView showGridLines="0" zoomScale="80" zoomScaleNormal="80" workbookViewId="0">
      <pane ySplit="4" topLeftCell="A5" activePane="bottomLeft" state="frozenSplit"/>
      <selection pane="bottomLeft" activeCell="C4" sqref="C4"/>
    </sheetView>
  </sheetViews>
  <sheetFormatPr defaultRowHeight="15.6" x14ac:dyDescent="0.3"/>
  <cols>
    <col min="1" max="1" width="3.77734375" style="33" customWidth="1"/>
    <col min="2" max="2" width="2.109375" style="33" bestFit="1" customWidth="1"/>
    <col min="3" max="3" width="56.33203125" style="33" bestFit="1" customWidth="1"/>
    <col min="4" max="4" width="4.77734375" style="33" customWidth="1"/>
    <col min="5" max="5" width="0" style="33" hidden="1" customWidth="1"/>
    <col min="6" max="6" width="3.6640625" style="33" bestFit="1" customWidth="1"/>
    <col min="7" max="7" width="4.77734375" style="33" customWidth="1"/>
    <col min="8" max="8" width="7.77734375" style="33" hidden="1" customWidth="1"/>
    <col min="9" max="9" width="3.6640625" style="33" bestFit="1" customWidth="1"/>
    <col min="10" max="10" width="4.77734375" style="33" customWidth="1"/>
    <col min="11" max="11" width="0" style="33" hidden="1" customWidth="1"/>
    <col min="12" max="12" width="5.77734375" style="33" customWidth="1"/>
    <col min="13" max="13" width="4.77734375" style="33" customWidth="1"/>
    <col min="14" max="14" width="8.88671875" style="33" hidden="1" customWidth="1"/>
    <col min="15" max="15" width="4.6640625" style="33" bestFit="1" customWidth="1"/>
    <col min="16" max="16" width="4.77734375" style="33" customWidth="1"/>
    <col min="17" max="17" width="8.88671875" style="33" hidden="1" customWidth="1"/>
    <col min="18" max="18" width="5.77734375" style="33" customWidth="1"/>
    <col min="19" max="19" width="4.77734375" style="33" customWidth="1"/>
    <col min="20" max="20" width="8.88671875" style="33" hidden="1" customWidth="1"/>
    <col min="21" max="21" width="5.77734375" style="33" customWidth="1"/>
    <col min="22" max="22" width="4.77734375" style="33" customWidth="1"/>
    <col min="23" max="23" width="8.88671875" style="33" hidden="1" customWidth="1"/>
    <col min="24" max="24" width="5.77734375" style="33" customWidth="1"/>
    <col min="25" max="16384" width="8.88671875" style="33"/>
  </cols>
  <sheetData>
    <row r="1" spans="1:27" x14ac:dyDescent="0.3">
      <c r="A1" s="197" t="e" vm="1">
        <f>'General Inputs'!B7</f>
        <v>#VALUE!</v>
      </c>
      <c r="B1" s="197"/>
      <c r="C1" s="198" t="s">
        <v>2311</v>
      </c>
      <c r="D1" s="198"/>
      <c r="E1" s="198"/>
      <c r="F1" s="198"/>
      <c r="G1" s="198"/>
    </row>
    <row r="2" spans="1:27" x14ac:dyDescent="0.3">
      <c r="A2" s="179"/>
      <c r="B2" s="179"/>
      <c r="C2" s="178" t="s">
        <v>2355</v>
      </c>
      <c r="D2" s="178"/>
      <c r="E2" s="178"/>
      <c r="F2" s="178"/>
      <c r="G2" s="178"/>
      <c r="M2" s="180"/>
      <c r="N2" s="180"/>
      <c r="O2" s="180"/>
      <c r="P2" s="180"/>
      <c r="Q2" s="180"/>
      <c r="R2" s="180"/>
      <c r="S2" s="180"/>
      <c r="T2" s="180"/>
    </row>
    <row r="3" spans="1:27" x14ac:dyDescent="0.3">
      <c r="A3" s="34"/>
      <c r="B3" s="34"/>
      <c r="C3" s="34"/>
      <c r="D3" s="34"/>
      <c r="E3" s="34"/>
      <c r="F3" s="34"/>
      <c r="G3" s="34"/>
      <c r="H3" s="34"/>
      <c r="I3" s="34"/>
      <c r="J3" s="34"/>
      <c r="K3" s="34"/>
      <c r="L3" s="34"/>
      <c r="M3" s="34"/>
      <c r="N3" s="34"/>
      <c r="O3" s="34"/>
      <c r="P3" s="34"/>
      <c r="Q3" s="34"/>
      <c r="R3" s="34"/>
      <c r="S3" s="34"/>
      <c r="T3" s="34"/>
      <c r="U3" s="34"/>
      <c r="V3" s="34"/>
      <c r="W3" s="34"/>
      <c r="X3" s="34"/>
      <c r="Y3" s="34"/>
      <c r="Z3" s="34"/>
      <c r="AA3" s="34"/>
    </row>
    <row r="4" spans="1:27" x14ac:dyDescent="0.3">
      <c r="C4" s="37" t="s">
        <v>300</v>
      </c>
      <c r="F4" s="37" t="s">
        <v>297</v>
      </c>
      <c r="I4" s="37" t="s">
        <v>291</v>
      </c>
    </row>
    <row r="6" spans="1:27" x14ac:dyDescent="0.3">
      <c r="B6" s="33">
        <v>1</v>
      </c>
      <c r="C6" s="39" t="s">
        <v>2364</v>
      </c>
    </row>
    <row r="7" spans="1:27" x14ac:dyDescent="0.3">
      <c r="C7" s="70" t="s">
        <v>282</v>
      </c>
      <c r="D7" s="42"/>
      <c r="E7" s="111"/>
      <c r="F7" s="44"/>
    </row>
    <row r="8" spans="1:27" x14ac:dyDescent="0.3">
      <c r="B8" s="33">
        <v>2</v>
      </c>
      <c r="C8" s="38" t="s">
        <v>2370</v>
      </c>
      <c r="F8" s="40"/>
    </row>
    <row r="9" spans="1:27" x14ac:dyDescent="0.3">
      <c r="F9" s="196" t="s">
        <v>2332</v>
      </c>
      <c r="G9" s="42"/>
      <c r="H9" s="111"/>
      <c r="I9" s="44"/>
    </row>
    <row r="10" spans="1:27" x14ac:dyDescent="0.3">
      <c r="B10" s="33">
        <v>3</v>
      </c>
      <c r="C10" s="39" t="s">
        <v>2369</v>
      </c>
      <c r="F10" s="45"/>
      <c r="I10" s="40"/>
    </row>
    <row r="11" spans="1:27" x14ac:dyDescent="0.3">
      <c r="C11" s="70" t="s">
        <v>283</v>
      </c>
      <c r="D11" s="42"/>
      <c r="E11" s="111"/>
      <c r="F11" s="43"/>
      <c r="I11" s="45"/>
    </row>
    <row r="12" spans="1:27" x14ac:dyDescent="0.3">
      <c r="B12" s="33">
        <v>4</v>
      </c>
      <c r="C12" s="38" t="s">
        <v>2367</v>
      </c>
      <c r="I12" s="45"/>
    </row>
    <row r="13" spans="1:27" x14ac:dyDescent="0.3">
      <c r="I13" s="196" t="s">
        <v>2341</v>
      </c>
      <c r="J13" s="42"/>
      <c r="K13" s="111"/>
      <c r="L13" s="43"/>
    </row>
    <row r="14" spans="1:27" x14ac:dyDescent="0.3">
      <c r="B14" s="33">
        <v>5</v>
      </c>
      <c r="C14" s="39" t="s">
        <v>2366</v>
      </c>
      <c r="I14" s="45"/>
    </row>
    <row r="15" spans="1:27" x14ac:dyDescent="0.3">
      <c r="C15" s="70" t="s">
        <v>284</v>
      </c>
      <c r="D15" s="42"/>
      <c r="E15" s="111"/>
      <c r="F15" s="44"/>
      <c r="I15" s="45"/>
    </row>
    <row r="16" spans="1:27" x14ac:dyDescent="0.3">
      <c r="B16" s="33">
        <v>6</v>
      </c>
      <c r="C16" s="38" t="s">
        <v>2368</v>
      </c>
      <c r="F16" s="40"/>
      <c r="I16" s="45"/>
    </row>
    <row r="17" spans="2:9" x14ac:dyDescent="0.3">
      <c r="F17" s="196" t="s">
        <v>2333</v>
      </c>
      <c r="G17" s="42"/>
      <c r="H17" s="111"/>
      <c r="I17" s="43"/>
    </row>
    <row r="18" spans="2:9" x14ac:dyDescent="0.3">
      <c r="B18" s="33">
        <v>7</v>
      </c>
      <c r="C18" s="39" t="s">
        <v>2371</v>
      </c>
      <c r="F18" s="45"/>
    </row>
    <row r="19" spans="2:9" x14ac:dyDescent="0.3">
      <c r="C19" s="70" t="s">
        <v>2331</v>
      </c>
      <c r="D19" s="42"/>
      <c r="E19" s="111"/>
      <c r="F19" s="43"/>
    </row>
    <row r="20" spans="2:9" x14ac:dyDescent="0.3">
      <c r="B20" s="33">
        <v>8</v>
      </c>
      <c r="C20" s="38" t="s">
        <v>2365</v>
      </c>
    </row>
  </sheetData>
  <sheetProtection selectLockedCells="1"/>
  <mergeCells count="4">
    <mergeCell ref="C1:G1"/>
    <mergeCell ref="C2:G2"/>
    <mergeCell ref="A1:B2"/>
    <mergeCell ref="M2:T2"/>
  </mergeCells>
  <printOptions horizontalCentered="1" verticalCentered="1"/>
  <pageMargins left="0.25" right="0.25" top="0.25" bottom="0.25" header="0" footer="0"/>
  <pageSetup scale="70" orientation="portrait"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143" r:id="rId4" name="Button 887">
              <controlPr defaultSize="0" print="0" autoFill="0" autoPict="0" macro="[0]!Save_PDraw">
                <anchor moveWithCells="1" sizeWithCells="1">
                  <from>
                    <xdr:col>12</xdr:col>
                    <xdr:colOff>0</xdr:colOff>
                    <xdr:row>1</xdr:row>
                    <xdr:rowOff>0</xdr:rowOff>
                  </from>
                  <to>
                    <xdr:col>15</xdr:col>
                    <xdr:colOff>198120</xdr:colOff>
                    <xdr:row>2</xdr:row>
                    <xdr:rowOff>0</xdr:rowOff>
                  </to>
                </anchor>
              </controlPr>
            </control>
          </mc:Choice>
        </mc:AlternateContent>
        <mc:AlternateContent xmlns:mc="http://schemas.openxmlformats.org/markup-compatibility/2006">
          <mc:Choice Requires="x14">
            <control shapeId="225144" r:id="rId5" name="Button 888">
              <controlPr defaultSize="0" print="0" autoFill="0" autoPict="0" macro="[0]!Clear_PBracket">
                <anchor moveWithCells="1" sizeWithCells="1">
                  <from>
                    <xdr:col>15</xdr:col>
                    <xdr:colOff>198120</xdr:colOff>
                    <xdr:row>1</xdr:row>
                    <xdr:rowOff>0</xdr:rowOff>
                  </from>
                  <to>
                    <xdr:col>20</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4ADB5-2317-44EB-B394-955E0A89B2B5}">
  <sheetPr codeName="Sheet14"/>
  <dimension ref="A1:C21"/>
  <sheetViews>
    <sheetView topLeftCell="S1" workbookViewId="0">
      <selection activeCell="E20" sqref="E20"/>
    </sheetView>
  </sheetViews>
  <sheetFormatPr defaultRowHeight="14.4" x14ac:dyDescent="0.3"/>
  <cols>
    <col min="1" max="1" width="5" bestFit="1" customWidth="1"/>
    <col min="2" max="2" width="26.77734375" bestFit="1" customWidth="1"/>
    <col min="3" max="3" width="6" bestFit="1" customWidth="1"/>
  </cols>
  <sheetData>
    <row r="1" spans="1:3" x14ac:dyDescent="0.3">
      <c r="A1" t="s">
        <v>14</v>
      </c>
      <c r="B1" t="s">
        <v>11</v>
      </c>
      <c r="C1" t="s">
        <v>2019</v>
      </c>
    </row>
    <row r="2" spans="1:3" x14ac:dyDescent="0.3">
      <c r="A2">
        <v>1</v>
      </c>
      <c r="B2" t="s">
        <v>1999</v>
      </c>
      <c r="C2">
        <v>90</v>
      </c>
    </row>
    <row r="3" spans="1:3" x14ac:dyDescent="0.3">
      <c r="A3">
        <v>2</v>
      </c>
      <c r="B3" t="s">
        <v>2001</v>
      </c>
      <c r="C3">
        <v>60</v>
      </c>
    </row>
    <row r="4" spans="1:3" x14ac:dyDescent="0.3">
      <c r="A4">
        <v>3</v>
      </c>
      <c r="B4" t="s">
        <v>2005</v>
      </c>
      <c r="C4">
        <v>45</v>
      </c>
    </row>
    <row r="5" spans="1:3" x14ac:dyDescent="0.3">
      <c r="A5">
        <v>3</v>
      </c>
      <c r="B5" t="s">
        <v>2003</v>
      </c>
      <c r="C5">
        <v>45</v>
      </c>
    </row>
    <row r="6" spans="1:3" x14ac:dyDescent="0.3">
      <c r="A6">
        <v>5</v>
      </c>
      <c r="B6" t="s">
        <v>2013</v>
      </c>
      <c r="C6">
        <v>30</v>
      </c>
    </row>
    <row r="7" spans="1:3" x14ac:dyDescent="0.3">
      <c r="A7">
        <v>5</v>
      </c>
      <c r="B7" t="s">
        <v>2009</v>
      </c>
      <c r="C7">
        <v>30</v>
      </c>
    </row>
    <row r="8" spans="1:3" x14ac:dyDescent="0.3">
      <c r="A8">
        <v>5</v>
      </c>
      <c r="B8" t="s">
        <v>2011</v>
      </c>
      <c r="C8">
        <v>30</v>
      </c>
    </row>
    <row r="9" spans="1:3" x14ac:dyDescent="0.3">
      <c r="A9">
        <v>5</v>
      </c>
      <c r="B9" t="s">
        <v>2007</v>
      </c>
      <c r="C9">
        <v>30</v>
      </c>
    </row>
    <row r="10" spans="1:3" x14ac:dyDescent="0.3">
      <c r="A10">
        <v>9</v>
      </c>
      <c r="B10" t="s">
        <v>2000</v>
      </c>
      <c r="C10">
        <v>15</v>
      </c>
    </row>
    <row r="11" spans="1:3" x14ac:dyDescent="0.3">
      <c r="A11">
        <v>9</v>
      </c>
      <c r="B11" t="s">
        <v>2008</v>
      </c>
      <c r="C11">
        <v>15</v>
      </c>
    </row>
    <row r="12" spans="1:3" x14ac:dyDescent="0.3">
      <c r="A12">
        <v>9</v>
      </c>
      <c r="B12" t="s">
        <v>2004</v>
      </c>
      <c r="C12">
        <v>15</v>
      </c>
    </row>
    <row r="13" spans="1:3" x14ac:dyDescent="0.3">
      <c r="A13">
        <v>9</v>
      </c>
      <c r="B13" t="s">
        <v>2017</v>
      </c>
      <c r="C13">
        <v>15</v>
      </c>
    </row>
    <row r="14" spans="1:3" x14ac:dyDescent="0.3">
      <c r="A14">
        <v>9</v>
      </c>
      <c r="B14" t="s">
        <v>2002</v>
      </c>
      <c r="C14">
        <v>15</v>
      </c>
    </row>
    <row r="15" spans="1:3" x14ac:dyDescent="0.3">
      <c r="A15">
        <v>9</v>
      </c>
      <c r="B15" t="s">
        <v>2010</v>
      </c>
      <c r="C15">
        <v>15</v>
      </c>
    </row>
    <row r="16" spans="1:3" x14ac:dyDescent="0.3">
      <c r="A16">
        <v>9</v>
      </c>
      <c r="B16" t="s">
        <v>2006</v>
      </c>
      <c r="C16">
        <v>15</v>
      </c>
    </row>
    <row r="17" spans="1:3" x14ac:dyDescent="0.3">
      <c r="A17">
        <v>9</v>
      </c>
      <c r="B17" t="s">
        <v>2015</v>
      </c>
      <c r="C17">
        <v>15</v>
      </c>
    </row>
    <row r="18" spans="1:3" x14ac:dyDescent="0.3">
      <c r="A18">
        <v>17</v>
      </c>
      <c r="B18" t="s">
        <v>2016</v>
      </c>
      <c r="C18">
        <v>0</v>
      </c>
    </row>
    <row r="19" spans="1:3" x14ac:dyDescent="0.3">
      <c r="A19">
        <v>17</v>
      </c>
      <c r="B19" t="s">
        <v>2012</v>
      </c>
      <c r="C19">
        <v>0</v>
      </c>
    </row>
    <row r="20" spans="1:3" x14ac:dyDescent="0.3">
      <c r="A20">
        <v>17</v>
      </c>
      <c r="B20" t="s">
        <v>2018</v>
      </c>
      <c r="C20">
        <v>0</v>
      </c>
    </row>
    <row r="21" spans="1:3" x14ac:dyDescent="0.3">
      <c r="A21">
        <v>17</v>
      </c>
      <c r="B21" t="s">
        <v>2014</v>
      </c>
      <c r="C21">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C4BF4-2441-4E77-B380-BD97921B0894}">
  <sheetPr codeName="Sheet7"/>
  <dimension ref="A1:AA38"/>
  <sheetViews>
    <sheetView workbookViewId="0">
      <selection activeCell="H29" sqref="H29"/>
    </sheetView>
  </sheetViews>
  <sheetFormatPr defaultRowHeight="14.4" x14ac:dyDescent="0.3"/>
  <cols>
    <col min="1" max="1" width="7.6640625" bestFit="1" customWidth="1"/>
    <col min="2" max="2" width="3" bestFit="1" customWidth="1"/>
    <col min="3" max="3" width="43.33203125" bestFit="1" customWidth="1"/>
    <col min="4" max="4" width="48.77734375" bestFit="1" customWidth="1"/>
    <col min="5" max="5" width="25.77734375" customWidth="1"/>
    <col min="6" max="6" width="5.77734375" customWidth="1"/>
    <col min="7" max="8" width="7.109375" bestFit="1" customWidth="1"/>
    <col min="9" max="9" width="2.77734375" customWidth="1"/>
    <col min="10" max="11" width="4.109375" bestFit="1" customWidth="1"/>
    <col min="12" max="12" width="8.6640625" bestFit="1" customWidth="1"/>
  </cols>
  <sheetData>
    <row r="1" spans="1:27" x14ac:dyDescent="0.3">
      <c r="A1" s="200" t="e" vm="1">
        <f>'General Inputs'!B7</f>
        <v>#VALUE!</v>
      </c>
      <c r="B1" s="200"/>
      <c r="C1" s="201" t="s">
        <v>2311</v>
      </c>
      <c r="D1" s="201"/>
      <c r="E1" s="201"/>
      <c r="F1" s="201"/>
      <c r="G1" s="201"/>
    </row>
    <row r="2" spans="1:27" x14ac:dyDescent="0.3">
      <c r="A2" s="182"/>
      <c r="B2" s="182"/>
      <c r="C2" s="181" t="s">
        <v>2355</v>
      </c>
      <c r="D2" s="181"/>
      <c r="E2" s="181"/>
      <c r="F2" s="181"/>
      <c r="G2" s="181"/>
    </row>
    <row r="3" spans="1:27" x14ac:dyDescent="0.3">
      <c r="A3" s="6"/>
      <c r="B3" s="6"/>
      <c r="C3" s="6"/>
      <c r="D3" s="6"/>
      <c r="E3" s="6"/>
      <c r="F3" s="6"/>
      <c r="G3" s="6"/>
      <c r="H3" s="6"/>
      <c r="I3" s="6"/>
      <c r="J3" s="6"/>
      <c r="K3" s="6"/>
      <c r="L3" s="6"/>
      <c r="M3" s="6"/>
      <c r="N3" s="6"/>
      <c r="O3" s="6"/>
      <c r="P3" s="6"/>
      <c r="Q3" s="6"/>
      <c r="R3" s="6"/>
      <c r="S3" s="6"/>
      <c r="T3" s="6"/>
      <c r="U3" s="6"/>
      <c r="V3" s="6"/>
      <c r="W3" s="6"/>
      <c r="X3" s="6"/>
      <c r="Y3" s="6"/>
      <c r="Z3" s="6"/>
      <c r="AA3" s="6"/>
    </row>
    <row r="4" spans="1:27" x14ac:dyDescent="0.3">
      <c r="E4" s="134"/>
      <c r="F4" s="134"/>
      <c r="G4" s="134"/>
      <c r="H4" s="134"/>
    </row>
    <row r="5" spans="1:27" x14ac:dyDescent="0.3">
      <c r="A5" s="1" t="s">
        <v>71</v>
      </c>
      <c r="B5" s="1" t="s">
        <v>72</v>
      </c>
      <c r="C5" s="1" t="s">
        <v>73</v>
      </c>
      <c r="D5" s="1" t="s">
        <v>74</v>
      </c>
      <c r="E5" s="1" t="s">
        <v>75</v>
      </c>
      <c r="F5" s="1" t="s">
        <v>76</v>
      </c>
      <c r="G5" s="1" t="s">
        <v>77</v>
      </c>
      <c r="H5" s="1" t="s">
        <v>78</v>
      </c>
      <c r="I5" s="1" t="s">
        <v>79</v>
      </c>
      <c r="J5" s="1" t="s">
        <v>80</v>
      </c>
      <c r="K5" s="1" t="s">
        <v>81</v>
      </c>
      <c r="L5" s="1" t="s">
        <v>82</v>
      </c>
    </row>
    <row r="6" spans="1:27" x14ac:dyDescent="0.3">
      <c r="A6" t="s">
        <v>2024</v>
      </c>
      <c r="B6">
        <v>1</v>
      </c>
      <c r="C6" s="25" t="str">
        <f>'Group Stage'!$B$5</f>
        <v>Ashish Kumar/Md.Izazuddin (OMNI)</v>
      </c>
      <c r="D6" s="25" t="str">
        <f>'Group Stage'!$B$6</f>
        <v>Arvind Choudhary/Rahul Chaudhary (UPPOLICE)</v>
      </c>
      <c r="G6" t="b">
        <f>AND(C6&lt;&gt;0, D6&lt;&gt;0, E6=0, H6&lt;&gt;TRUE )</f>
        <v>1</v>
      </c>
      <c r="J6" s="25" t="str">
        <f ca="1">_xlfn.IFNA(INDIRECT("PBracket!" &amp; ADDRESS(MATCH(C6,PBracket!C:C, 0),2)),"")</f>
        <v/>
      </c>
      <c r="K6" s="25" t="str">
        <f ca="1">_xlfn.IFNA(INDIRECT("PBracket!" &amp; ADDRESS(MATCH(D6,PBracket!C:C, 0),2)),"")</f>
        <v/>
      </c>
    </row>
    <row r="7" spans="1:27" x14ac:dyDescent="0.3">
      <c r="A7" t="s">
        <v>2024</v>
      </c>
      <c r="B7">
        <v>2</v>
      </c>
      <c r="C7" s="25" t="str">
        <f>'Group Stage'!$B$5</f>
        <v>Ashish Kumar/Md.Izazuddin (OMNI)</v>
      </c>
      <c r="D7" s="25" t="str">
        <f>'Group Stage'!$B$7</f>
        <v>bye1 (_)</v>
      </c>
      <c r="G7" t="b">
        <f>AND(C7&lt;&gt;0, D7&lt;&gt;0, E7=0, H7&lt;&gt;TRUE )</f>
        <v>1</v>
      </c>
      <c r="J7" s="25" t="str">
        <f ca="1">_xlfn.IFNA(INDIRECT("PBracket!" &amp; ADDRESS(MATCH(C7,PBracket!C:C, 0),2)),"")</f>
        <v/>
      </c>
      <c r="K7" s="25" t="str">
        <f ca="1">_xlfn.IFNA(INDIRECT("PBracket!" &amp; ADDRESS(MATCH(D7,PBracket!C:C, 0),2)),"")</f>
        <v/>
      </c>
    </row>
    <row r="8" spans="1:27" x14ac:dyDescent="0.3">
      <c r="A8" t="s">
        <v>2024</v>
      </c>
      <c r="B8">
        <v>3</v>
      </c>
      <c r="C8" s="25" t="str">
        <f>'Group Stage'!$B$6</f>
        <v>Arvind Choudhary/Rahul Chaudhary (UPPOLICE)</v>
      </c>
      <c r="D8" s="25" t="str">
        <f>'Group Stage'!$B$7</f>
        <v>bye1 (_)</v>
      </c>
      <c r="G8" t="b">
        <f>AND(C8&lt;&gt;0, D8&lt;&gt;0, E8=0, H8&lt;&gt;TRUE )</f>
        <v>1</v>
      </c>
      <c r="J8" s="25" t="str">
        <f ca="1">_xlfn.IFNA(INDIRECT("PBracket!" &amp; ADDRESS(MATCH(C8,PBracket!C:C, 0),2)),"")</f>
        <v/>
      </c>
      <c r="K8" s="25" t="str">
        <f ca="1">_xlfn.IFNA(INDIRECT("PBracket!" &amp; ADDRESS(MATCH(D8,PBracket!C:C, 0),2)),"")</f>
        <v/>
      </c>
    </row>
    <row r="9" spans="1:27" x14ac:dyDescent="0.3">
      <c r="A9" t="s">
        <v>2027</v>
      </c>
      <c r="B9">
        <v>4</v>
      </c>
      <c r="C9" s="25" t="str">
        <f>'Group Stage'!$B$11</f>
        <v>Ankit Aggarwal/Varun Sharma (SALESFORCE)</v>
      </c>
      <c r="D9" s="25" t="str">
        <f>'Group Stage'!$B$12</f>
        <v>Ashutosh Singh/Badal (OMNI)</v>
      </c>
      <c r="G9" t="b">
        <f>AND(C9&lt;&gt;0, D9&lt;&gt;0, E9=0, H9&lt;&gt;TRUE )</f>
        <v>1</v>
      </c>
      <c r="J9" s="25" t="str">
        <f ca="1">_xlfn.IFNA(INDIRECT("PBracket!" &amp; ADDRESS(MATCH(C9,PBracket!C:C, 0),2)),"")</f>
        <v/>
      </c>
      <c r="K9" s="25" t="str">
        <f ca="1">_xlfn.IFNA(INDIRECT("PBracket!" &amp; ADDRESS(MATCH(D9,PBracket!C:C, 0),2)),"")</f>
        <v/>
      </c>
    </row>
    <row r="10" spans="1:27" x14ac:dyDescent="0.3">
      <c r="A10" t="s">
        <v>2027</v>
      </c>
      <c r="B10">
        <v>5</v>
      </c>
      <c r="C10" s="25" t="str">
        <f>'Group Stage'!$B$11</f>
        <v>Ankit Aggarwal/Varun Sharma (SALESFORCE)</v>
      </c>
      <c r="D10" s="25" t="str">
        <f>'Group Stage'!$B$13</f>
        <v>bye2 (_)</v>
      </c>
      <c r="G10" t="b">
        <f>AND(C10&lt;&gt;0, D10&lt;&gt;0, E10=0, H10&lt;&gt;TRUE )</f>
        <v>1</v>
      </c>
      <c r="J10" s="25" t="str">
        <f ca="1">_xlfn.IFNA(INDIRECT("PBracket!" &amp; ADDRESS(MATCH(C10,PBracket!C:C, 0),2)),"")</f>
        <v/>
      </c>
      <c r="K10" s="25" t="str">
        <f ca="1">_xlfn.IFNA(INDIRECT("PBracket!" &amp; ADDRESS(MATCH(D10,PBracket!C:C, 0),2)),"")</f>
        <v/>
      </c>
    </row>
    <row r="11" spans="1:27" x14ac:dyDescent="0.3">
      <c r="A11" t="s">
        <v>2027</v>
      </c>
      <c r="B11">
        <v>6</v>
      </c>
      <c r="C11" s="25" t="str">
        <f>'Group Stage'!$B$12</f>
        <v>Ashutosh Singh/Badal (OMNI)</v>
      </c>
      <c r="D11" s="25" t="str">
        <f>'Group Stage'!$B$13</f>
        <v>bye2 (_)</v>
      </c>
      <c r="G11" t="b">
        <f>AND(C11&lt;&gt;0, D11&lt;&gt;0, E11=0, H11&lt;&gt;TRUE )</f>
        <v>1</v>
      </c>
      <c r="J11" s="25" t="str">
        <f ca="1">_xlfn.IFNA(INDIRECT("PBracket!" &amp; ADDRESS(MATCH(C11,PBracket!C:C, 0),2)),"")</f>
        <v/>
      </c>
      <c r="K11" s="25" t="str">
        <f ca="1">_xlfn.IFNA(INDIRECT("PBracket!" &amp; ADDRESS(MATCH(D11,PBracket!C:C, 0),2)),"")</f>
        <v/>
      </c>
    </row>
    <row r="12" spans="1:27" x14ac:dyDescent="0.3">
      <c r="A12" t="s">
        <v>2028</v>
      </c>
      <c r="B12">
        <v>7</v>
      </c>
      <c r="C12" s="25" t="str">
        <f>'Group Stage'!$B$17</f>
        <v>Rajat karn/Biswender Singh (CAPGEMINI)</v>
      </c>
      <c r="D12" s="25" t="str">
        <f>'Group Stage'!$B$18</f>
        <v>Shashank Jain/Rohan Singh (ADIDAS)</v>
      </c>
      <c r="G12" t="b">
        <f>AND(C12&lt;&gt;0, D12&lt;&gt;0, E12=0, H12&lt;&gt;TRUE )</f>
        <v>1</v>
      </c>
      <c r="J12" s="25" t="str">
        <f ca="1">_xlfn.IFNA(INDIRECT("PBracket!" &amp; ADDRESS(MATCH(C12,PBracket!C:C, 0),2)),"")</f>
        <v/>
      </c>
      <c r="K12" s="25" t="str">
        <f ca="1">_xlfn.IFNA(INDIRECT("PBracket!" &amp; ADDRESS(MATCH(D12,PBracket!C:C, 0),2)),"")</f>
        <v/>
      </c>
    </row>
    <row r="13" spans="1:27" x14ac:dyDescent="0.3">
      <c r="A13" t="s">
        <v>2028</v>
      </c>
      <c r="B13">
        <v>8</v>
      </c>
      <c r="C13" s="25" t="str">
        <f>'Group Stage'!$B$17</f>
        <v>Rajat karn/Biswender Singh (CAPGEMINI)</v>
      </c>
      <c r="D13" s="25" t="str">
        <f>'Group Stage'!$B$19</f>
        <v>Ashish/Abheesh (CLYNOX)</v>
      </c>
      <c r="G13" t="b">
        <f>AND(C13&lt;&gt;0, D13&lt;&gt;0, E13=0, H13&lt;&gt;TRUE )</f>
        <v>1</v>
      </c>
      <c r="J13" s="25" t="str">
        <f ca="1">_xlfn.IFNA(INDIRECT("PBracket!" &amp; ADDRESS(MATCH(C13,PBracket!C:C, 0),2)),"")</f>
        <v/>
      </c>
      <c r="K13" s="25" t="str">
        <f ca="1">_xlfn.IFNA(INDIRECT("PBracket!" &amp; ADDRESS(MATCH(D13,PBracket!C:C, 0),2)),"")</f>
        <v/>
      </c>
    </row>
    <row r="14" spans="1:27" x14ac:dyDescent="0.3">
      <c r="A14" t="s">
        <v>2028</v>
      </c>
      <c r="B14">
        <v>9</v>
      </c>
      <c r="C14" s="25" t="str">
        <f>'Group Stage'!$B$17</f>
        <v>Rajat karn/Biswender Singh (CAPGEMINI)</v>
      </c>
      <c r="D14" s="25" t="str">
        <f>'Group Stage'!$B$20</f>
        <v>Pushpendra kumar/Deepak Gupta (DRDO)</v>
      </c>
      <c r="G14" t="b">
        <f>AND(C14&lt;&gt;0, D14&lt;&gt;0, E14=0, H14&lt;&gt;TRUE )</f>
        <v>1</v>
      </c>
      <c r="J14" s="25" t="str">
        <f ca="1">_xlfn.IFNA(INDIRECT("PBracket!" &amp; ADDRESS(MATCH(C14,PBracket!C:C, 0),2)),"")</f>
        <v/>
      </c>
      <c r="K14" s="25" t="str">
        <f ca="1">_xlfn.IFNA(INDIRECT("PBracket!" &amp; ADDRESS(MATCH(D14,PBracket!C:C, 0),2)),"")</f>
        <v/>
      </c>
    </row>
    <row r="15" spans="1:27" x14ac:dyDescent="0.3">
      <c r="A15" t="s">
        <v>2028</v>
      </c>
      <c r="B15">
        <v>10</v>
      </c>
      <c r="C15" s="25" t="str">
        <f>'Group Stage'!$B$18</f>
        <v>Shashank Jain/Rohan Singh (ADIDAS)</v>
      </c>
      <c r="D15" s="25" t="str">
        <f>'Group Stage'!$B$19</f>
        <v>Ashish/Abheesh (CLYNOX)</v>
      </c>
      <c r="G15" t="b">
        <f>AND(C15&lt;&gt;0, D15&lt;&gt;0, E15=0, H15&lt;&gt;TRUE )</f>
        <v>1</v>
      </c>
      <c r="J15" s="25" t="str">
        <f ca="1">_xlfn.IFNA(INDIRECT("PBracket!" &amp; ADDRESS(MATCH(C15,PBracket!C:C, 0),2)),"")</f>
        <v/>
      </c>
      <c r="K15" s="25" t="str">
        <f ca="1">_xlfn.IFNA(INDIRECT("PBracket!" &amp; ADDRESS(MATCH(D15,PBracket!C:C, 0),2)),"")</f>
        <v/>
      </c>
    </row>
    <row r="16" spans="1:27" x14ac:dyDescent="0.3">
      <c r="A16" t="s">
        <v>2028</v>
      </c>
      <c r="B16">
        <v>11</v>
      </c>
      <c r="C16" s="25" t="str">
        <f>'Group Stage'!$B$18</f>
        <v>Shashank Jain/Rohan Singh (ADIDAS)</v>
      </c>
      <c r="D16" s="25" t="str">
        <f>'Group Stage'!$B$20</f>
        <v>Pushpendra kumar/Deepak Gupta (DRDO)</v>
      </c>
      <c r="G16" t="b">
        <f>AND(C16&lt;&gt;0, D16&lt;&gt;0, E16=0, H16&lt;&gt;TRUE )</f>
        <v>1</v>
      </c>
      <c r="J16" s="25" t="str">
        <f ca="1">_xlfn.IFNA(INDIRECT("PBracket!" &amp; ADDRESS(MATCH(C16,PBracket!C:C, 0),2)),"")</f>
        <v/>
      </c>
      <c r="K16" s="25" t="str">
        <f ca="1">_xlfn.IFNA(INDIRECT("PBracket!" &amp; ADDRESS(MATCH(D16,PBracket!C:C, 0),2)),"")</f>
        <v/>
      </c>
    </row>
    <row r="17" spans="1:11" x14ac:dyDescent="0.3">
      <c r="A17" t="s">
        <v>2028</v>
      </c>
      <c r="B17">
        <v>12</v>
      </c>
      <c r="C17" s="25" t="str">
        <f>'Group Stage'!$B$19</f>
        <v>Ashish/Abheesh (CLYNOX)</v>
      </c>
      <c r="D17" s="25" t="str">
        <f>'Group Stage'!$B$20</f>
        <v>Pushpendra kumar/Deepak Gupta (DRDO)</v>
      </c>
      <c r="G17" t="b">
        <f>AND(C17&lt;&gt;0, D17&lt;&gt;0, E17=0, H17&lt;&gt;TRUE )</f>
        <v>1</v>
      </c>
      <c r="J17" s="25" t="str">
        <f ca="1">_xlfn.IFNA(INDIRECT("PBracket!" &amp; ADDRESS(MATCH(C17,PBracket!C:C, 0),2)),"")</f>
        <v/>
      </c>
      <c r="K17" s="25" t="str">
        <f ca="1">_xlfn.IFNA(INDIRECT("PBracket!" &amp; ADDRESS(MATCH(D17,PBracket!C:C, 0),2)),"")</f>
        <v/>
      </c>
    </row>
    <row r="18" spans="1:11" x14ac:dyDescent="0.3">
      <c r="A18" t="s">
        <v>2029</v>
      </c>
      <c r="B18">
        <v>13</v>
      </c>
      <c r="C18" s="25" t="str">
        <f>'Group Stage'!$B$24</f>
        <v>Subrat Raj Verma/Vishal Raj (UPPOLICE)</v>
      </c>
      <c r="D18" s="25" t="str">
        <f>'Group Stage'!$B$25</f>
        <v>Piyush Dua/Shreyan Majumder (DBS)</v>
      </c>
      <c r="G18" t="b">
        <f>AND(C18&lt;&gt;0, D18&lt;&gt;0, E18=0, H18&lt;&gt;TRUE )</f>
        <v>1</v>
      </c>
      <c r="J18" s="25" t="str">
        <f ca="1">_xlfn.IFNA(INDIRECT("PBracket!" &amp; ADDRESS(MATCH(C18,PBracket!C:C, 0),2)),"")</f>
        <v/>
      </c>
      <c r="K18" s="25" t="str">
        <f ca="1">_xlfn.IFNA(INDIRECT("PBracket!" &amp; ADDRESS(MATCH(D18,PBracket!C:C, 0),2)),"")</f>
        <v/>
      </c>
    </row>
    <row r="19" spans="1:11" x14ac:dyDescent="0.3">
      <c r="A19" t="s">
        <v>2029</v>
      </c>
      <c r="B19">
        <v>14</v>
      </c>
      <c r="C19" s="25" t="str">
        <f>'Group Stage'!$B$24</f>
        <v>Subrat Raj Verma/Vishal Raj (UPPOLICE)</v>
      </c>
      <c r="D19" s="25" t="str">
        <f>'Group Stage'!$B$26</f>
        <v>Karan Bohra/Apoorv Jain (ROOTER)</v>
      </c>
      <c r="G19" t="b">
        <f>AND(C19&lt;&gt;0, D19&lt;&gt;0, E19=0, H19&lt;&gt;TRUE )</f>
        <v>1</v>
      </c>
      <c r="J19" s="25" t="str">
        <f ca="1">_xlfn.IFNA(INDIRECT("PBracket!" &amp; ADDRESS(MATCH(C19,PBracket!C:C, 0),2)),"")</f>
        <v/>
      </c>
      <c r="K19" s="25" t="str">
        <f ca="1">_xlfn.IFNA(INDIRECT("PBracket!" &amp; ADDRESS(MATCH(D19,PBracket!C:C, 0),2)),"")</f>
        <v/>
      </c>
    </row>
    <row r="20" spans="1:11" x14ac:dyDescent="0.3">
      <c r="A20" t="s">
        <v>2029</v>
      </c>
      <c r="B20">
        <v>15</v>
      </c>
      <c r="C20" s="25" t="str">
        <f>'Group Stage'!$B$24</f>
        <v>Subrat Raj Verma/Vishal Raj (UPPOLICE)</v>
      </c>
      <c r="D20" s="25" t="str">
        <f>'Group Stage'!$B$27</f>
        <v>Ajay Kumar Gond/Surya Patel (Optum)</v>
      </c>
      <c r="G20" t="b">
        <f>AND(C20&lt;&gt;0, D20&lt;&gt;0, E20=0, H20&lt;&gt;TRUE )</f>
        <v>1</v>
      </c>
      <c r="J20" s="25" t="str">
        <f ca="1">_xlfn.IFNA(INDIRECT("PBracket!" &amp; ADDRESS(MATCH(C20,PBracket!C:C, 0),2)),"")</f>
        <v/>
      </c>
      <c r="K20" s="25" t="str">
        <f ca="1">_xlfn.IFNA(INDIRECT("PBracket!" &amp; ADDRESS(MATCH(D20,PBracket!C:C, 0),2)),"")</f>
        <v/>
      </c>
    </row>
    <row r="21" spans="1:11" x14ac:dyDescent="0.3">
      <c r="A21" t="s">
        <v>2029</v>
      </c>
      <c r="B21">
        <v>16</v>
      </c>
      <c r="C21" s="25" t="str">
        <f>'Group Stage'!$B$25</f>
        <v>Piyush Dua/Shreyan Majumder (DBS)</v>
      </c>
      <c r="D21" s="25" t="str">
        <f>'Group Stage'!$B$26</f>
        <v>Karan Bohra/Apoorv Jain (ROOTER)</v>
      </c>
      <c r="G21" t="b">
        <f>AND(C21&lt;&gt;0, D21&lt;&gt;0, E21=0, H21&lt;&gt;TRUE )</f>
        <v>1</v>
      </c>
      <c r="J21" s="25" t="str">
        <f ca="1">_xlfn.IFNA(INDIRECT("PBracket!" &amp; ADDRESS(MATCH(C21,PBracket!C:C, 0),2)),"")</f>
        <v/>
      </c>
      <c r="K21" s="25" t="str">
        <f ca="1">_xlfn.IFNA(INDIRECT("PBracket!" &amp; ADDRESS(MATCH(D21,PBracket!C:C, 0),2)),"")</f>
        <v/>
      </c>
    </row>
    <row r="22" spans="1:11" x14ac:dyDescent="0.3">
      <c r="A22" t="s">
        <v>2029</v>
      </c>
      <c r="B22">
        <v>17</v>
      </c>
      <c r="C22" s="25" t="str">
        <f>'Group Stage'!$B$25</f>
        <v>Piyush Dua/Shreyan Majumder (DBS)</v>
      </c>
      <c r="D22" s="25" t="str">
        <f>'Group Stage'!$B$27</f>
        <v>Ajay Kumar Gond/Surya Patel (Optum)</v>
      </c>
      <c r="G22" t="b">
        <f>AND(C22&lt;&gt;0, D22&lt;&gt;0, E22=0, H22&lt;&gt;TRUE )</f>
        <v>1</v>
      </c>
      <c r="J22" s="25" t="str">
        <f ca="1">_xlfn.IFNA(INDIRECT("PBracket!" &amp; ADDRESS(MATCH(C22,PBracket!C:C, 0),2)),"")</f>
        <v/>
      </c>
      <c r="K22" s="25" t="str">
        <f ca="1">_xlfn.IFNA(INDIRECT("PBracket!" &amp; ADDRESS(MATCH(D22,PBracket!C:C, 0),2)),"")</f>
        <v/>
      </c>
    </row>
    <row r="23" spans="1:11" x14ac:dyDescent="0.3">
      <c r="A23" t="s">
        <v>2029</v>
      </c>
      <c r="B23">
        <v>18</v>
      </c>
      <c r="C23" s="25" t="str">
        <f>'Group Stage'!$B$26</f>
        <v>Karan Bohra/Apoorv Jain (ROOTER)</v>
      </c>
      <c r="D23" s="25" t="str">
        <f>'Group Stage'!$B$27</f>
        <v>Ajay Kumar Gond/Surya Patel (Optum)</v>
      </c>
      <c r="G23" t="b">
        <f>AND(C23&lt;&gt;0, D23&lt;&gt;0, E23=0, H23&lt;&gt;TRUE )</f>
        <v>1</v>
      </c>
      <c r="J23" s="25" t="str">
        <f ca="1">_xlfn.IFNA(INDIRECT("PBracket!" &amp; ADDRESS(MATCH(C23,PBracket!C:C, 0),2)),"")</f>
        <v/>
      </c>
      <c r="K23" s="25" t="str">
        <f ca="1">_xlfn.IFNA(INDIRECT("PBracket!" &amp; ADDRESS(MATCH(D23,PBracket!C:C, 0),2)),"")</f>
        <v/>
      </c>
    </row>
    <row r="24" spans="1:11" x14ac:dyDescent="0.3">
      <c r="A24">
        <v>1</v>
      </c>
      <c r="B24">
        <v>19</v>
      </c>
      <c r="C24" s="25" t="str">
        <f>Bracket!$C$6</f>
        <v>Ashish Kumar/Md.Izazuddin (OMNI) (Group-1)</v>
      </c>
      <c r="D24" s="25" t="str">
        <f>Bracket!$C$8</f>
        <v>Shashank Jain/Rohan Singh (ADIDAS) (Group-3)</v>
      </c>
      <c r="E24" s="25">
        <f>Bracket!$F$7</f>
        <v>0</v>
      </c>
      <c r="F24" s="25">
        <f>Bracket!$E$7</f>
        <v>0</v>
      </c>
      <c r="G24" t="b">
        <f>AND(C24&lt;&gt;0, D24&lt;&gt;0, E24=0, H24&lt;&gt;TRUE )</f>
        <v>1</v>
      </c>
      <c r="J24" s="25">
        <f ca="1">_xlfn.IFNA(INDIRECT("PBracket!" &amp; ADDRESS(MATCH(C24,PBracket!C:C, 0),2)),"")</f>
        <v>1</v>
      </c>
      <c r="K24" s="25">
        <f ca="1">_xlfn.IFNA(INDIRECT("PBracket!" &amp; ADDRESS(MATCH(D24,PBracket!C:C, 0),2)),"")</f>
        <v>2</v>
      </c>
    </row>
    <row r="25" spans="1:11" x14ac:dyDescent="0.3">
      <c r="A25">
        <v>1</v>
      </c>
      <c r="B25">
        <v>20</v>
      </c>
      <c r="C25" s="25" t="str">
        <f>Bracket!$C$10</f>
        <v>Ashutosh Singh/Badal (OMNI) (Group-2)</v>
      </c>
      <c r="D25" s="25" t="str">
        <f>Bracket!$C$12</f>
        <v>Subrat Raj Verma/Vishal Raj (UPPOLICE) (Group-4)</v>
      </c>
      <c r="E25" s="25">
        <f>Bracket!$F$11</f>
        <v>0</v>
      </c>
      <c r="F25" s="25">
        <f>Bracket!$E$11</f>
        <v>0</v>
      </c>
      <c r="G25" t="b">
        <f>AND(C25&lt;&gt;0, D25&lt;&gt;0, E25=0, H25&lt;&gt;TRUE )</f>
        <v>1</v>
      </c>
      <c r="J25" s="25">
        <f ca="1">_xlfn.IFNA(INDIRECT("PBracket!" &amp; ADDRESS(MATCH(C25,PBracket!C:C, 0),2)),"")</f>
        <v>3</v>
      </c>
      <c r="K25" s="25">
        <f ca="1">_xlfn.IFNA(INDIRECT("PBracket!" &amp; ADDRESS(MATCH(D25,PBracket!C:C, 0),2)),"")</f>
        <v>4</v>
      </c>
    </row>
    <row r="26" spans="1:11" x14ac:dyDescent="0.3">
      <c r="A26">
        <v>1</v>
      </c>
      <c r="B26">
        <v>21</v>
      </c>
      <c r="C26" s="25" t="str">
        <f>Bracket!$C$14</f>
        <v>Rajat karn/Biswender Singh (CAPGEMINI) (Group-3)</v>
      </c>
      <c r="D26" s="25" t="str">
        <f>Bracket!$C$16</f>
        <v>Arvind Choudhary/Rahul Chaudhary (UPPOLICE) (Group-1)</v>
      </c>
      <c r="E26" s="25">
        <f>Bracket!$F$15</f>
        <v>0</v>
      </c>
      <c r="F26" s="25">
        <f>Bracket!$E$15</f>
        <v>0</v>
      </c>
      <c r="G26" t="b">
        <f>AND(C26&lt;&gt;0, D26&lt;&gt;0, E26=0, H26&lt;&gt;TRUE )</f>
        <v>1</v>
      </c>
      <c r="J26" s="25">
        <f ca="1">_xlfn.IFNA(INDIRECT("PBracket!" &amp; ADDRESS(MATCH(C26,PBracket!C:C, 0),2)),"")</f>
        <v>5</v>
      </c>
      <c r="K26" s="25">
        <f ca="1">_xlfn.IFNA(INDIRECT("PBracket!" &amp; ADDRESS(MATCH(D26,PBracket!C:C, 0),2)),"")</f>
        <v>6</v>
      </c>
    </row>
    <row r="27" spans="1:11" x14ac:dyDescent="0.3">
      <c r="A27">
        <v>1</v>
      </c>
      <c r="B27">
        <v>22</v>
      </c>
      <c r="C27" s="25" t="str">
        <f>Bracket!$C$18</f>
        <v>Piyush Dua/Shreyan Majumder (DBS) (Group-4)</v>
      </c>
      <c r="D27" s="25" t="str">
        <f>Bracket!$C$20</f>
        <v>Ankit Aggarwal/Varun Sharma (SALESFORCE) (Group-2)</v>
      </c>
      <c r="E27" s="25">
        <f>Bracket!$F$19</f>
        <v>0</v>
      </c>
      <c r="F27" s="25">
        <f>Bracket!$E$19</f>
        <v>0</v>
      </c>
      <c r="G27" t="b">
        <f>AND(C27&lt;&gt;0, D27&lt;&gt;0, E27=0, H27&lt;&gt;TRUE )</f>
        <v>1</v>
      </c>
      <c r="J27" s="25">
        <f ca="1">_xlfn.IFNA(INDIRECT("PBracket!" &amp; ADDRESS(MATCH(C27,PBracket!C:C, 0),2)),"")</f>
        <v>7</v>
      </c>
      <c r="K27" s="25">
        <f ca="1">_xlfn.IFNA(INDIRECT("PBracket!" &amp; ADDRESS(MATCH(D27,PBracket!C:C, 0),2)),"")</f>
        <v>8</v>
      </c>
    </row>
    <row r="28" spans="1:11" x14ac:dyDescent="0.3">
      <c r="A28">
        <v>1</v>
      </c>
      <c r="B28">
        <v>23</v>
      </c>
      <c r="C28" s="25">
        <f>Bracket!$C$22</f>
        <v>0</v>
      </c>
      <c r="D28" s="25">
        <f>Bracket!$C$24</f>
        <v>0</v>
      </c>
      <c r="E28" s="25">
        <f>Bracket!$F$23</f>
        <v>0</v>
      </c>
      <c r="F28" s="25">
        <f>Bracket!$E$23</f>
        <v>0</v>
      </c>
      <c r="G28" t="b">
        <f>AND(C28&lt;&gt;0, D28&lt;&gt;0, E28=0, H28&lt;&gt;TRUE )</f>
        <v>0</v>
      </c>
      <c r="J28" s="25" t="str">
        <f ca="1">_xlfn.IFNA(INDIRECT("PBracket!" &amp; ADDRESS(MATCH(C28,PBracket!C:C, 0),2)),"")</f>
        <v/>
      </c>
      <c r="K28" s="25" t="str">
        <f ca="1">_xlfn.IFNA(INDIRECT("PBracket!" &amp; ADDRESS(MATCH(D28,PBracket!C:C, 0),2)),"")</f>
        <v/>
      </c>
    </row>
    <row r="29" spans="1:11" x14ac:dyDescent="0.3">
      <c r="A29">
        <v>1</v>
      </c>
      <c r="B29">
        <v>24</v>
      </c>
      <c r="C29" s="25">
        <f>Bracket!$C$26</f>
        <v>0</v>
      </c>
      <c r="D29" s="25">
        <f>Bracket!$C$28</f>
        <v>0</v>
      </c>
      <c r="E29" s="25">
        <f>Bracket!$F$27</f>
        <v>0</v>
      </c>
      <c r="F29" s="25">
        <f>Bracket!$E$27</f>
        <v>0</v>
      </c>
      <c r="G29" t="b">
        <f>AND(C29&lt;&gt;0, D29&lt;&gt;0, E29=0, H29&lt;&gt;TRUE )</f>
        <v>0</v>
      </c>
      <c r="J29" s="25" t="str">
        <f ca="1">_xlfn.IFNA(INDIRECT("PBracket!" &amp; ADDRESS(MATCH(C29,PBracket!C:C, 0),2)),"")</f>
        <v/>
      </c>
      <c r="K29" s="25" t="str">
        <f ca="1">_xlfn.IFNA(INDIRECT("PBracket!" &amp; ADDRESS(MATCH(D29,PBracket!C:C, 0),2)),"")</f>
        <v/>
      </c>
    </row>
    <row r="30" spans="1:11" x14ac:dyDescent="0.3">
      <c r="A30">
        <v>1</v>
      </c>
      <c r="B30">
        <v>25</v>
      </c>
      <c r="C30" s="25">
        <f>Bracket!$C$30</f>
        <v>0</v>
      </c>
      <c r="D30" s="25">
        <f>Bracket!$C$32</f>
        <v>0</v>
      </c>
      <c r="E30" s="25">
        <f>Bracket!$F$31</f>
        <v>0</v>
      </c>
      <c r="F30" s="25">
        <f>Bracket!$E$31</f>
        <v>0</v>
      </c>
      <c r="G30" t="b">
        <f>AND(C30&lt;&gt;0, D30&lt;&gt;0, E30=0, H30&lt;&gt;TRUE )</f>
        <v>0</v>
      </c>
      <c r="J30" s="25" t="str">
        <f ca="1">_xlfn.IFNA(INDIRECT("PBracket!" &amp; ADDRESS(MATCH(C30,PBracket!C:C, 0),2)),"")</f>
        <v/>
      </c>
      <c r="K30" s="25" t="str">
        <f ca="1">_xlfn.IFNA(INDIRECT("PBracket!" &amp; ADDRESS(MATCH(D30,PBracket!C:C, 0),2)),"")</f>
        <v/>
      </c>
    </row>
    <row r="31" spans="1:11" x14ac:dyDescent="0.3">
      <c r="A31">
        <v>1</v>
      </c>
      <c r="B31">
        <v>26</v>
      </c>
      <c r="C31" s="25">
        <f>Bracket!$C$34</f>
        <v>0</v>
      </c>
      <c r="D31" s="25">
        <f>Bracket!$C$36</f>
        <v>0</v>
      </c>
      <c r="E31" s="25">
        <f>Bracket!$F$35</f>
        <v>0</v>
      </c>
      <c r="F31" s="25">
        <f>Bracket!$E$35</f>
        <v>0</v>
      </c>
      <c r="G31" t="b">
        <f>AND(C31&lt;&gt;0, D31&lt;&gt;0, E31=0, H31&lt;&gt;TRUE )</f>
        <v>0</v>
      </c>
      <c r="J31" s="25" t="str">
        <f ca="1">_xlfn.IFNA(INDIRECT("PBracket!" &amp; ADDRESS(MATCH(C31,PBracket!C:C, 0),2)),"")</f>
        <v/>
      </c>
      <c r="K31" s="25" t="str">
        <f ca="1">_xlfn.IFNA(INDIRECT("PBracket!" &amp; ADDRESS(MATCH(D31,PBracket!C:C, 0),2)),"")</f>
        <v/>
      </c>
    </row>
    <row r="32" spans="1:11" x14ac:dyDescent="0.3">
      <c r="A32">
        <v>2</v>
      </c>
      <c r="B32">
        <v>27</v>
      </c>
      <c r="C32" s="25">
        <f>Bracket!$F$7</f>
        <v>0</v>
      </c>
      <c r="D32" s="25">
        <f>Bracket!$F$11</f>
        <v>0</v>
      </c>
      <c r="E32" s="25">
        <f>Bracket!$I$9</f>
        <v>0</v>
      </c>
      <c r="F32" s="25">
        <f>Bracket!$H$9</f>
        <v>0</v>
      </c>
      <c r="G32" t="b">
        <f>AND(C32&lt;&gt;0, D32&lt;&gt;0, E32=0, H32&lt;&gt;TRUE )</f>
        <v>0</v>
      </c>
      <c r="J32" s="25" t="str">
        <f ca="1">_xlfn.IFNA(INDIRECT("PBracket!" &amp; ADDRESS(MATCH(C32,PBracket!C:C, 0),2)),"")</f>
        <v/>
      </c>
      <c r="K32" s="25" t="str">
        <f ca="1">_xlfn.IFNA(INDIRECT("PBracket!" &amp; ADDRESS(MATCH(D32,PBracket!C:C, 0),2)),"")</f>
        <v/>
      </c>
    </row>
    <row r="33" spans="1:11" x14ac:dyDescent="0.3">
      <c r="A33">
        <v>2</v>
      </c>
      <c r="B33">
        <v>28</v>
      </c>
      <c r="C33" s="25">
        <f>Bracket!$F$15</f>
        <v>0</v>
      </c>
      <c r="D33" s="25">
        <f>Bracket!$F$19</f>
        <v>0</v>
      </c>
      <c r="E33" s="25">
        <f>Bracket!$I$17</f>
        <v>0</v>
      </c>
      <c r="F33" s="25">
        <f>Bracket!$H$17</f>
        <v>0</v>
      </c>
      <c r="G33" t="b">
        <f>AND(C33&lt;&gt;0, D33&lt;&gt;0, E33=0, H33&lt;&gt;TRUE )</f>
        <v>0</v>
      </c>
      <c r="J33" s="25" t="str">
        <f ca="1">_xlfn.IFNA(INDIRECT("PBracket!" &amp; ADDRESS(MATCH(C33,PBracket!C:C, 0),2)),"")</f>
        <v/>
      </c>
      <c r="K33" s="25" t="str">
        <f ca="1">_xlfn.IFNA(INDIRECT("PBracket!" &amp; ADDRESS(MATCH(D33,PBracket!C:C, 0),2)),"")</f>
        <v/>
      </c>
    </row>
    <row r="34" spans="1:11" x14ac:dyDescent="0.3">
      <c r="A34">
        <v>2</v>
      </c>
      <c r="B34">
        <v>29</v>
      </c>
      <c r="C34" s="25">
        <f>Bracket!$F$23</f>
        <v>0</v>
      </c>
      <c r="D34" s="25">
        <f>Bracket!$F$27</f>
        <v>0</v>
      </c>
      <c r="E34" s="25">
        <f>Bracket!$I$25</f>
        <v>0</v>
      </c>
      <c r="F34" s="25">
        <f>Bracket!$H$25</f>
        <v>0</v>
      </c>
      <c r="G34" t="b">
        <f>AND(C34&lt;&gt;0, D34&lt;&gt;0, E34=0, H34&lt;&gt;TRUE )</f>
        <v>0</v>
      </c>
      <c r="J34" s="25" t="str">
        <f ca="1">_xlfn.IFNA(INDIRECT("PBracket!" &amp; ADDRESS(MATCH(C34,PBracket!C:C, 0),2)),"")</f>
        <v/>
      </c>
      <c r="K34" s="25" t="str">
        <f ca="1">_xlfn.IFNA(INDIRECT("PBracket!" &amp; ADDRESS(MATCH(D34,PBracket!C:C, 0),2)),"")</f>
        <v/>
      </c>
    </row>
    <row r="35" spans="1:11" x14ac:dyDescent="0.3">
      <c r="A35">
        <v>2</v>
      </c>
      <c r="B35">
        <v>30</v>
      </c>
      <c r="C35" s="25">
        <f>Bracket!$F$31</f>
        <v>0</v>
      </c>
      <c r="D35" s="25">
        <f>Bracket!$F$35</f>
        <v>0</v>
      </c>
      <c r="E35" s="25">
        <f>Bracket!$I$33</f>
        <v>0</v>
      </c>
      <c r="F35" s="25">
        <f>Bracket!$H$33</f>
        <v>0</v>
      </c>
      <c r="G35" t="b">
        <f>AND(C35&lt;&gt;0, D35&lt;&gt;0, E35=0, H35&lt;&gt;TRUE )</f>
        <v>0</v>
      </c>
      <c r="J35" s="25" t="str">
        <f ca="1">_xlfn.IFNA(INDIRECT("PBracket!" &amp; ADDRESS(MATCH(C35,PBracket!C:C, 0),2)),"")</f>
        <v/>
      </c>
      <c r="K35" s="25" t="str">
        <f ca="1">_xlfn.IFNA(INDIRECT("PBracket!" &amp; ADDRESS(MATCH(D35,PBracket!C:C, 0),2)),"")</f>
        <v/>
      </c>
    </row>
    <row r="36" spans="1:11" x14ac:dyDescent="0.3">
      <c r="A36">
        <v>3</v>
      </c>
      <c r="B36">
        <v>31</v>
      </c>
      <c r="C36" s="25">
        <f>Bracket!$I$9</f>
        <v>0</v>
      </c>
      <c r="D36" s="25">
        <f>Bracket!$I$17</f>
        <v>0</v>
      </c>
      <c r="E36" s="25">
        <f>Bracket!$L$13</f>
        <v>0</v>
      </c>
      <c r="F36" s="25">
        <f>Bracket!$K$13</f>
        <v>0</v>
      </c>
      <c r="G36" t="b">
        <f>AND(C36&lt;&gt;0, D36&lt;&gt;0, E36=0, H36&lt;&gt;TRUE )</f>
        <v>0</v>
      </c>
      <c r="J36" s="25" t="str">
        <f ca="1">_xlfn.IFNA(INDIRECT("PBracket!" &amp; ADDRESS(MATCH(C36,PBracket!C:C, 0),2)),"")</f>
        <v/>
      </c>
      <c r="K36" s="25" t="str">
        <f ca="1">_xlfn.IFNA(INDIRECT("PBracket!" &amp; ADDRESS(MATCH(D36,PBracket!C:C, 0),2)),"")</f>
        <v/>
      </c>
    </row>
    <row r="37" spans="1:11" x14ac:dyDescent="0.3">
      <c r="A37">
        <v>3</v>
      </c>
      <c r="B37">
        <v>32</v>
      </c>
      <c r="C37" s="25">
        <f>Bracket!$I$25</f>
        <v>0</v>
      </c>
      <c r="D37" s="25">
        <f>Bracket!$I$33</f>
        <v>0</v>
      </c>
      <c r="E37" s="25">
        <f>Bracket!$L$29</f>
        <v>0</v>
      </c>
      <c r="F37" s="25">
        <f>Bracket!$K$29</f>
        <v>0</v>
      </c>
      <c r="G37" t="b">
        <f>AND(C37&lt;&gt;0, D37&lt;&gt;0, E37=0, H37&lt;&gt;TRUE )</f>
        <v>0</v>
      </c>
      <c r="J37" s="25" t="str">
        <f ca="1">_xlfn.IFNA(INDIRECT("PBracket!" &amp; ADDRESS(MATCH(C37,PBracket!C:C, 0),2)),"")</f>
        <v/>
      </c>
      <c r="K37" s="25" t="str">
        <f ca="1">_xlfn.IFNA(INDIRECT("PBracket!" &amp; ADDRESS(MATCH(D37,PBracket!C:C, 0),2)),"")</f>
        <v/>
      </c>
    </row>
    <row r="38" spans="1:11" x14ac:dyDescent="0.3">
      <c r="A38">
        <v>4</v>
      </c>
      <c r="B38">
        <v>33</v>
      </c>
      <c r="C38" s="25">
        <f>Bracket!$L$13</f>
        <v>0</v>
      </c>
      <c r="D38" s="25">
        <f>Bracket!$L$29</f>
        <v>0</v>
      </c>
      <c r="E38" s="25">
        <f>Bracket!$O$21</f>
        <v>0</v>
      </c>
      <c r="F38" s="25">
        <f>Bracket!$N$21</f>
        <v>0</v>
      </c>
      <c r="G38" t="b">
        <f>AND(C38&lt;&gt;0, D38&lt;&gt;0, E38=0, H38&lt;&gt;TRUE )</f>
        <v>0</v>
      </c>
      <c r="J38" s="25" t="str">
        <f ca="1">_xlfn.IFNA(INDIRECT("PBracket!" &amp; ADDRESS(MATCH(C38,PBracket!C:C, 0),2)),"")</f>
        <v/>
      </c>
      <c r="K38" s="25" t="str">
        <f ca="1">_xlfn.IFNA(INDIRECT("PBracket!" &amp; ADDRESS(MATCH(D38,PBracket!C:C, 0),2)),"")</f>
        <v/>
      </c>
    </row>
  </sheetData>
  <mergeCells count="4">
    <mergeCell ref="C1:G1"/>
    <mergeCell ref="C2:G2"/>
    <mergeCell ref="A1:B2"/>
    <mergeCell ref="E4:H4"/>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77635" r:id="rId4" name="Button 41411">
              <controlPr defaultSize="0" print="0" autoFill="0" autoPict="0" macro="[0]!PrintNewScoresheets">
                <anchor moveWithCells="1" sizeWithCells="1">
                  <from>
                    <xdr:col>4</xdr:col>
                    <xdr:colOff>0</xdr:colOff>
                    <xdr:row>3</xdr:row>
                    <xdr:rowOff>0</xdr:rowOff>
                  </from>
                  <to>
                    <xdr:col>4</xdr:col>
                    <xdr:colOff>1043940</xdr:colOff>
                    <xdr:row>4</xdr:row>
                    <xdr:rowOff>0</xdr:rowOff>
                  </to>
                </anchor>
              </controlPr>
            </control>
          </mc:Choice>
        </mc:AlternateContent>
        <mc:AlternateContent xmlns:mc="http://schemas.openxmlformats.org/markup-compatibility/2006">
          <mc:Choice Requires="x14">
            <control shapeId="477636" r:id="rId5" name="Button 41412">
              <controlPr defaultSize="0" print="0" autoFill="0" autoPict="0" macro="[0]!PrintAllScoreSheets">
                <anchor moveWithCells="1" sizeWithCells="1">
                  <from>
                    <xdr:col>4</xdr:col>
                    <xdr:colOff>1043940</xdr:colOff>
                    <xdr:row>3</xdr:row>
                    <xdr:rowOff>0</xdr:rowOff>
                  </from>
                  <to>
                    <xdr:col>5</xdr:col>
                    <xdr:colOff>320040</xdr:colOff>
                    <xdr:row>4</xdr:row>
                    <xdr:rowOff>0</xdr:rowOff>
                  </to>
                </anchor>
              </controlPr>
            </control>
          </mc:Choice>
        </mc:AlternateContent>
        <mc:AlternateContent xmlns:mc="http://schemas.openxmlformats.org/markup-compatibility/2006">
          <mc:Choice Requires="x14">
            <control shapeId="477637" r:id="rId6" name="Button 41413">
              <controlPr defaultSize="0" print="0" autoFill="0" autoPict="0" macro="[0]!SaveNewScoresheets">
                <anchor moveWithCells="1" sizeWithCells="1">
                  <from>
                    <xdr:col>5</xdr:col>
                    <xdr:colOff>320040</xdr:colOff>
                    <xdr:row>3</xdr:row>
                    <xdr:rowOff>0</xdr:rowOff>
                  </from>
                  <to>
                    <xdr:col>8</xdr:col>
                    <xdr:colOff>0</xdr:colOff>
                    <xdr:row>4</xdr:row>
                    <xdr:rowOff>0</xdr:rowOff>
                  </to>
                </anchor>
              </controlPr>
            </control>
          </mc:Choice>
        </mc:AlternateContent>
        <mc:AlternateContent xmlns:mc="http://schemas.openxmlformats.org/markup-compatibility/2006">
          <mc:Choice Requires="x14">
            <control shapeId="477638" r:id="rId7" name="Button 41414">
              <controlPr defaultSize="0" print="0" autoFill="0" autoPict="0" macro="[0]!SaveAllScoreSheets">
                <anchor moveWithCells="1" sizeWithCells="1">
                  <from>
                    <xdr:col>8</xdr:col>
                    <xdr:colOff>0</xdr:colOff>
                    <xdr:row>3</xdr:row>
                    <xdr:rowOff>0</xdr:rowOff>
                  </from>
                  <to>
                    <xdr:col>11</xdr:col>
                    <xdr:colOff>289560</xdr:colOff>
                    <xdr:row>4</xdr:row>
                    <xdr:rowOff>0</xdr:rowOff>
                  </to>
                </anchor>
              </controlPr>
            </control>
          </mc:Choice>
        </mc:AlternateContent>
        <mc:AlternateContent xmlns:mc="http://schemas.openxmlformats.org/markup-compatibility/2006">
          <mc:Choice Requires="x14">
            <control shapeId="477639" r:id="rId8" name="Button 41415">
              <controlPr defaultSize="0" print="0" autoFill="0" autoPict="0" macro="[0]!RefreshMatches">
                <anchor moveWithCells="1" sizeWithCells="1">
                  <from>
                    <xdr:col>11</xdr:col>
                    <xdr:colOff>289560</xdr:colOff>
                    <xdr:row>3</xdr:row>
                    <xdr:rowOff>0</xdr:rowOff>
                  </from>
                  <to>
                    <xdr:col>13</xdr:col>
                    <xdr:colOff>129540</xdr:colOff>
                    <xdr:row>4</xdr:row>
                    <xdr:rowOff>0</xdr:rowOff>
                  </to>
                </anchor>
              </controlPr>
            </control>
          </mc:Choice>
        </mc:AlternateContent>
        <mc:AlternateContent xmlns:mc="http://schemas.openxmlformats.org/markup-compatibility/2006">
          <mc:Choice Requires="x14">
            <control shapeId="477640" r:id="rId9" name="Check Box 41416">
              <controlPr defaultSize="0" autoFill="0" autoLine="0" autoPict="0">
                <anchor moveWithCells="1">
                  <from>
                    <xdr:col>8</xdr:col>
                    <xdr:colOff>0</xdr:colOff>
                    <xdr:row>5</xdr:row>
                    <xdr:rowOff>0</xdr:rowOff>
                  </from>
                  <to>
                    <xdr:col>9</xdr:col>
                    <xdr:colOff>45720</xdr:colOff>
                    <xdr:row>6</xdr:row>
                    <xdr:rowOff>30480</xdr:rowOff>
                  </to>
                </anchor>
              </controlPr>
            </control>
          </mc:Choice>
        </mc:AlternateContent>
        <mc:AlternateContent xmlns:mc="http://schemas.openxmlformats.org/markup-compatibility/2006">
          <mc:Choice Requires="x14">
            <control shapeId="477641" r:id="rId10" name="Check Box 41417">
              <controlPr defaultSize="0" autoFill="0" autoLine="0" autoPict="0">
                <anchor moveWithCells="1">
                  <from>
                    <xdr:col>8</xdr:col>
                    <xdr:colOff>0</xdr:colOff>
                    <xdr:row>6</xdr:row>
                    <xdr:rowOff>0</xdr:rowOff>
                  </from>
                  <to>
                    <xdr:col>9</xdr:col>
                    <xdr:colOff>45720</xdr:colOff>
                    <xdr:row>7</xdr:row>
                    <xdr:rowOff>30480</xdr:rowOff>
                  </to>
                </anchor>
              </controlPr>
            </control>
          </mc:Choice>
        </mc:AlternateContent>
        <mc:AlternateContent xmlns:mc="http://schemas.openxmlformats.org/markup-compatibility/2006">
          <mc:Choice Requires="x14">
            <control shapeId="477642" r:id="rId11" name="Check Box 41418">
              <controlPr defaultSize="0" autoFill="0" autoLine="0" autoPict="0">
                <anchor moveWithCells="1">
                  <from>
                    <xdr:col>8</xdr:col>
                    <xdr:colOff>0</xdr:colOff>
                    <xdr:row>7</xdr:row>
                    <xdr:rowOff>0</xdr:rowOff>
                  </from>
                  <to>
                    <xdr:col>9</xdr:col>
                    <xdr:colOff>45720</xdr:colOff>
                    <xdr:row>8</xdr:row>
                    <xdr:rowOff>30480</xdr:rowOff>
                  </to>
                </anchor>
              </controlPr>
            </control>
          </mc:Choice>
        </mc:AlternateContent>
        <mc:AlternateContent xmlns:mc="http://schemas.openxmlformats.org/markup-compatibility/2006">
          <mc:Choice Requires="x14">
            <control shapeId="477643" r:id="rId12" name="Check Box 41419">
              <controlPr defaultSize="0" autoFill="0" autoLine="0" autoPict="0">
                <anchor moveWithCells="1">
                  <from>
                    <xdr:col>8</xdr:col>
                    <xdr:colOff>0</xdr:colOff>
                    <xdr:row>8</xdr:row>
                    <xdr:rowOff>0</xdr:rowOff>
                  </from>
                  <to>
                    <xdr:col>9</xdr:col>
                    <xdr:colOff>45720</xdr:colOff>
                    <xdr:row>9</xdr:row>
                    <xdr:rowOff>30480</xdr:rowOff>
                  </to>
                </anchor>
              </controlPr>
            </control>
          </mc:Choice>
        </mc:AlternateContent>
        <mc:AlternateContent xmlns:mc="http://schemas.openxmlformats.org/markup-compatibility/2006">
          <mc:Choice Requires="x14">
            <control shapeId="477644" r:id="rId13" name="Check Box 41420">
              <controlPr defaultSize="0" autoFill="0" autoLine="0" autoPict="0">
                <anchor moveWithCells="1">
                  <from>
                    <xdr:col>8</xdr:col>
                    <xdr:colOff>0</xdr:colOff>
                    <xdr:row>9</xdr:row>
                    <xdr:rowOff>0</xdr:rowOff>
                  </from>
                  <to>
                    <xdr:col>9</xdr:col>
                    <xdr:colOff>45720</xdr:colOff>
                    <xdr:row>10</xdr:row>
                    <xdr:rowOff>30480</xdr:rowOff>
                  </to>
                </anchor>
              </controlPr>
            </control>
          </mc:Choice>
        </mc:AlternateContent>
        <mc:AlternateContent xmlns:mc="http://schemas.openxmlformats.org/markup-compatibility/2006">
          <mc:Choice Requires="x14">
            <control shapeId="477645" r:id="rId14" name="Check Box 41421">
              <controlPr defaultSize="0" autoFill="0" autoLine="0" autoPict="0">
                <anchor moveWithCells="1">
                  <from>
                    <xdr:col>8</xdr:col>
                    <xdr:colOff>0</xdr:colOff>
                    <xdr:row>10</xdr:row>
                    <xdr:rowOff>0</xdr:rowOff>
                  </from>
                  <to>
                    <xdr:col>9</xdr:col>
                    <xdr:colOff>45720</xdr:colOff>
                    <xdr:row>11</xdr:row>
                    <xdr:rowOff>30480</xdr:rowOff>
                  </to>
                </anchor>
              </controlPr>
            </control>
          </mc:Choice>
        </mc:AlternateContent>
        <mc:AlternateContent xmlns:mc="http://schemas.openxmlformats.org/markup-compatibility/2006">
          <mc:Choice Requires="x14">
            <control shapeId="477646" r:id="rId15" name="Check Box 41422">
              <controlPr defaultSize="0" autoFill="0" autoLine="0" autoPict="0">
                <anchor moveWithCells="1">
                  <from>
                    <xdr:col>8</xdr:col>
                    <xdr:colOff>0</xdr:colOff>
                    <xdr:row>11</xdr:row>
                    <xdr:rowOff>0</xdr:rowOff>
                  </from>
                  <to>
                    <xdr:col>9</xdr:col>
                    <xdr:colOff>45720</xdr:colOff>
                    <xdr:row>12</xdr:row>
                    <xdr:rowOff>30480</xdr:rowOff>
                  </to>
                </anchor>
              </controlPr>
            </control>
          </mc:Choice>
        </mc:AlternateContent>
        <mc:AlternateContent xmlns:mc="http://schemas.openxmlformats.org/markup-compatibility/2006">
          <mc:Choice Requires="x14">
            <control shapeId="477647" r:id="rId16" name="Check Box 41423">
              <controlPr defaultSize="0" autoFill="0" autoLine="0" autoPict="0">
                <anchor moveWithCells="1">
                  <from>
                    <xdr:col>8</xdr:col>
                    <xdr:colOff>0</xdr:colOff>
                    <xdr:row>12</xdr:row>
                    <xdr:rowOff>0</xdr:rowOff>
                  </from>
                  <to>
                    <xdr:col>9</xdr:col>
                    <xdr:colOff>45720</xdr:colOff>
                    <xdr:row>13</xdr:row>
                    <xdr:rowOff>30480</xdr:rowOff>
                  </to>
                </anchor>
              </controlPr>
            </control>
          </mc:Choice>
        </mc:AlternateContent>
        <mc:AlternateContent xmlns:mc="http://schemas.openxmlformats.org/markup-compatibility/2006">
          <mc:Choice Requires="x14">
            <control shapeId="477648" r:id="rId17" name="Check Box 41424">
              <controlPr defaultSize="0" autoFill="0" autoLine="0" autoPict="0">
                <anchor moveWithCells="1">
                  <from>
                    <xdr:col>8</xdr:col>
                    <xdr:colOff>0</xdr:colOff>
                    <xdr:row>13</xdr:row>
                    <xdr:rowOff>0</xdr:rowOff>
                  </from>
                  <to>
                    <xdr:col>9</xdr:col>
                    <xdr:colOff>45720</xdr:colOff>
                    <xdr:row>14</xdr:row>
                    <xdr:rowOff>30480</xdr:rowOff>
                  </to>
                </anchor>
              </controlPr>
            </control>
          </mc:Choice>
        </mc:AlternateContent>
        <mc:AlternateContent xmlns:mc="http://schemas.openxmlformats.org/markup-compatibility/2006">
          <mc:Choice Requires="x14">
            <control shapeId="477649" r:id="rId18" name="Check Box 41425">
              <controlPr defaultSize="0" autoFill="0" autoLine="0" autoPict="0">
                <anchor moveWithCells="1">
                  <from>
                    <xdr:col>8</xdr:col>
                    <xdr:colOff>0</xdr:colOff>
                    <xdr:row>14</xdr:row>
                    <xdr:rowOff>0</xdr:rowOff>
                  </from>
                  <to>
                    <xdr:col>9</xdr:col>
                    <xdr:colOff>45720</xdr:colOff>
                    <xdr:row>15</xdr:row>
                    <xdr:rowOff>30480</xdr:rowOff>
                  </to>
                </anchor>
              </controlPr>
            </control>
          </mc:Choice>
        </mc:AlternateContent>
        <mc:AlternateContent xmlns:mc="http://schemas.openxmlformats.org/markup-compatibility/2006">
          <mc:Choice Requires="x14">
            <control shapeId="477650" r:id="rId19" name="Check Box 41426">
              <controlPr defaultSize="0" autoFill="0" autoLine="0" autoPict="0">
                <anchor moveWithCells="1">
                  <from>
                    <xdr:col>8</xdr:col>
                    <xdr:colOff>0</xdr:colOff>
                    <xdr:row>15</xdr:row>
                    <xdr:rowOff>0</xdr:rowOff>
                  </from>
                  <to>
                    <xdr:col>9</xdr:col>
                    <xdr:colOff>45720</xdr:colOff>
                    <xdr:row>16</xdr:row>
                    <xdr:rowOff>30480</xdr:rowOff>
                  </to>
                </anchor>
              </controlPr>
            </control>
          </mc:Choice>
        </mc:AlternateContent>
        <mc:AlternateContent xmlns:mc="http://schemas.openxmlformats.org/markup-compatibility/2006">
          <mc:Choice Requires="x14">
            <control shapeId="477651" r:id="rId20" name="Check Box 41427">
              <controlPr defaultSize="0" autoFill="0" autoLine="0" autoPict="0">
                <anchor moveWithCells="1">
                  <from>
                    <xdr:col>8</xdr:col>
                    <xdr:colOff>0</xdr:colOff>
                    <xdr:row>16</xdr:row>
                    <xdr:rowOff>0</xdr:rowOff>
                  </from>
                  <to>
                    <xdr:col>9</xdr:col>
                    <xdr:colOff>45720</xdr:colOff>
                    <xdr:row>17</xdr:row>
                    <xdr:rowOff>30480</xdr:rowOff>
                  </to>
                </anchor>
              </controlPr>
            </control>
          </mc:Choice>
        </mc:AlternateContent>
        <mc:AlternateContent xmlns:mc="http://schemas.openxmlformats.org/markup-compatibility/2006">
          <mc:Choice Requires="x14">
            <control shapeId="477652" r:id="rId21" name="Check Box 41428">
              <controlPr defaultSize="0" autoFill="0" autoLine="0" autoPict="0">
                <anchor moveWithCells="1">
                  <from>
                    <xdr:col>8</xdr:col>
                    <xdr:colOff>0</xdr:colOff>
                    <xdr:row>17</xdr:row>
                    <xdr:rowOff>0</xdr:rowOff>
                  </from>
                  <to>
                    <xdr:col>9</xdr:col>
                    <xdr:colOff>45720</xdr:colOff>
                    <xdr:row>18</xdr:row>
                    <xdr:rowOff>30480</xdr:rowOff>
                  </to>
                </anchor>
              </controlPr>
            </control>
          </mc:Choice>
        </mc:AlternateContent>
        <mc:AlternateContent xmlns:mc="http://schemas.openxmlformats.org/markup-compatibility/2006">
          <mc:Choice Requires="x14">
            <control shapeId="477653" r:id="rId22" name="Check Box 41429">
              <controlPr defaultSize="0" autoFill="0" autoLine="0" autoPict="0">
                <anchor moveWithCells="1">
                  <from>
                    <xdr:col>8</xdr:col>
                    <xdr:colOff>0</xdr:colOff>
                    <xdr:row>18</xdr:row>
                    <xdr:rowOff>0</xdr:rowOff>
                  </from>
                  <to>
                    <xdr:col>9</xdr:col>
                    <xdr:colOff>45720</xdr:colOff>
                    <xdr:row>19</xdr:row>
                    <xdr:rowOff>30480</xdr:rowOff>
                  </to>
                </anchor>
              </controlPr>
            </control>
          </mc:Choice>
        </mc:AlternateContent>
        <mc:AlternateContent xmlns:mc="http://schemas.openxmlformats.org/markup-compatibility/2006">
          <mc:Choice Requires="x14">
            <control shapeId="477654" r:id="rId23" name="Check Box 41430">
              <controlPr defaultSize="0" autoFill="0" autoLine="0" autoPict="0">
                <anchor moveWithCells="1">
                  <from>
                    <xdr:col>8</xdr:col>
                    <xdr:colOff>0</xdr:colOff>
                    <xdr:row>19</xdr:row>
                    <xdr:rowOff>0</xdr:rowOff>
                  </from>
                  <to>
                    <xdr:col>9</xdr:col>
                    <xdr:colOff>45720</xdr:colOff>
                    <xdr:row>20</xdr:row>
                    <xdr:rowOff>30480</xdr:rowOff>
                  </to>
                </anchor>
              </controlPr>
            </control>
          </mc:Choice>
        </mc:AlternateContent>
        <mc:AlternateContent xmlns:mc="http://schemas.openxmlformats.org/markup-compatibility/2006">
          <mc:Choice Requires="x14">
            <control shapeId="477655" r:id="rId24" name="Check Box 41431">
              <controlPr defaultSize="0" autoFill="0" autoLine="0" autoPict="0">
                <anchor moveWithCells="1">
                  <from>
                    <xdr:col>8</xdr:col>
                    <xdr:colOff>0</xdr:colOff>
                    <xdr:row>20</xdr:row>
                    <xdr:rowOff>0</xdr:rowOff>
                  </from>
                  <to>
                    <xdr:col>9</xdr:col>
                    <xdr:colOff>45720</xdr:colOff>
                    <xdr:row>21</xdr:row>
                    <xdr:rowOff>30480</xdr:rowOff>
                  </to>
                </anchor>
              </controlPr>
            </control>
          </mc:Choice>
        </mc:AlternateContent>
        <mc:AlternateContent xmlns:mc="http://schemas.openxmlformats.org/markup-compatibility/2006">
          <mc:Choice Requires="x14">
            <control shapeId="477656" r:id="rId25" name="Check Box 41432">
              <controlPr defaultSize="0" autoFill="0" autoLine="0" autoPict="0">
                <anchor moveWithCells="1">
                  <from>
                    <xdr:col>8</xdr:col>
                    <xdr:colOff>0</xdr:colOff>
                    <xdr:row>21</xdr:row>
                    <xdr:rowOff>0</xdr:rowOff>
                  </from>
                  <to>
                    <xdr:col>9</xdr:col>
                    <xdr:colOff>45720</xdr:colOff>
                    <xdr:row>22</xdr:row>
                    <xdr:rowOff>30480</xdr:rowOff>
                  </to>
                </anchor>
              </controlPr>
            </control>
          </mc:Choice>
        </mc:AlternateContent>
        <mc:AlternateContent xmlns:mc="http://schemas.openxmlformats.org/markup-compatibility/2006">
          <mc:Choice Requires="x14">
            <control shapeId="477657" r:id="rId26" name="Check Box 41433">
              <controlPr defaultSize="0" autoFill="0" autoLine="0" autoPict="0">
                <anchor moveWithCells="1">
                  <from>
                    <xdr:col>8</xdr:col>
                    <xdr:colOff>0</xdr:colOff>
                    <xdr:row>22</xdr:row>
                    <xdr:rowOff>0</xdr:rowOff>
                  </from>
                  <to>
                    <xdr:col>9</xdr:col>
                    <xdr:colOff>45720</xdr:colOff>
                    <xdr:row>23</xdr:row>
                    <xdr:rowOff>30480</xdr:rowOff>
                  </to>
                </anchor>
              </controlPr>
            </control>
          </mc:Choice>
        </mc:AlternateContent>
        <mc:AlternateContent xmlns:mc="http://schemas.openxmlformats.org/markup-compatibility/2006">
          <mc:Choice Requires="x14">
            <control shapeId="477658" r:id="rId27" name="Check Box 41434">
              <controlPr defaultSize="0" autoFill="0" autoLine="0" autoPict="0">
                <anchor moveWithCells="1">
                  <from>
                    <xdr:col>8</xdr:col>
                    <xdr:colOff>0</xdr:colOff>
                    <xdr:row>23</xdr:row>
                    <xdr:rowOff>0</xdr:rowOff>
                  </from>
                  <to>
                    <xdr:col>9</xdr:col>
                    <xdr:colOff>45720</xdr:colOff>
                    <xdr:row>24</xdr:row>
                    <xdr:rowOff>30480</xdr:rowOff>
                  </to>
                </anchor>
              </controlPr>
            </control>
          </mc:Choice>
        </mc:AlternateContent>
        <mc:AlternateContent xmlns:mc="http://schemas.openxmlformats.org/markup-compatibility/2006">
          <mc:Choice Requires="x14">
            <control shapeId="477659" r:id="rId28" name="Check Box 41435">
              <controlPr defaultSize="0" autoFill="0" autoLine="0" autoPict="0">
                <anchor moveWithCells="1">
                  <from>
                    <xdr:col>8</xdr:col>
                    <xdr:colOff>0</xdr:colOff>
                    <xdr:row>24</xdr:row>
                    <xdr:rowOff>0</xdr:rowOff>
                  </from>
                  <to>
                    <xdr:col>9</xdr:col>
                    <xdr:colOff>45720</xdr:colOff>
                    <xdr:row>25</xdr:row>
                    <xdr:rowOff>30480</xdr:rowOff>
                  </to>
                </anchor>
              </controlPr>
            </control>
          </mc:Choice>
        </mc:AlternateContent>
        <mc:AlternateContent xmlns:mc="http://schemas.openxmlformats.org/markup-compatibility/2006">
          <mc:Choice Requires="x14">
            <control shapeId="477660" r:id="rId29" name="Check Box 41436">
              <controlPr defaultSize="0" autoFill="0" autoLine="0" autoPict="0">
                <anchor moveWithCells="1">
                  <from>
                    <xdr:col>8</xdr:col>
                    <xdr:colOff>0</xdr:colOff>
                    <xdr:row>25</xdr:row>
                    <xdr:rowOff>0</xdr:rowOff>
                  </from>
                  <to>
                    <xdr:col>9</xdr:col>
                    <xdr:colOff>45720</xdr:colOff>
                    <xdr:row>26</xdr:row>
                    <xdr:rowOff>30480</xdr:rowOff>
                  </to>
                </anchor>
              </controlPr>
            </control>
          </mc:Choice>
        </mc:AlternateContent>
        <mc:AlternateContent xmlns:mc="http://schemas.openxmlformats.org/markup-compatibility/2006">
          <mc:Choice Requires="x14">
            <control shapeId="477661" r:id="rId30" name="Check Box 41437">
              <controlPr defaultSize="0" autoFill="0" autoLine="0" autoPict="0">
                <anchor moveWithCells="1">
                  <from>
                    <xdr:col>8</xdr:col>
                    <xdr:colOff>0</xdr:colOff>
                    <xdr:row>26</xdr:row>
                    <xdr:rowOff>0</xdr:rowOff>
                  </from>
                  <to>
                    <xdr:col>9</xdr:col>
                    <xdr:colOff>45720</xdr:colOff>
                    <xdr:row>27</xdr:row>
                    <xdr:rowOff>30480</xdr:rowOff>
                  </to>
                </anchor>
              </controlPr>
            </control>
          </mc:Choice>
        </mc:AlternateContent>
        <mc:AlternateContent xmlns:mc="http://schemas.openxmlformats.org/markup-compatibility/2006">
          <mc:Choice Requires="x14">
            <control shapeId="477662" r:id="rId31" name="Check Box 41438">
              <controlPr defaultSize="0" disabled="1" autoFill="0" autoLine="0" autoPict="0">
                <anchor moveWithCells="1">
                  <from>
                    <xdr:col>8</xdr:col>
                    <xdr:colOff>0</xdr:colOff>
                    <xdr:row>27</xdr:row>
                    <xdr:rowOff>0</xdr:rowOff>
                  </from>
                  <to>
                    <xdr:col>9</xdr:col>
                    <xdr:colOff>45720</xdr:colOff>
                    <xdr:row>28</xdr:row>
                    <xdr:rowOff>30480</xdr:rowOff>
                  </to>
                </anchor>
              </controlPr>
            </control>
          </mc:Choice>
        </mc:AlternateContent>
        <mc:AlternateContent xmlns:mc="http://schemas.openxmlformats.org/markup-compatibility/2006">
          <mc:Choice Requires="x14">
            <control shapeId="477663" r:id="rId32" name="Check Box 41439">
              <controlPr defaultSize="0" disabled="1" autoFill="0" autoLine="0" autoPict="0">
                <anchor moveWithCells="1">
                  <from>
                    <xdr:col>8</xdr:col>
                    <xdr:colOff>0</xdr:colOff>
                    <xdr:row>28</xdr:row>
                    <xdr:rowOff>0</xdr:rowOff>
                  </from>
                  <to>
                    <xdr:col>9</xdr:col>
                    <xdr:colOff>45720</xdr:colOff>
                    <xdr:row>29</xdr:row>
                    <xdr:rowOff>30480</xdr:rowOff>
                  </to>
                </anchor>
              </controlPr>
            </control>
          </mc:Choice>
        </mc:AlternateContent>
        <mc:AlternateContent xmlns:mc="http://schemas.openxmlformats.org/markup-compatibility/2006">
          <mc:Choice Requires="x14">
            <control shapeId="477664" r:id="rId33" name="Check Box 41440">
              <controlPr defaultSize="0" disabled="1" autoFill="0" autoLine="0" autoPict="0">
                <anchor moveWithCells="1">
                  <from>
                    <xdr:col>8</xdr:col>
                    <xdr:colOff>0</xdr:colOff>
                    <xdr:row>29</xdr:row>
                    <xdr:rowOff>0</xdr:rowOff>
                  </from>
                  <to>
                    <xdr:col>9</xdr:col>
                    <xdr:colOff>45720</xdr:colOff>
                    <xdr:row>30</xdr:row>
                    <xdr:rowOff>30480</xdr:rowOff>
                  </to>
                </anchor>
              </controlPr>
            </control>
          </mc:Choice>
        </mc:AlternateContent>
        <mc:AlternateContent xmlns:mc="http://schemas.openxmlformats.org/markup-compatibility/2006">
          <mc:Choice Requires="x14">
            <control shapeId="477665" r:id="rId34" name="Check Box 41441">
              <controlPr defaultSize="0" disabled="1" autoFill="0" autoLine="0" autoPict="0">
                <anchor moveWithCells="1">
                  <from>
                    <xdr:col>8</xdr:col>
                    <xdr:colOff>0</xdr:colOff>
                    <xdr:row>30</xdr:row>
                    <xdr:rowOff>0</xdr:rowOff>
                  </from>
                  <to>
                    <xdr:col>9</xdr:col>
                    <xdr:colOff>45720</xdr:colOff>
                    <xdr:row>31</xdr:row>
                    <xdr:rowOff>30480</xdr:rowOff>
                  </to>
                </anchor>
              </controlPr>
            </control>
          </mc:Choice>
        </mc:AlternateContent>
        <mc:AlternateContent xmlns:mc="http://schemas.openxmlformats.org/markup-compatibility/2006">
          <mc:Choice Requires="x14">
            <control shapeId="477666" r:id="rId35" name="Check Box 41442">
              <controlPr defaultSize="0" disabled="1" autoFill="0" autoLine="0" autoPict="0">
                <anchor moveWithCells="1">
                  <from>
                    <xdr:col>8</xdr:col>
                    <xdr:colOff>0</xdr:colOff>
                    <xdr:row>31</xdr:row>
                    <xdr:rowOff>0</xdr:rowOff>
                  </from>
                  <to>
                    <xdr:col>9</xdr:col>
                    <xdr:colOff>45720</xdr:colOff>
                    <xdr:row>32</xdr:row>
                    <xdr:rowOff>30480</xdr:rowOff>
                  </to>
                </anchor>
              </controlPr>
            </control>
          </mc:Choice>
        </mc:AlternateContent>
        <mc:AlternateContent xmlns:mc="http://schemas.openxmlformats.org/markup-compatibility/2006">
          <mc:Choice Requires="x14">
            <control shapeId="477667" r:id="rId36" name="Check Box 41443">
              <controlPr defaultSize="0" disabled="1" autoFill="0" autoLine="0" autoPict="0">
                <anchor moveWithCells="1">
                  <from>
                    <xdr:col>8</xdr:col>
                    <xdr:colOff>0</xdr:colOff>
                    <xdr:row>32</xdr:row>
                    <xdr:rowOff>0</xdr:rowOff>
                  </from>
                  <to>
                    <xdr:col>9</xdr:col>
                    <xdr:colOff>45720</xdr:colOff>
                    <xdr:row>33</xdr:row>
                    <xdr:rowOff>30480</xdr:rowOff>
                  </to>
                </anchor>
              </controlPr>
            </control>
          </mc:Choice>
        </mc:AlternateContent>
        <mc:AlternateContent xmlns:mc="http://schemas.openxmlformats.org/markup-compatibility/2006">
          <mc:Choice Requires="x14">
            <control shapeId="477668" r:id="rId37" name="Check Box 41444">
              <controlPr defaultSize="0" disabled="1" autoFill="0" autoLine="0" autoPict="0">
                <anchor moveWithCells="1">
                  <from>
                    <xdr:col>8</xdr:col>
                    <xdr:colOff>0</xdr:colOff>
                    <xdr:row>33</xdr:row>
                    <xdr:rowOff>0</xdr:rowOff>
                  </from>
                  <to>
                    <xdr:col>9</xdr:col>
                    <xdr:colOff>45720</xdr:colOff>
                    <xdr:row>34</xdr:row>
                    <xdr:rowOff>30480</xdr:rowOff>
                  </to>
                </anchor>
              </controlPr>
            </control>
          </mc:Choice>
        </mc:AlternateContent>
        <mc:AlternateContent xmlns:mc="http://schemas.openxmlformats.org/markup-compatibility/2006">
          <mc:Choice Requires="x14">
            <control shapeId="477669" r:id="rId38" name="Check Box 41445">
              <controlPr defaultSize="0" disabled="1" autoFill="0" autoLine="0" autoPict="0">
                <anchor moveWithCells="1">
                  <from>
                    <xdr:col>8</xdr:col>
                    <xdr:colOff>0</xdr:colOff>
                    <xdr:row>34</xdr:row>
                    <xdr:rowOff>0</xdr:rowOff>
                  </from>
                  <to>
                    <xdr:col>9</xdr:col>
                    <xdr:colOff>45720</xdr:colOff>
                    <xdr:row>35</xdr:row>
                    <xdr:rowOff>30480</xdr:rowOff>
                  </to>
                </anchor>
              </controlPr>
            </control>
          </mc:Choice>
        </mc:AlternateContent>
        <mc:AlternateContent xmlns:mc="http://schemas.openxmlformats.org/markup-compatibility/2006">
          <mc:Choice Requires="x14">
            <control shapeId="477670" r:id="rId39" name="Check Box 41446">
              <controlPr defaultSize="0" disabled="1" autoFill="0" autoLine="0" autoPict="0">
                <anchor moveWithCells="1">
                  <from>
                    <xdr:col>8</xdr:col>
                    <xdr:colOff>0</xdr:colOff>
                    <xdr:row>35</xdr:row>
                    <xdr:rowOff>0</xdr:rowOff>
                  </from>
                  <to>
                    <xdr:col>9</xdr:col>
                    <xdr:colOff>45720</xdr:colOff>
                    <xdr:row>36</xdr:row>
                    <xdr:rowOff>30480</xdr:rowOff>
                  </to>
                </anchor>
              </controlPr>
            </control>
          </mc:Choice>
        </mc:AlternateContent>
        <mc:AlternateContent xmlns:mc="http://schemas.openxmlformats.org/markup-compatibility/2006">
          <mc:Choice Requires="x14">
            <control shapeId="477671" r:id="rId40" name="Check Box 41447">
              <controlPr defaultSize="0" disabled="1" autoFill="0" autoLine="0" autoPict="0">
                <anchor moveWithCells="1">
                  <from>
                    <xdr:col>8</xdr:col>
                    <xdr:colOff>0</xdr:colOff>
                    <xdr:row>36</xdr:row>
                    <xdr:rowOff>0</xdr:rowOff>
                  </from>
                  <to>
                    <xdr:col>9</xdr:col>
                    <xdr:colOff>45720</xdr:colOff>
                    <xdr:row>37</xdr:row>
                    <xdr:rowOff>30480</xdr:rowOff>
                  </to>
                </anchor>
              </controlPr>
            </control>
          </mc:Choice>
        </mc:AlternateContent>
        <mc:AlternateContent xmlns:mc="http://schemas.openxmlformats.org/markup-compatibility/2006">
          <mc:Choice Requires="x14">
            <control shapeId="477672" r:id="rId41" name="Check Box 41448">
              <controlPr defaultSize="0" disabled="1" autoFill="0" autoLine="0" autoPict="0">
                <anchor moveWithCells="1">
                  <from>
                    <xdr:col>8</xdr:col>
                    <xdr:colOff>0</xdr:colOff>
                    <xdr:row>37</xdr:row>
                    <xdr:rowOff>0</xdr:rowOff>
                  </from>
                  <to>
                    <xdr:col>9</xdr:col>
                    <xdr:colOff>45720</xdr:colOff>
                    <xdr:row>38</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15D7-A441-40FA-90CF-FC71C961FA4B}">
  <sheetPr codeName="Sheet9"/>
  <dimension ref="A1:AA132"/>
  <sheetViews>
    <sheetView showGridLines="0" topLeftCell="D11" zoomScale="66" workbookViewId="0">
      <selection activeCell="H21" sqref="H21"/>
    </sheetView>
  </sheetViews>
  <sheetFormatPr defaultRowHeight="14.4" x14ac:dyDescent="0.3"/>
  <cols>
    <col min="3" max="3" width="7" bestFit="1" customWidth="1"/>
    <col min="4" max="4" width="31.5546875" bestFit="1" customWidth="1"/>
    <col min="5" max="5" width="14.21875" bestFit="1" customWidth="1"/>
    <col min="6" max="6" width="7.88671875" bestFit="1" customWidth="1"/>
    <col min="8" max="8" width="14.5546875" bestFit="1" customWidth="1"/>
    <col min="9" max="9" width="37.109375" bestFit="1" customWidth="1"/>
    <col min="10" max="10" width="11.21875" bestFit="1" customWidth="1"/>
    <col min="11" max="11" width="7.88671875" bestFit="1" customWidth="1"/>
    <col min="13" max="13" width="14.5546875" bestFit="1" customWidth="1"/>
    <col min="14" max="14" width="31.5546875" bestFit="1" customWidth="1"/>
    <col min="15" max="15" width="11.21875" bestFit="1" customWidth="1"/>
    <col min="16" max="16" width="7.88671875" bestFit="1" customWidth="1"/>
    <col min="18" max="18" width="14.5546875" bestFit="1" customWidth="1"/>
    <col min="19" max="19" width="31.77734375" bestFit="1" customWidth="1"/>
    <col min="20" max="20" width="11.21875" bestFit="1" customWidth="1"/>
    <col min="21" max="21" width="7.88671875" bestFit="1" customWidth="1"/>
    <col min="23" max="23" width="14.5546875" bestFit="1" customWidth="1"/>
    <col min="24" max="24" width="31.5546875" bestFit="1" customWidth="1"/>
    <col min="25" max="25" width="15.5546875" bestFit="1" customWidth="1"/>
    <col min="26" max="26" width="7.88671875" bestFit="1" customWidth="1"/>
    <col min="28" max="28" width="14.5546875" bestFit="1" customWidth="1"/>
    <col min="29" max="29" width="38" bestFit="1" customWidth="1"/>
    <col min="30" max="30" width="15.5546875" bestFit="1" customWidth="1"/>
    <col min="31" max="31" width="7.88671875" bestFit="1" customWidth="1"/>
    <col min="33" max="33" width="11.21875" bestFit="1" customWidth="1"/>
    <col min="34" max="34" width="28.21875" bestFit="1" customWidth="1"/>
    <col min="35" max="35" width="11.21875" bestFit="1" customWidth="1"/>
    <col min="36" max="36" width="7.88671875" bestFit="1" customWidth="1"/>
    <col min="38" max="38" width="14.109375" bestFit="1" customWidth="1"/>
    <col min="39" max="39" width="35" bestFit="1" customWidth="1"/>
    <col min="40" max="40" width="11.21875" bestFit="1" customWidth="1"/>
    <col min="41" max="41" width="7.88671875" bestFit="1" customWidth="1"/>
    <col min="43" max="43" width="14.109375" bestFit="1" customWidth="1"/>
    <col min="44" max="44" width="35" bestFit="1" customWidth="1"/>
    <col min="45" max="45" width="11.21875" bestFit="1" customWidth="1"/>
    <col min="46" max="46" width="7.88671875" bestFit="1" customWidth="1"/>
    <col min="48" max="48" width="14.109375" bestFit="1" customWidth="1"/>
    <col min="49" max="49" width="35" bestFit="1" customWidth="1"/>
    <col min="50" max="50" width="11.21875" bestFit="1" customWidth="1"/>
    <col min="51" max="51" width="7.88671875" bestFit="1" customWidth="1"/>
    <col min="53" max="53" width="14.109375" bestFit="1" customWidth="1"/>
    <col min="54" max="54" width="29.5546875" bestFit="1" customWidth="1"/>
    <col min="55" max="55" width="11.21875" bestFit="1" customWidth="1"/>
    <col min="56" max="56" width="7.88671875" bestFit="1" customWidth="1"/>
    <col min="58" max="58" width="14.5546875" bestFit="1" customWidth="1"/>
    <col min="59" max="59" width="31.77734375" bestFit="1" customWidth="1"/>
    <col min="60" max="60" width="17" bestFit="1" customWidth="1"/>
    <col min="61" max="61" width="7.88671875" bestFit="1" customWidth="1"/>
  </cols>
  <sheetData>
    <row r="1" spans="1:27" ht="18" x14ac:dyDescent="0.35">
      <c r="A1" s="161" t="e" vm="1">
        <f>'General Inputs'!B7</f>
        <v>#VALUE!</v>
      </c>
      <c r="B1" s="161"/>
      <c r="C1" s="183" t="s">
        <v>1042</v>
      </c>
      <c r="D1" s="183"/>
      <c r="E1" s="183"/>
      <c r="F1" s="183"/>
      <c r="G1" s="183"/>
    </row>
    <row r="2" spans="1:27" x14ac:dyDescent="0.3">
      <c r="A2" s="182"/>
      <c r="B2" s="182"/>
      <c r="C2" s="182"/>
      <c r="D2" s="182"/>
      <c r="E2" s="182"/>
      <c r="F2" s="182"/>
      <c r="G2" s="182"/>
    </row>
    <row r="3" spans="1:27" ht="21" x14ac:dyDescent="0.4">
      <c r="A3" s="6"/>
      <c r="B3" s="6"/>
      <c r="C3" s="108" t="s">
        <v>304</v>
      </c>
      <c r="D3" s="6"/>
      <c r="E3" s="6"/>
      <c r="F3" s="6"/>
      <c r="G3" s="6"/>
      <c r="H3" s="49" t="s">
        <v>869</v>
      </c>
      <c r="I3" s="6"/>
      <c r="J3" s="6"/>
      <c r="K3" s="6"/>
      <c r="L3" s="6"/>
      <c r="M3" s="49" t="s">
        <v>1050</v>
      </c>
      <c r="N3" s="6"/>
      <c r="O3" s="6"/>
      <c r="P3" s="6"/>
      <c r="Q3" s="6"/>
      <c r="R3" s="6"/>
      <c r="S3" s="6"/>
      <c r="T3" s="6"/>
      <c r="U3" s="6"/>
      <c r="V3" s="6"/>
      <c r="W3" s="6"/>
      <c r="X3" s="6"/>
      <c r="Y3" s="6"/>
      <c r="Z3" s="6"/>
      <c r="AA3" s="6"/>
    </row>
    <row r="4" spans="1:27" ht="18" x14ac:dyDescent="0.35">
      <c r="C4" s="93" t="s">
        <v>10</v>
      </c>
      <c r="D4" s="94" t="s">
        <v>11</v>
      </c>
      <c r="E4" s="94" t="s">
        <v>13</v>
      </c>
      <c r="F4" s="95" t="s">
        <v>12</v>
      </c>
      <c r="H4" s="93" t="s">
        <v>10</v>
      </c>
      <c r="I4" s="94" t="s">
        <v>11</v>
      </c>
      <c r="J4" s="94" t="s">
        <v>13</v>
      </c>
      <c r="K4" s="95" t="s">
        <v>12</v>
      </c>
      <c r="M4" s="93" t="s">
        <v>10</v>
      </c>
      <c r="N4" s="94" t="s">
        <v>11</v>
      </c>
      <c r="O4" s="94" t="s">
        <v>13</v>
      </c>
      <c r="P4" s="95" t="s">
        <v>12</v>
      </c>
    </row>
    <row r="5" spans="1:27" ht="23.4" x14ac:dyDescent="0.45">
      <c r="C5" s="96">
        <v>1</v>
      </c>
      <c r="D5" s="97" t="s">
        <v>411</v>
      </c>
      <c r="E5" s="97" t="s">
        <v>1069</v>
      </c>
      <c r="F5" s="98">
        <v>1</v>
      </c>
      <c r="H5" s="96">
        <v>1</v>
      </c>
      <c r="I5" s="97" t="s">
        <v>97</v>
      </c>
      <c r="J5" s="97" t="s">
        <v>1069</v>
      </c>
      <c r="K5" s="98">
        <v>1</v>
      </c>
      <c r="M5" s="96">
        <v>1</v>
      </c>
      <c r="N5" s="97" t="s">
        <v>454</v>
      </c>
      <c r="O5" s="97" t="s">
        <v>1070</v>
      </c>
      <c r="P5" s="98">
        <v>1</v>
      </c>
    </row>
    <row r="6" spans="1:27" ht="23.4" x14ac:dyDescent="0.45">
      <c r="C6" s="96">
        <v>2</v>
      </c>
      <c r="D6" s="97" t="s">
        <v>1292</v>
      </c>
      <c r="E6" s="97" t="s">
        <v>1074</v>
      </c>
      <c r="F6" s="99">
        <v>1</v>
      </c>
      <c r="H6" s="96">
        <v>2</v>
      </c>
      <c r="I6" s="97" t="s">
        <v>560</v>
      </c>
      <c r="J6" s="97" t="s">
        <v>1074</v>
      </c>
      <c r="K6" s="99">
        <v>1</v>
      </c>
      <c r="M6" s="96">
        <v>2</v>
      </c>
      <c r="N6" s="97" t="s">
        <v>84</v>
      </c>
      <c r="O6" s="97" t="s">
        <v>1069</v>
      </c>
      <c r="P6" s="99">
        <v>1</v>
      </c>
    </row>
    <row r="7" spans="1:27" ht="23.4" x14ac:dyDescent="0.45">
      <c r="C7" s="96">
        <v>3</v>
      </c>
      <c r="D7" s="97" t="s">
        <v>1338</v>
      </c>
      <c r="E7" s="97" t="s">
        <v>1070</v>
      </c>
      <c r="F7" s="100">
        <v>2</v>
      </c>
      <c r="H7" s="96">
        <v>3</v>
      </c>
      <c r="I7" s="97" t="s">
        <v>512</v>
      </c>
      <c r="J7" s="97" t="s">
        <v>1068</v>
      </c>
      <c r="K7" s="100">
        <v>1</v>
      </c>
      <c r="M7" s="96">
        <v>3</v>
      </c>
      <c r="N7" s="97" t="s">
        <v>1226</v>
      </c>
      <c r="O7" s="97" t="s">
        <v>1070</v>
      </c>
      <c r="P7" s="100">
        <v>1</v>
      </c>
    </row>
    <row r="8" spans="1:27" ht="23.4" x14ac:dyDescent="0.45">
      <c r="C8" s="96">
        <v>4</v>
      </c>
      <c r="D8" s="97" t="s">
        <v>1304</v>
      </c>
      <c r="E8" s="97" t="s">
        <v>1072</v>
      </c>
      <c r="F8" s="100">
        <v>1</v>
      </c>
      <c r="H8" s="96">
        <v>4</v>
      </c>
      <c r="I8" s="97" t="s">
        <v>526</v>
      </c>
      <c r="J8" s="97" t="s">
        <v>1167</v>
      </c>
      <c r="K8" s="100">
        <v>2</v>
      </c>
      <c r="M8" s="96">
        <v>4</v>
      </c>
      <c r="N8" s="97" t="s">
        <v>1142</v>
      </c>
      <c r="O8" s="97" t="s">
        <v>1065</v>
      </c>
      <c r="P8" s="100">
        <v>2</v>
      </c>
    </row>
    <row r="9" spans="1:27" ht="23.4" x14ac:dyDescent="0.45">
      <c r="C9" s="96">
        <v>5</v>
      </c>
      <c r="D9" s="97" t="s">
        <v>352</v>
      </c>
      <c r="E9" s="97" t="s">
        <v>1069</v>
      </c>
      <c r="F9" s="101">
        <v>2</v>
      </c>
      <c r="H9" s="96">
        <v>5</v>
      </c>
      <c r="I9" s="97" t="s">
        <v>1310</v>
      </c>
      <c r="J9" s="97" t="s">
        <v>1069</v>
      </c>
      <c r="K9" s="101">
        <v>2</v>
      </c>
      <c r="M9" s="96">
        <v>5</v>
      </c>
      <c r="N9" s="97" t="s">
        <v>1201</v>
      </c>
      <c r="O9" s="97" t="s">
        <v>1069</v>
      </c>
      <c r="P9" s="101">
        <v>1</v>
      </c>
    </row>
    <row r="10" spans="1:27" ht="23.4" x14ac:dyDescent="0.45">
      <c r="C10" s="96">
        <v>6</v>
      </c>
      <c r="D10" s="97" t="s">
        <v>1256</v>
      </c>
      <c r="E10" s="97" t="s">
        <v>1167</v>
      </c>
      <c r="F10" s="101">
        <v>1</v>
      </c>
      <c r="H10" s="96">
        <v>6</v>
      </c>
      <c r="I10" s="97" t="s">
        <v>1207</v>
      </c>
      <c r="J10" s="97" t="s">
        <v>1167</v>
      </c>
      <c r="K10" s="101">
        <v>3</v>
      </c>
      <c r="M10" s="96">
        <v>6</v>
      </c>
      <c r="N10" s="97" t="s">
        <v>1317</v>
      </c>
      <c r="O10" s="97" t="s">
        <v>1074</v>
      </c>
      <c r="P10" s="101">
        <v>2</v>
      </c>
    </row>
    <row r="11" spans="1:27" ht="23.4" x14ac:dyDescent="0.45">
      <c r="C11" s="96">
        <v>7</v>
      </c>
      <c r="D11" s="97" t="s">
        <v>1313</v>
      </c>
      <c r="E11" s="97" t="s">
        <v>1071</v>
      </c>
      <c r="F11" s="101">
        <v>3</v>
      </c>
      <c r="H11" s="96">
        <v>7</v>
      </c>
      <c r="I11" s="97" t="s">
        <v>454</v>
      </c>
      <c r="J11" s="97" t="s">
        <v>1070</v>
      </c>
      <c r="K11" s="101">
        <v>4</v>
      </c>
      <c r="M11" s="96">
        <v>7</v>
      </c>
      <c r="N11" s="97" t="s">
        <v>1200</v>
      </c>
      <c r="O11" s="97" t="s">
        <v>1074</v>
      </c>
      <c r="P11" s="101">
        <v>3</v>
      </c>
    </row>
    <row r="12" spans="1:27" ht="23.4" x14ac:dyDescent="0.45">
      <c r="C12" s="96">
        <v>8</v>
      </c>
      <c r="D12" s="97" t="s">
        <v>91</v>
      </c>
      <c r="E12" s="97" t="s">
        <v>1072</v>
      </c>
      <c r="F12" s="101">
        <v>4</v>
      </c>
      <c r="H12" s="96">
        <v>8</v>
      </c>
      <c r="I12" s="97" t="s">
        <v>1262</v>
      </c>
      <c r="J12" s="97" t="s">
        <v>1167</v>
      </c>
      <c r="K12" s="101">
        <v>1</v>
      </c>
      <c r="M12" s="96">
        <v>8</v>
      </c>
      <c r="N12" s="97" t="s">
        <v>1234</v>
      </c>
      <c r="O12" s="97" t="s">
        <v>1065</v>
      </c>
      <c r="P12" s="101">
        <v>4</v>
      </c>
    </row>
    <row r="13" spans="1:27" ht="23.4" x14ac:dyDescent="0.45">
      <c r="C13" s="96">
        <v>9</v>
      </c>
      <c r="D13" s="97" t="s">
        <v>506</v>
      </c>
      <c r="E13" s="97" t="s">
        <v>1069</v>
      </c>
      <c r="F13" s="102">
        <v>6</v>
      </c>
      <c r="H13" s="96">
        <v>9</v>
      </c>
      <c r="I13" s="97" t="s">
        <v>1059</v>
      </c>
      <c r="J13" s="97" t="s">
        <v>1071</v>
      </c>
      <c r="K13" s="102">
        <v>6</v>
      </c>
      <c r="M13" s="96">
        <v>9</v>
      </c>
      <c r="N13" s="97" t="s">
        <v>1138</v>
      </c>
      <c r="O13" s="97" t="s">
        <v>1066</v>
      </c>
      <c r="P13" s="102">
        <v>1</v>
      </c>
    </row>
    <row r="14" spans="1:27" ht="23.4" x14ac:dyDescent="0.45">
      <c r="C14" s="96">
        <v>10</v>
      </c>
      <c r="D14" s="97" t="s">
        <v>418</v>
      </c>
      <c r="E14" s="97" t="s">
        <v>1069</v>
      </c>
      <c r="F14" s="102">
        <v>1</v>
      </c>
      <c r="H14" s="96">
        <v>10</v>
      </c>
      <c r="I14" s="97" t="s">
        <v>1138</v>
      </c>
      <c r="J14" s="97" t="s">
        <v>1066</v>
      </c>
      <c r="K14" s="102">
        <v>1</v>
      </c>
      <c r="M14" s="96">
        <v>10</v>
      </c>
      <c r="N14" s="97" t="s">
        <v>1117</v>
      </c>
      <c r="O14" s="97" t="s">
        <v>1067</v>
      </c>
      <c r="P14" s="102">
        <v>2</v>
      </c>
    </row>
    <row r="15" spans="1:27" ht="23.4" x14ac:dyDescent="0.45">
      <c r="C15" s="96">
        <v>11</v>
      </c>
      <c r="D15" s="97" t="s">
        <v>1129</v>
      </c>
      <c r="E15" s="97" t="s">
        <v>1066</v>
      </c>
      <c r="F15" s="102">
        <v>2</v>
      </c>
      <c r="H15" s="96">
        <v>11</v>
      </c>
      <c r="I15" s="97" t="s">
        <v>1317</v>
      </c>
      <c r="J15" s="97" t="s">
        <v>1074</v>
      </c>
      <c r="K15" s="102">
        <v>3</v>
      </c>
      <c r="M15" s="96">
        <v>11</v>
      </c>
      <c r="N15" s="97" t="s">
        <v>1232</v>
      </c>
      <c r="O15" s="97" t="s">
        <v>1071</v>
      </c>
      <c r="P15" s="102">
        <v>3</v>
      </c>
    </row>
    <row r="16" spans="1:27" ht="23.4" x14ac:dyDescent="0.45">
      <c r="C16" s="96">
        <v>12</v>
      </c>
      <c r="D16" s="97" t="s">
        <v>1307</v>
      </c>
      <c r="E16" s="97" t="s">
        <v>1067</v>
      </c>
      <c r="F16" s="102">
        <v>7</v>
      </c>
      <c r="H16" s="96">
        <v>12</v>
      </c>
      <c r="I16" s="97" t="s">
        <v>1226</v>
      </c>
      <c r="J16" s="97" t="s">
        <v>1070</v>
      </c>
      <c r="K16" s="102">
        <v>7</v>
      </c>
      <c r="M16" s="96">
        <v>12</v>
      </c>
      <c r="N16" s="97" t="s">
        <v>1261</v>
      </c>
      <c r="O16" s="97" t="s">
        <v>1072</v>
      </c>
      <c r="P16" s="102">
        <v>4</v>
      </c>
    </row>
    <row r="17" spans="3:16" ht="23.4" x14ac:dyDescent="0.45">
      <c r="C17" s="96">
        <v>13</v>
      </c>
      <c r="D17" s="97" t="s">
        <v>1213</v>
      </c>
      <c r="E17" s="97" t="s">
        <v>1167</v>
      </c>
      <c r="F17" s="102">
        <v>3</v>
      </c>
      <c r="H17" s="96">
        <v>13</v>
      </c>
      <c r="I17" s="97" t="s">
        <v>1200</v>
      </c>
      <c r="J17" s="97" t="s">
        <v>1074</v>
      </c>
      <c r="K17" s="102">
        <v>4</v>
      </c>
      <c r="M17" s="96">
        <v>13</v>
      </c>
      <c r="N17" s="97" t="s">
        <v>1109</v>
      </c>
      <c r="O17" s="97" t="s">
        <v>1072</v>
      </c>
      <c r="P17" s="102">
        <v>5</v>
      </c>
    </row>
    <row r="18" spans="3:16" ht="23.4" x14ac:dyDescent="0.45">
      <c r="C18" s="96">
        <v>14</v>
      </c>
      <c r="D18" s="97" t="s">
        <v>1314</v>
      </c>
      <c r="E18" s="97" t="s">
        <v>1072</v>
      </c>
      <c r="F18" s="102">
        <v>4</v>
      </c>
      <c r="H18" s="96">
        <v>14</v>
      </c>
      <c r="I18" s="97" t="s">
        <v>1303</v>
      </c>
      <c r="J18" s="97" t="s">
        <v>1067</v>
      </c>
      <c r="K18" s="102">
        <v>2</v>
      </c>
      <c r="M18" s="96">
        <v>14</v>
      </c>
      <c r="N18" s="97" t="s">
        <v>1057</v>
      </c>
      <c r="O18" s="97" t="s">
        <v>1067</v>
      </c>
      <c r="P18" s="102">
        <v>8</v>
      </c>
    </row>
    <row r="19" spans="3:16" ht="23.4" x14ac:dyDescent="0.45">
      <c r="C19" s="96">
        <v>15</v>
      </c>
      <c r="D19" s="97" t="s">
        <v>793</v>
      </c>
      <c r="E19" s="97" t="s">
        <v>1072</v>
      </c>
      <c r="F19" s="102">
        <v>8</v>
      </c>
      <c r="H19" s="96">
        <v>15</v>
      </c>
      <c r="I19" s="97" t="s">
        <v>84</v>
      </c>
      <c r="J19" s="97" t="s">
        <v>1069</v>
      </c>
      <c r="K19" s="102">
        <v>8</v>
      </c>
      <c r="M19" s="96">
        <v>15</v>
      </c>
      <c r="N19" s="97" t="s">
        <v>436</v>
      </c>
      <c r="O19" s="97" t="s">
        <v>1069</v>
      </c>
      <c r="P19" s="102">
        <v>6</v>
      </c>
    </row>
    <row r="20" spans="3:16" ht="23.4" x14ac:dyDescent="0.45">
      <c r="C20" s="96">
        <v>16</v>
      </c>
      <c r="D20" s="97" t="s">
        <v>691</v>
      </c>
      <c r="E20" s="97" t="s">
        <v>1069</v>
      </c>
      <c r="F20" s="102">
        <v>5</v>
      </c>
      <c r="H20" s="96">
        <v>16</v>
      </c>
      <c r="I20" s="97" t="s">
        <v>140</v>
      </c>
      <c r="J20" s="97" t="s">
        <v>1072</v>
      </c>
      <c r="K20" s="102">
        <v>5</v>
      </c>
      <c r="M20" s="96">
        <v>16</v>
      </c>
      <c r="N20" s="97" t="s">
        <v>905</v>
      </c>
      <c r="O20" s="97" t="s">
        <v>1071</v>
      </c>
      <c r="P20" s="102">
        <v>7</v>
      </c>
    </row>
    <row r="21" spans="3:16" ht="21" x14ac:dyDescent="0.4">
      <c r="C21" s="96">
        <v>17</v>
      </c>
      <c r="D21" s="97" t="s">
        <v>127</v>
      </c>
      <c r="E21" s="97" t="s">
        <v>1072</v>
      </c>
      <c r="F21" s="103">
        <v>2</v>
      </c>
      <c r="H21" s="96">
        <v>17</v>
      </c>
      <c r="I21" s="97" t="s">
        <v>1206</v>
      </c>
      <c r="J21" s="97" t="s">
        <v>1069</v>
      </c>
      <c r="K21" s="103">
        <v>7</v>
      </c>
      <c r="M21" s="96">
        <v>17</v>
      </c>
      <c r="N21" s="97" t="s">
        <v>1223</v>
      </c>
      <c r="O21" s="97" t="s">
        <v>1071</v>
      </c>
      <c r="P21" s="103">
        <v>6</v>
      </c>
    </row>
    <row r="22" spans="3:16" ht="21" x14ac:dyDescent="0.4">
      <c r="C22" s="96">
        <v>18</v>
      </c>
      <c r="D22" s="97" t="s">
        <v>347</v>
      </c>
      <c r="E22" s="97" t="s">
        <v>1167</v>
      </c>
      <c r="F22" s="103">
        <v>4</v>
      </c>
      <c r="H22" s="96">
        <v>18</v>
      </c>
      <c r="I22" s="97" t="s">
        <v>1235</v>
      </c>
      <c r="J22" s="97" t="s">
        <v>1069</v>
      </c>
      <c r="K22" s="103">
        <v>3</v>
      </c>
      <c r="M22" s="96">
        <v>18</v>
      </c>
      <c r="N22" s="97" t="s">
        <v>1166</v>
      </c>
      <c r="O22" s="97" t="s">
        <v>1067</v>
      </c>
      <c r="P22" s="103">
        <v>14</v>
      </c>
    </row>
    <row r="23" spans="3:16" ht="21" x14ac:dyDescent="0.4">
      <c r="C23" s="96">
        <v>19</v>
      </c>
      <c r="D23" s="97" t="s">
        <v>1249</v>
      </c>
      <c r="E23" s="97" t="s">
        <v>1072</v>
      </c>
      <c r="F23" s="103">
        <v>10</v>
      </c>
      <c r="H23" s="96">
        <v>19</v>
      </c>
      <c r="I23" s="97" t="s">
        <v>1201</v>
      </c>
      <c r="J23" s="97" t="s">
        <v>1069</v>
      </c>
      <c r="K23" s="103">
        <v>6</v>
      </c>
      <c r="M23" s="96">
        <v>19</v>
      </c>
      <c r="N23" s="97" t="s">
        <v>1191</v>
      </c>
      <c r="O23" s="97" t="s">
        <v>1065</v>
      </c>
      <c r="P23" s="103">
        <v>3</v>
      </c>
    </row>
    <row r="24" spans="3:16" ht="21" x14ac:dyDescent="0.4">
      <c r="C24" s="96">
        <v>20</v>
      </c>
      <c r="D24" s="97" t="s">
        <v>1207</v>
      </c>
      <c r="E24" s="97" t="s">
        <v>1167</v>
      </c>
      <c r="F24" s="103">
        <v>3</v>
      </c>
      <c r="H24" s="96">
        <v>20</v>
      </c>
      <c r="I24" s="97" t="s">
        <v>1192</v>
      </c>
      <c r="J24" s="97" t="s">
        <v>1069</v>
      </c>
      <c r="K24" s="103">
        <v>2</v>
      </c>
      <c r="M24" s="96">
        <v>20</v>
      </c>
      <c r="N24" s="97" t="s">
        <v>1258</v>
      </c>
      <c r="O24" s="97" t="s">
        <v>1072</v>
      </c>
      <c r="P24" s="103">
        <v>12</v>
      </c>
    </row>
    <row r="25" spans="3:16" ht="21" x14ac:dyDescent="0.4">
      <c r="C25" s="96">
        <v>21</v>
      </c>
      <c r="D25" s="97" t="s">
        <v>1275</v>
      </c>
      <c r="E25" s="97" t="s">
        <v>1065</v>
      </c>
      <c r="F25" s="103">
        <v>15</v>
      </c>
      <c r="H25" s="96">
        <v>21</v>
      </c>
      <c r="I25" s="97" t="s">
        <v>1263</v>
      </c>
      <c r="J25" s="97" t="s">
        <v>1074</v>
      </c>
      <c r="K25" s="103">
        <v>16</v>
      </c>
      <c r="M25" s="96">
        <v>21</v>
      </c>
      <c r="N25" s="97" t="s">
        <v>1111</v>
      </c>
      <c r="O25" s="97" t="s">
        <v>1071</v>
      </c>
      <c r="P25" s="103">
        <v>2</v>
      </c>
    </row>
    <row r="26" spans="3:16" ht="21" x14ac:dyDescent="0.4">
      <c r="C26" s="96">
        <v>22</v>
      </c>
      <c r="D26" s="97" t="s">
        <v>1227</v>
      </c>
      <c r="E26" s="97" t="s">
        <v>1167</v>
      </c>
      <c r="F26" s="103">
        <v>6</v>
      </c>
      <c r="H26" s="96">
        <v>22</v>
      </c>
      <c r="I26" s="97" t="s">
        <v>1131</v>
      </c>
      <c r="J26" s="97" t="s">
        <v>1065</v>
      </c>
      <c r="K26" s="103">
        <v>4</v>
      </c>
      <c r="M26" s="96">
        <v>22</v>
      </c>
      <c r="N26" s="97" t="s">
        <v>259</v>
      </c>
      <c r="O26" s="97" t="s">
        <v>1067</v>
      </c>
      <c r="P26" s="103">
        <v>15</v>
      </c>
    </row>
    <row r="27" spans="3:16" ht="21" x14ac:dyDescent="0.4">
      <c r="C27" s="96">
        <v>23</v>
      </c>
      <c r="D27" s="97" t="s">
        <v>1193</v>
      </c>
      <c r="E27" s="97" t="s">
        <v>740</v>
      </c>
      <c r="F27" s="103">
        <v>1</v>
      </c>
      <c r="H27" s="96">
        <v>23</v>
      </c>
      <c r="I27" s="97" t="s">
        <v>1280</v>
      </c>
      <c r="J27" s="97" t="s">
        <v>1074</v>
      </c>
      <c r="K27" s="103">
        <v>1</v>
      </c>
      <c r="M27" s="96">
        <v>23</v>
      </c>
      <c r="N27" s="97" t="s">
        <v>224</v>
      </c>
      <c r="O27" s="97" t="s">
        <v>1072</v>
      </c>
      <c r="P27" s="103">
        <v>7</v>
      </c>
    </row>
    <row r="28" spans="3:16" ht="21" x14ac:dyDescent="0.4">
      <c r="C28" s="96">
        <v>24</v>
      </c>
      <c r="D28" s="97" t="s">
        <v>1238</v>
      </c>
      <c r="E28" s="97" t="s">
        <v>1167</v>
      </c>
      <c r="F28" s="103">
        <v>7</v>
      </c>
      <c r="H28" s="96">
        <v>24</v>
      </c>
      <c r="I28" s="97" t="s">
        <v>1212</v>
      </c>
      <c r="J28" s="97" t="s">
        <v>1167</v>
      </c>
      <c r="K28" s="103">
        <v>8</v>
      </c>
      <c r="M28" s="96">
        <v>24</v>
      </c>
      <c r="N28" s="97" t="s">
        <v>1205</v>
      </c>
      <c r="O28" s="97" t="s">
        <v>1069</v>
      </c>
      <c r="P28" s="103">
        <v>4</v>
      </c>
    </row>
    <row r="29" spans="3:16" ht="21" x14ac:dyDescent="0.4">
      <c r="C29" s="96">
        <v>25</v>
      </c>
      <c r="D29" s="97" t="s">
        <v>526</v>
      </c>
      <c r="E29" s="97" t="s">
        <v>1167</v>
      </c>
      <c r="F29" s="103">
        <v>5</v>
      </c>
      <c r="H29" s="96">
        <v>25</v>
      </c>
      <c r="I29" s="97" t="s">
        <v>1253</v>
      </c>
      <c r="J29" s="97" t="s">
        <v>1167</v>
      </c>
      <c r="K29" s="103">
        <v>12</v>
      </c>
      <c r="M29" s="96">
        <v>25</v>
      </c>
      <c r="N29" s="97" t="s">
        <v>228</v>
      </c>
      <c r="O29" s="97" t="s">
        <v>1072</v>
      </c>
      <c r="P29" s="103">
        <v>13</v>
      </c>
    </row>
    <row r="30" spans="3:16" ht="21" x14ac:dyDescent="0.4">
      <c r="C30" s="96">
        <v>26</v>
      </c>
      <c r="D30" s="97" t="s">
        <v>606</v>
      </c>
      <c r="E30" s="97" t="s">
        <v>1067</v>
      </c>
      <c r="F30" s="103">
        <v>16</v>
      </c>
      <c r="H30" s="96">
        <v>26</v>
      </c>
      <c r="I30" s="97" t="s">
        <v>142</v>
      </c>
      <c r="J30" s="97" t="s">
        <v>1070</v>
      </c>
      <c r="K30" s="103">
        <v>5</v>
      </c>
      <c r="M30" s="96">
        <v>26</v>
      </c>
      <c r="N30" s="97" t="s">
        <v>120</v>
      </c>
      <c r="O30" s="97" t="s">
        <v>1065</v>
      </c>
      <c r="P30" s="103">
        <v>8</v>
      </c>
    </row>
    <row r="31" spans="3:16" ht="21" x14ac:dyDescent="0.4">
      <c r="C31" s="96">
        <v>27</v>
      </c>
      <c r="D31" s="97" t="s">
        <v>1270</v>
      </c>
      <c r="E31" s="97" t="s">
        <v>1072</v>
      </c>
      <c r="F31" s="103">
        <v>13</v>
      </c>
      <c r="H31" s="96">
        <v>27</v>
      </c>
      <c r="I31" s="97" t="s">
        <v>224</v>
      </c>
      <c r="J31" s="97" t="s">
        <v>1072</v>
      </c>
      <c r="K31" s="103">
        <v>14</v>
      </c>
      <c r="M31" s="96">
        <v>27</v>
      </c>
      <c r="N31" s="97" t="s">
        <v>1150</v>
      </c>
      <c r="O31" s="97" t="s">
        <v>1065</v>
      </c>
      <c r="P31" s="103">
        <v>9</v>
      </c>
    </row>
    <row r="32" spans="3:16" ht="21" x14ac:dyDescent="0.4">
      <c r="C32" s="96">
        <v>28</v>
      </c>
      <c r="D32" s="97" t="s">
        <v>1245</v>
      </c>
      <c r="E32" s="97" t="s">
        <v>1065</v>
      </c>
      <c r="F32" s="103">
        <v>9</v>
      </c>
      <c r="H32" s="96">
        <v>28</v>
      </c>
      <c r="I32" s="97" t="s">
        <v>436</v>
      </c>
      <c r="J32" s="97" t="s">
        <v>1069</v>
      </c>
      <c r="K32" s="103">
        <v>15</v>
      </c>
      <c r="M32" s="96">
        <v>28</v>
      </c>
      <c r="N32" s="97" t="s">
        <v>209</v>
      </c>
      <c r="O32" s="97" t="s">
        <v>1069</v>
      </c>
      <c r="P32" s="103">
        <v>10</v>
      </c>
    </row>
    <row r="33" spans="3:16" ht="21" x14ac:dyDescent="0.4">
      <c r="C33" s="96">
        <v>29</v>
      </c>
      <c r="D33" s="97" t="s">
        <v>1272</v>
      </c>
      <c r="E33" s="97" t="s">
        <v>1065</v>
      </c>
      <c r="F33" s="103">
        <v>14</v>
      </c>
      <c r="H33" s="96">
        <v>29</v>
      </c>
      <c r="I33" s="97" t="s">
        <v>1234</v>
      </c>
      <c r="J33" s="97" t="s">
        <v>1065</v>
      </c>
      <c r="K33" s="103">
        <v>13</v>
      </c>
      <c r="M33" s="96">
        <v>29</v>
      </c>
      <c r="N33" s="97" t="s">
        <v>1279</v>
      </c>
      <c r="O33" s="97" t="s">
        <v>1065</v>
      </c>
      <c r="P33" s="103">
        <v>1</v>
      </c>
    </row>
    <row r="34" spans="3:16" ht="21" x14ac:dyDescent="0.4">
      <c r="C34" s="96">
        <v>30</v>
      </c>
      <c r="D34" s="97" t="s">
        <v>1260</v>
      </c>
      <c r="E34" s="97" t="s">
        <v>1068</v>
      </c>
      <c r="F34" s="103">
        <v>11</v>
      </c>
      <c r="H34" s="96">
        <v>30</v>
      </c>
      <c r="I34" s="97" t="s">
        <v>198</v>
      </c>
      <c r="J34" s="97" t="s">
        <v>1070</v>
      </c>
      <c r="K34" s="103">
        <v>9</v>
      </c>
      <c r="M34" s="96">
        <v>30</v>
      </c>
      <c r="N34" s="97" t="s">
        <v>1263</v>
      </c>
      <c r="O34" s="97" t="s">
        <v>1074</v>
      </c>
      <c r="P34" s="103">
        <v>11</v>
      </c>
    </row>
    <row r="35" spans="3:16" ht="21" x14ac:dyDescent="0.4">
      <c r="C35" s="96">
        <v>31</v>
      </c>
      <c r="D35" s="97" t="s">
        <v>1262</v>
      </c>
      <c r="E35" s="97" t="s">
        <v>1167</v>
      </c>
      <c r="F35" s="103">
        <v>12</v>
      </c>
      <c r="H35" s="96">
        <v>31</v>
      </c>
      <c r="I35" s="97" t="s">
        <v>1248</v>
      </c>
      <c r="J35" s="97" t="s">
        <v>1167</v>
      </c>
      <c r="K35" s="103">
        <v>11</v>
      </c>
      <c r="M35" s="96">
        <v>31</v>
      </c>
      <c r="N35" s="97" t="s">
        <v>1287</v>
      </c>
      <c r="O35" s="97" t="s">
        <v>1067</v>
      </c>
      <c r="P35" s="103">
        <v>16</v>
      </c>
    </row>
    <row r="36" spans="3:16" ht="21" x14ac:dyDescent="0.4">
      <c r="C36" s="96">
        <v>32</v>
      </c>
      <c r="D36" s="97" t="s">
        <v>172</v>
      </c>
      <c r="E36" s="97" t="s">
        <v>1071</v>
      </c>
      <c r="F36" s="103">
        <v>8</v>
      </c>
      <c r="H36" s="96">
        <v>32</v>
      </c>
      <c r="I36" s="97" t="s">
        <v>1244</v>
      </c>
      <c r="J36" s="97" t="s">
        <v>1069</v>
      </c>
      <c r="K36" s="103">
        <v>10</v>
      </c>
      <c r="M36" s="96">
        <v>32</v>
      </c>
      <c r="N36" s="97" t="s">
        <v>1216</v>
      </c>
      <c r="O36" s="97" t="s">
        <v>1068</v>
      </c>
      <c r="P36" s="103">
        <v>5</v>
      </c>
    </row>
    <row r="37" spans="3:16" ht="21" x14ac:dyDescent="0.4">
      <c r="C37" s="96">
        <v>33</v>
      </c>
      <c r="D37" s="97" t="s">
        <v>828</v>
      </c>
      <c r="E37" s="97" t="s">
        <v>1071</v>
      </c>
      <c r="F37" s="104">
        <v>10</v>
      </c>
      <c r="H37" s="96">
        <v>33</v>
      </c>
      <c r="I37" s="97" t="s">
        <v>767</v>
      </c>
      <c r="J37" s="97" t="s">
        <v>1071</v>
      </c>
      <c r="K37" s="104">
        <v>6</v>
      </c>
      <c r="M37" s="96">
        <v>33</v>
      </c>
      <c r="N37" s="97" t="s">
        <v>197</v>
      </c>
      <c r="O37" s="97" t="s">
        <v>1069</v>
      </c>
      <c r="P37" s="104">
        <v>14</v>
      </c>
    </row>
    <row r="38" spans="3:16" ht="21" x14ac:dyDescent="0.4">
      <c r="C38" s="96">
        <v>34</v>
      </c>
      <c r="D38" s="97" t="s">
        <v>84</v>
      </c>
      <c r="E38" s="97" t="s">
        <v>1069</v>
      </c>
      <c r="F38" s="104">
        <v>4</v>
      </c>
      <c r="H38" s="96">
        <v>34</v>
      </c>
      <c r="I38" s="97" t="s">
        <v>1146</v>
      </c>
      <c r="J38" s="97" t="s">
        <v>1065</v>
      </c>
      <c r="K38" s="104">
        <v>7</v>
      </c>
      <c r="M38" s="96">
        <v>34</v>
      </c>
      <c r="N38" s="97" t="s">
        <v>626</v>
      </c>
      <c r="O38" s="97" t="s">
        <v>1067</v>
      </c>
      <c r="P38" s="104">
        <v>23</v>
      </c>
    </row>
    <row r="39" spans="3:16" ht="21" x14ac:dyDescent="0.4">
      <c r="C39" s="96">
        <v>35</v>
      </c>
      <c r="D39" s="97" t="s">
        <v>1299</v>
      </c>
      <c r="E39" s="97" t="s">
        <v>1071</v>
      </c>
      <c r="F39" s="104">
        <v>5</v>
      </c>
      <c r="H39" s="96">
        <v>35</v>
      </c>
      <c r="I39" s="97" t="s">
        <v>1109</v>
      </c>
      <c r="J39" s="97" t="s">
        <v>1072</v>
      </c>
      <c r="K39" s="104">
        <v>17</v>
      </c>
      <c r="M39" s="96">
        <v>35</v>
      </c>
      <c r="N39" s="97" t="s">
        <v>767</v>
      </c>
      <c r="O39" s="97" t="s">
        <v>1071</v>
      </c>
      <c r="P39" s="104">
        <v>1</v>
      </c>
    </row>
    <row r="40" spans="3:16" ht="21" x14ac:dyDescent="0.4">
      <c r="C40" s="96">
        <v>36</v>
      </c>
      <c r="D40" s="97" t="s">
        <v>720</v>
      </c>
      <c r="E40" s="97" t="s">
        <v>1065</v>
      </c>
      <c r="F40" s="104">
        <v>12</v>
      </c>
      <c r="H40" s="96">
        <v>36</v>
      </c>
      <c r="I40" s="97" t="s">
        <v>1062</v>
      </c>
      <c r="J40" s="97" t="s">
        <v>1066</v>
      </c>
      <c r="K40" s="104">
        <v>22</v>
      </c>
      <c r="M40" s="96">
        <v>36</v>
      </c>
      <c r="N40" s="97" t="s">
        <v>1144</v>
      </c>
      <c r="O40" s="97" t="s">
        <v>1065</v>
      </c>
      <c r="P40" s="104">
        <v>3</v>
      </c>
    </row>
    <row r="41" spans="3:16" ht="21" x14ac:dyDescent="0.4">
      <c r="C41" s="96">
        <v>37</v>
      </c>
      <c r="D41" s="97" t="s">
        <v>1162</v>
      </c>
      <c r="E41" s="97" t="s">
        <v>1065</v>
      </c>
      <c r="F41" s="104">
        <v>2</v>
      </c>
      <c r="H41" s="96">
        <v>37</v>
      </c>
      <c r="I41" s="97" t="s">
        <v>1128</v>
      </c>
      <c r="J41" s="97" t="s">
        <v>1065</v>
      </c>
      <c r="K41" s="104">
        <v>20</v>
      </c>
      <c r="M41" s="96">
        <v>37</v>
      </c>
      <c r="N41" s="97" t="s">
        <v>1114</v>
      </c>
      <c r="O41" s="97" t="s">
        <v>1147</v>
      </c>
      <c r="P41" s="104">
        <v>8</v>
      </c>
    </row>
    <row r="42" spans="3:16" ht="21" x14ac:dyDescent="0.4">
      <c r="C42" s="96">
        <v>38</v>
      </c>
      <c r="D42" s="97" t="s">
        <v>1118</v>
      </c>
      <c r="E42" s="97" t="s">
        <v>1066</v>
      </c>
      <c r="F42" s="104">
        <v>8</v>
      </c>
      <c r="H42" s="96">
        <v>38</v>
      </c>
      <c r="I42" s="97" t="s">
        <v>795</v>
      </c>
      <c r="J42" s="97" t="s">
        <v>1071</v>
      </c>
      <c r="K42" s="104">
        <v>4</v>
      </c>
      <c r="M42" s="96">
        <v>38</v>
      </c>
      <c r="N42" s="97" t="s">
        <v>1316</v>
      </c>
      <c r="O42" s="97" t="s">
        <v>1167</v>
      </c>
      <c r="P42" s="104">
        <v>18</v>
      </c>
    </row>
    <row r="43" spans="3:16" ht="21" x14ac:dyDescent="0.4">
      <c r="C43" s="96">
        <v>39</v>
      </c>
      <c r="D43" s="97" t="s">
        <v>1060</v>
      </c>
      <c r="E43" s="97" t="s">
        <v>1066</v>
      </c>
      <c r="F43" s="104">
        <v>9</v>
      </c>
      <c r="H43" s="96">
        <v>39</v>
      </c>
      <c r="I43" s="97" t="s">
        <v>260</v>
      </c>
      <c r="J43" s="97" t="s">
        <v>1069</v>
      </c>
      <c r="K43" s="104">
        <v>5</v>
      </c>
      <c r="M43" s="96">
        <v>39</v>
      </c>
      <c r="N43" s="97" t="s">
        <v>148</v>
      </c>
      <c r="O43" s="97" t="s">
        <v>1065</v>
      </c>
      <c r="P43" s="104">
        <v>5</v>
      </c>
    </row>
    <row r="44" spans="3:16" ht="21" x14ac:dyDescent="0.4">
      <c r="C44" s="96">
        <v>40</v>
      </c>
      <c r="D44" s="97" t="s">
        <v>1308</v>
      </c>
      <c r="E44" s="97" t="s">
        <v>1167</v>
      </c>
      <c r="F44" s="104">
        <v>13</v>
      </c>
      <c r="H44" s="96">
        <v>40</v>
      </c>
      <c r="I44" s="97" t="s">
        <v>1311</v>
      </c>
      <c r="J44" s="97" t="s">
        <v>1069</v>
      </c>
      <c r="K44" s="104">
        <v>15</v>
      </c>
      <c r="M44" s="96">
        <v>40</v>
      </c>
      <c r="N44" s="97" t="s">
        <v>1027</v>
      </c>
      <c r="O44" s="97" t="s">
        <v>1281</v>
      </c>
      <c r="P44" s="104">
        <v>21</v>
      </c>
    </row>
    <row r="45" spans="3:16" ht="21" x14ac:dyDescent="0.4">
      <c r="C45" s="96">
        <v>41</v>
      </c>
      <c r="D45" s="97" t="s">
        <v>1125</v>
      </c>
      <c r="E45" s="97" t="s">
        <v>1065</v>
      </c>
      <c r="F45" s="104">
        <v>7</v>
      </c>
      <c r="H45" s="96">
        <v>41</v>
      </c>
      <c r="I45" s="97" t="s">
        <v>1143</v>
      </c>
      <c r="J45" s="97" t="s">
        <v>1072</v>
      </c>
      <c r="K45" s="104">
        <v>12</v>
      </c>
      <c r="M45" s="96">
        <v>41</v>
      </c>
      <c r="N45" s="97" t="s">
        <v>153</v>
      </c>
      <c r="O45" s="97" t="s">
        <v>1072</v>
      </c>
      <c r="P45" s="104">
        <v>19</v>
      </c>
    </row>
    <row r="46" spans="3:16" ht="21" x14ac:dyDescent="0.4">
      <c r="C46" s="96">
        <v>42</v>
      </c>
      <c r="D46" s="97" t="s">
        <v>1136</v>
      </c>
      <c r="E46" s="97" t="s">
        <v>1067</v>
      </c>
      <c r="F46" s="104">
        <v>3</v>
      </c>
      <c r="H46" s="96">
        <v>42</v>
      </c>
      <c r="I46" s="97" t="s">
        <v>1135</v>
      </c>
      <c r="J46" s="97" t="s">
        <v>1065</v>
      </c>
      <c r="K46" s="104">
        <v>11</v>
      </c>
      <c r="M46" s="96">
        <v>42</v>
      </c>
      <c r="N46" s="97" t="s">
        <v>535</v>
      </c>
      <c r="O46" s="97" t="s">
        <v>1167</v>
      </c>
      <c r="P46" s="104">
        <v>20</v>
      </c>
    </row>
    <row r="47" spans="3:16" ht="21" x14ac:dyDescent="0.4">
      <c r="C47" s="96">
        <v>43</v>
      </c>
      <c r="D47" s="97" t="s">
        <v>1309</v>
      </c>
      <c r="E47" s="97" t="s">
        <v>1067</v>
      </c>
      <c r="F47" s="104">
        <v>11</v>
      </c>
      <c r="H47" s="96">
        <v>43</v>
      </c>
      <c r="I47" s="97" t="s">
        <v>228</v>
      </c>
      <c r="J47" s="97" t="s">
        <v>1072</v>
      </c>
      <c r="K47" s="104">
        <v>3</v>
      </c>
      <c r="M47" s="96">
        <v>43</v>
      </c>
      <c r="N47" s="97" t="s">
        <v>1134</v>
      </c>
      <c r="O47" s="97" t="s">
        <v>1065</v>
      </c>
      <c r="P47" s="104">
        <v>7</v>
      </c>
    </row>
    <row r="48" spans="3:16" ht="21" x14ac:dyDescent="0.4">
      <c r="C48" s="96">
        <v>44</v>
      </c>
      <c r="D48" s="97" t="s">
        <v>641</v>
      </c>
      <c r="E48" s="97" t="s">
        <v>1066</v>
      </c>
      <c r="F48" s="104">
        <v>1</v>
      </c>
      <c r="H48" s="96">
        <v>44</v>
      </c>
      <c r="I48" s="97" t="s">
        <v>1273</v>
      </c>
      <c r="J48" s="97" t="s">
        <v>1065</v>
      </c>
      <c r="K48" s="104">
        <v>1</v>
      </c>
      <c r="M48" s="96">
        <v>44</v>
      </c>
      <c r="N48" s="97" t="s">
        <v>1119</v>
      </c>
      <c r="O48" s="97" t="s">
        <v>1065</v>
      </c>
      <c r="P48" s="104">
        <v>10</v>
      </c>
    </row>
    <row r="49" spans="3:16" ht="21" x14ac:dyDescent="0.4">
      <c r="C49" s="96">
        <v>45</v>
      </c>
      <c r="D49" s="97" t="s">
        <v>1127</v>
      </c>
      <c r="E49" s="97" t="s">
        <v>1066</v>
      </c>
      <c r="F49" s="104">
        <v>6</v>
      </c>
      <c r="H49" s="96">
        <v>45</v>
      </c>
      <c r="I49" s="97" t="s">
        <v>982</v>
      </c>
      <c r="J49" s="97" t="s">
        <v>1065</v>
      </c>
      <c r="K49" s="104">
        <v>23</v>
      </c>
      <c r="M49" s="96">
        <v>45</v>
      </c>
      <c r="N49" s="97" t="s">
        <v>245</v>
      </c>
      <c r="O49" s="97" t="s">
        <v>1069</v>
      </c>
      <c r="P49" s="104">
        <v>16</v>
      </c>
    </row>
    <row r="50" spans="3:16" ht="21" x14ac:dyDescent="0.4">
      <c r="C50" s="96" t="s">
        <v>1281</v>
      </c>
      <c r="D50" s="97" t="s">
        <v>1281</v>
      </c>
      <c r="E50" s="97" t="s">
        <v>1281</v>
      </c>
      <c r="F50" s="104"/>
      <c r="H50" s="96">
        <v>46</v>
      </c>
      <c r="I50" s="97" t="s">
        <v>178</v>
      </c>
      <c r="J50" s="97" t="s">
        <v>1071</v>
      </c>
      <c r="K50" s="104">
        <v>21</v>
      </c>
      <c r="M50" s="96">
        <v>46</v>
      </c>
      <c r="N50" s="97" t="s">
        <v>1054</v>
      </c>
      <c r="O50" s="97" t="s">
        <v>1067</v>
      </c>
      <c r="P50" s="104">
        <v>15</v>
      </c>
    </row>
    <row r="51" spans="3:16" ht="21" x14ac:dyDescent="0.4">
      <c r="C51" s="96" t="s">
        <v>1281</v>
      </c>
      <c r="D51" s="97" t="s">
        <v>1281</v>
      </c>
      <c r="E51" s="97" t="s">
        <v>1281</v>
      </c>
      <c r="F51" s="104"/>
      <c r="H51" s="96">
        <v>47</v>
      </c>
      <c r="I51" s="97" t="s">
        <v>1117</v>
      </c>
      <c r="J51" s="97" t="s">
        <v>1067</v>
      </c>
      <c r="K51" s="104">
        <v>14</v>
      </c>
      <c r="M51" s="96">
        <v>47</v>
      </c>
      <c r="N51" s="97" t="s">
        <v>1140</v>
      </c>
      <c r="O51" s="97" t="s">
        <v>1066</v>
      </c>
      <c r="P51" s="104">
        <v>4</v>
      </c>
    </row>
    <row r="52" spans="3:16" ht="21" x14ac:dyDescent="0.4">
      <c r="C52" s="96" t="s">
        <v>1281</v>
      </c>
      <c r="D52" s="97" t="s">
        <v>1281</v>
      </c>
      <c r="E52" s="97" t="s">
        <v>1281</v>
      </c>
      <c r="F52" s="104"/>
      <c r="H52" s="96">
        <v>48</v>
      </c>
      <c r="I52" s="97" t="s">
        <v>644</v>
      </c>
      <c r="J52" s="97" t="s">
        <v>1067</v>
      </c>
      <c r="K52" s="104">
        <v>18</v>
      </c>
      <c r="M52" s="96">
        <v>48</v>
      </c>
      <c r="N52" s="97" t="s">
        <v>1320</v>
      </c>
      <c r="O52" s="97" t="s">
        <v>1068</v>
      </c>
      <c r="P52" s="104">
        <v>22</v>
      </c>
    </row>
    <row r="53" spans="3:16" ht="21" x14ac:dyDescent="0.4">
      <c r="C53" s="96" t="s">
        <v>1281</v>
      </c>
      <c r="D53" s="97" t="s">
        <v>1281</v>
      </c>
      <c r="E53" s="97" t="s">
        <v>1281</v>
      </c>
      <c r="F53" s="104"/>
      <c r="H53" s="96">
        <v>49</v>
      </c>
      <c r="I53" s="97" t="s">
        <v>1323</v>
      </c>
      <c r="J53" s="97" t="s">
        <v>1072</v>
      </c>
      <c r="K53" s="104">
        <v>31</v>
      </c>
      <c r="M53" s="96">
        <v>49</v>
      </c>
      <c r="N53" s="97" t="s">
        <v>1329</v>
      </c>
      <c r="O53" s="97" t="s">
        <v>1067</v>
      </c>
      <c r="P53" s="104">
        <v>11</v>
      </c>
    </row>
    <row r="54" spans="3:16" ht="21" x14ac:dyDescent="0.4">
      <c r="C54" s="96" t="s">
        <v>1281</v>
      </c>
      <c r="D54" s="97" t="s">
        <v>1281</v>
      </c>
      <c r="E54" s="97" t="s">
        <v>1281</v>
      </c>
      <c r="F54" s="104"/>
      <c r="H54" s="96">
        <v>50</v>
      </c>
      <c r="I54" s="97" t="s">
        <v>1137</v>
      </c>
      <c r="J54" s="97" t="s">
        <v>1066</v>
      </c>
      <c r="K54" s="104">
        <v>13</v>
      </c>
      <c r="M54" s="96">
        <v>50</v>
      </c>
      <c r="N54" s="97" t="s">
        <v>1137</v>
      </c>
      <c r="O54" s="97" t="s">
        <v>1066</v>
      </c>
      <c r="P54" s="104">
        <v>6</v>
      </c>
    </row>
    <row r="55" spans="3:16" ht="21" x14ac:dyDescent="0.4">
      <c r="C55" s="96" t="s">
        <v>1281</v>
      </c>
      <c r="D55" s="97" t="s">
        <v>1281</v>
      </c>
      <c r="E55" s="97" t="s">
        <v>1281</v>
      </c>
      <c r="F55" s="104"/>
      <c r="H55" s="96">
        <v>51</v>
      </c>
      <c r="I55" s="97" t="s">
        <v>1111</v>
      </c>
      <c r="J55" s="97" t="s">
        <v>1071</v>
      </c>
      <c r="K55" s="104">
        <v>16</v>
      </c>
      <c r="M55" s="96">
        <v>51</v>
      </c>
      <c r="N55" s="97" t="s">
        <v>1339</v>
      </c>
      <c r="O55" s="97" t="s">
        <v>1067</v>
      </c>
      <c r="P55" s="104">
        <v>25</v>
      </c>
    </row>
    <row r="56" spans="3:16" ht="21" x14ac:dyDescent="0.4">
      <c r="C56" s="96" t="s">
        <v>1281</v>
      </c>
      <c r="D56" s="97" t="s">
        <v>1281</v>
      </c>
      <c r="E56" s="97" t="s">
        <v>1281</v>
      </c>
      <c r="F56" s="104"/>
      <c r="H56" s="96">
        <v>52</v>
      </c>
      <c r="I56" s="97" t="s">
        <v>1322</v>
      </c>
      <c r="J56" s="97" t="s">
        <v>1066</v>
      </c>
      <c r="K56" s="104">
        <v>29</v>
      </c>
      <c r="M56" s="96">
        <v>52</v>
      </c>
      <c r="N56" s="97" t="s">
        <v>1055</v>
      </c>
      <c r="O56" s="97" t="s">
        <v>1065</v>
      </c>
      <c r="P56" s="104">
        <v>12</v>
      </c>
    </row>
    <row r="57" spans="3:16" ht="21" x14ac:dyDescent="0.4">
      <c r="C57" s="96" t="s">
        <v>1281</v>
      </c>
      <c r="D57" s="97" t="s">
        <v>1281</v>
      </c>
      <c r="E57" s="97" t="s">
        <v>1281</v>
      </c>
      <c r="F57" s="104"/>
      <c r="H57" s="96">
        <v>53</v>
      </c>
      <c r="I57" s="97" t="s">
        <v>1212</v>
      </c>
      <c r="J57" s="97" t="s">
        <v>1167</v>
      </c>
      <c r="K57" s="104">
        <v>28</v>
      </c>
      <c r="M57" s="96">
        <v>53</v>
      </c>
      <c r="N57" s="97" t="s">
        <v>1297</v>
      </c>
      <c r="O57" s="97" t="s">
        <v>1065</v>
      </c>
      <c r="P57" s="104">
        <v>2</v>
      </c>
    </row>
    <row r="58" spans="3:16" ht="21" x14ac:dyDescent="0.4">
      <c r="C58" s="96" t="s">
        <v>1281</v>
      </c>
      <c r="D58" s="97" t="s">
        <v>1281</v>
      </c>
      <c r="E58" s="97" t="s">
        <v>1281</v>
      </c>
      <c r="F58" s="104"/>
      <c r="H58" s="96">
        <v>54</v>
      </c>
      <c r="I58" s="97" t="s">
        <v>1325</v>
      </c>
      <c r="J58" s="97" t="s">
        <v>1074</v>
      </c>
      <c r="K58" s="104">
        <v>33</v>
      </c>
      <c r="M58" s="96">
        <v>54</v>
      </c>
      <c r="N58" s="97" t="s">
        <v>1315</v>
      </c>
      <c r="O58" s="97" t="s">
        <v>1167</v>
      </c>
      <c r="P58" s="104">
        <v>17</v>
      </c>
    </row>
    <row r="59" spans="3:16" ht="21" x14ac:dyDescent="0.4">
      <c r="C59" s="96" t="s">
        <v>1281</v>
      </c>
      <c r="D59" s="97" t="s">
        <v>1281</v>
      </c>
      <c r="E59" s="97" t="s">
        <v>1281</v>
      </c>
      <c r="F59" s="104"/>
      <c r="H59" s="96">
        <v>55</v>
      </c>
      <c r="I59" s="97" t="s">
        <v>1276</v>
      </c>
      <c r="J59" s="97" t="s">
        <v>1069</v>
      </c>
      <c r="K59" s="104">
        <v>2</v>
      </c>
      <c r="M59" s="96">
        <v>55</v>
      </c>
      <c r="N59" s="97" t="s">
        <v>1058</v>
      </c>
      <c r="O59" s="97" t="s">
        <v>1067</v>
      </c>
      <c r="P59" s="104">
        <v>13</v>
      </c>
    </row>
    <row r="60" spans="3:16" ht="21" x14ac:dyDescent="0.4">
      <c r="C60" s="96" t="s">
        <v>1281</v>
      </c>
      <c r="D60" s="97" t="s">
        <v>1281</v>
      </c>
      <c r="E60" s="97" t="s">
        <v>1281</v>
      </c>
      <c r="F60" s="104"/>
      <c r="H60" s="96">
        <v>56</v>
      </c>
      <c r="I60" s="97" t="s">
        <v>1336</v>
      </c>
      <c r="J60" s="97" t="s">
        <v>1281</v>
      </c>
      <c r="K60" s="104">
        <v>35</v>
      </c>
      <c r="M60" s="96">
        <v>56</v>
      </c>
      <c r="N60" s="97" t="s">
        <v>1124</v>
      </c>
      <c r="O60" s="97" t="s">
        <v>1065</v>
      </c>
      <c r="P60" s="104">
        <v>9</v>
      </c>
    </row>
    <row r="61" spans="3:16" ht="21" x14ac:dyDescent="0.4">
      <c r="C61" s="96" t="s">
        <v>1281</v>
      </c>
      <c r="D61" s="97" t="s">
        <v>1281</v>
      </c>
      <c r="E61" s="97" t="s">
        <v>1281</v>
      </c>
      <c r="F61" s="104"/>
      <c r="H61" s="96">
        <v>57</v>
      </c>
      <c r="I61" s="97" t="s">
        <v>1055</v>
      </c>
      <c r="J61" s="97" t="s">
        <v>1065</v>
      </c>
      <c r="K61" s="104">
        <v>24</v>
      </c>
      <c r="M61" s="96">
        <v>57</v>
      </c>
      <c r="N61" s="97" t="s">
        <v>1330</v>
      </c>
      <c r="O61" s="97" t="s">
        <v>1067</v>
      </c>
      <c r="P61" s="104">
        <v>24</v>
      </c>
    </row>
    <row r="62" spans="3:16" ht="21" x14ac:dyDescent="0.4">
      <c r="C62" s="96" t="s">
        <v>1281</v>
      </c>
      <c r="D62" s="97" t="s">
        <v>1281</v>
      </c>
      <c r="E62" s="97" t="s">
        <v>1281</v>
      </c>
      <c r="F62" s="104"/>
      <c r="H62" s="96">
        <v>58</v>
      </c>
      <c r="I62" s="97" t="s">
        <v>1279</v>
      </c>
      <c r="J62" s="97" t="s">
        <v>1065</v>
      </c>
      <c r="K62" s="104">
        <v>27</v>
      </c>
      <c r="M62" s="96" t="s">
        <v>1281</v>
      </c>
      <c r="N62" s="97" t="s">
        <v>1281</v>
      </c>
      <c r="O62" s="97" t="s">
        <v>1281</v>
      </c>
      <c r="P62" s="104"/>
    </row>
    <row r="63" spans="3:16" ht="21" x14ac:dyDescent="0.4">
      <c r="C63" s="96" t="s">
        <v>1281</v>
      </c>
      <c r="D63" s="97" t="s">
        <v>1281</v>
      </c>
      <c r="E63" s="97" t="s">
        <v>1281</v>
      </c>
      <c r="F63" s="104"/>
      <c r="H63" s="96">
        <v>59</v>
      </c>
      <c r="I63" s="97" t="s">
        <v>1324</v>
      </c>
      <c r="J63" s="97" t="s">
        <v>1074</v>
      </c>
      <c r="K63" s="104">
        <v>32</v>
      </c>
      <c r="M63" s="96" t="s">
        <v>1281</v>
      </c>
      <c r="N63" s="97" t="s">
        <v>1281</v>
      </c>
      <c r="O63" s="97" t="s">
        <v>1281</v>
      </c>
      <c r="P63" s="104"/>
    </row>
    <row r="64" spans="3:16" ht="21" x14ac:dyDescent="0.4">
      <c r="C64" s="96" t="s">
        <v>1281</v>
      </c>
      <c r="D64" s="97" t="s">
        <v>1281</v>
      </c>
      <c r="E64" s="97" t="s">
        <v>1281</v>
      </c>
      <c r="F64" s="104"/>
      <c r="H64" s="96">
        <v>60</v>
      </c>
      <c r="I64" s="97" t="s">
        <v>229</v>
      </c>
      <c r="J64" s="97" t="s">
        <v>1069</v>
      </c>
      <c r="K64" s="104">
        <v>30</v>
      </c>
      <c r="M64" s="96" t="s">
        <v>1281</v>
      </c>
      <c r="N64" s="97" t="s">
        <v>1281</v>
      </c>
      <c r="O64" s="97" t="s">
        <v>1281</v>
      </c>
      <c r="P64" s="104"/>
    </row>
    <row r="65" spans="3:16" ht="21" x14ac:dyDescent="0.4">
      <c r="C65" s="96" t="s">
        <v>1281</v>
      </c>
      <c r="D65" s="97" t="s">
        <v>1281</v>
      </c>
      <c r="E65" s="97" t="s">
        <v>1281</v>
      </c>
      <c r="F65" s="104"/>
      <c r="H65" s="96">
        <v>61</v>
      </c>
      <c r="I65" s="97" t="s">
        <v>1058</v>
      </c>
      <c r="J65" s="97" t="s">
        <v>1067</v>
      </c>
      <c r="K65" s="104">
        <v>25</v>
      </c>
      <c r="M65" s="96" t="s">
        <v>1281</v>
      </c>
      <c r="N65" s="97" t="s">
        <v>1281</v>
      </c>
      <c r="O65" s="97" t="s">
        <v>1281</v>
      </c>
      <c r="P65" s="104"/>
    </row>
    <row r="66" spans="3:16" ht="21" x14ac:dyDescent="0.4">
      <c r="C66" s="96" t="s">
        <v>1281</v>
      </c>
      <c r="D66" s="97" t="s">
        <v>1281</v>
      </c>
      <c r="E66" s="97" t="s">
        <v>1281</v>
      </c>
      <c r="F66" s="104"/>
      <c r="H66" s="96">
        <v>62</v>
      </c>
      <c r="I66" s="97" t="s">
        <v>1335</v>
      </c>
      <c r="J66" s="97" t="s">
        <v>1281</v>
      </c>
      <c r="K66" s="104">
        <v>34</v>
      </c>
      <c r="M66" s="96" t="s">
        <v>1281</v>
      </c>
      <c r="N66" s="97" t="s">
        <v>1281</v>
      </c>
      <c r="O66" s="97" t="s">
        <v>1281</v>
      </c>
      <c r="P66" s="104"/>
    </row>
    <row r="67" spans="3:16" ht="21" x14ac:dyDescent="0.4">
      <c r="C67" s="96" t="s">
        <v>1281</v>
      </c>
      <c r="D67" s="97" t="s">
        <v>1281</v>
      </c>
      <c r="E67" s="97" t="s">
        <v>1281</v>
      </c>
      <c r="F67" s="104"/>
      <c r="H67" s="96">
        <v>63</v>
      </c>
      <c r="I67" s="97" t="s">
        <v>1057</v>
      </c>
      <c r="J67" s="97" t="s">
        <v>1067</v>
      </c>
      <c r="K67" s="104">
        <v>26</v>
      </c>
      <c r="M67" s="96" t="s">
        <v>1281</v>
      </c>
      <c r="N67" s="97" t="s">
        <v>1281</v>
      </c>
      <c r="O67" s="97" t="s">
        <v>1281</v>
      </c>
      <c r="P67" s="104"/>
    </row>
    <row r="68" spans="3:16" ht="21" x14ac:dyDescent="0.4">
      <c r="C68" s="96" t="s">
        <v>1281</v>
      </c>
      <c r="D68" s="97" t="s">
        <v>1281</v>
      </c>
      <c r="E68" s="97" t="s">
        <v>1281</v>
      </c>
      <c r="F68" s="104"/>
      <c r="H68" s="96">
        <v>64</v>
      </c>
      <c r="I68" s="97" t="s">
        <v>207</v>
      </c>
      <c r="J68" s="97" t="s">
        <v>1069</v>
      </c>
      <c r="K68" s="104">
        <v>19</v>
      </c>
      <c r="M68" s="96" t="s">
        <v>1281</v>
      </c>
      <c r="N68" s="97" t="s">
        <v>1281</v>
      </c>
      <c r="O68" s="97" t="s">
        <v>1281</v>
      </c>
      <c r="P68" s="104"/>
    </row>
    <row r="69" spans="3:16" ht="21" x14ac:dyDescent="0.4">
      <c r="C69" s="96" t="s">
        <v>1281</v>
      </c>
      <c r="D69" s="97" t="s">
        <v>1281</v>
      </c>
      <c r="E69" s="97" t="s">
        <v>1281</v>
      </c>
      <c r="F69" s="104"/>
      <c r="H69" s="96">
        <v>65</v>
      </c>
      <c r="I69" s="97" t="s">
        <v>1142</v>
      </c>
      <c r="J69" s="97" t="s">
        <v>1065</v>
      </c>
      <c r="K69" s="104">
        <v>10</v>
      </c>
      <c r="M69" s="96" t="s">
        <v>1281</v>
      </c>
      <c r="N69" s="97" t="s">
        <v>1281</v>
      </c>
      <c r="O69" s="97" t="s">
        <v>1281</v>
      </c>
      <c r="P69" s="104"/>
    </row>
    <row r="70" spans="3:16" ht="21" x14ac:dyDescent="0.4">
      <c r="C70" s="96" t="s">
        <v>1281</v>
      </c>
      <c r="D70" s="97" t="s">
        <v>1281</v>
      </c>
      <c r="E70" s="97" t="s">
        <v>1281</v>
      </c>
      <c r="F70" s="104"/>
      <c r="H70" s="96">
        <v>66</v>
      </c>
      <c r="I70" s="97" t="s">
        <v>250</v>
      </c>
      <c r="J70" s="97" t="s">
        <v>1068</v>
      </c>
      <c r="K70" s="104">
        <v>9</v>
      </c>
      <c r="M70" s="96" t="s">
        <v>1281</v>
      </c>
      <c r="N70" s="97" t="s">
        <v>1281</v>
      </c>
      <c r="O70" s="97" t="s">
        <v>1281</v>
      </c>
      <c r="P70" s="104"/>
    </row>
    <row r="71" spans="3:16" ht="21" x14ac:dyDescent="0.4">
      <c r="C71" s="96" t="s">
        <v>1281</v>
      </c>
      <c r="D71" s="97" t="s">
        <v>1281</v>
      </c>
      <c r="E71" s="97" t="s">
        <v>1281</v>
      </c>
      <c r="F71" s="104"/>
      <c r="H71" s="96">
        <v>67</v>
      </c>
      <c r="I71" s="97" t="s">
        <v>489</v>
      </c>
      <c r="J71" s="97" t="s">
        <v>1068</v>
      </c>
      <c r="K71" s="104">
        <v>8</v>
      </c>
      <c r="M71" s="96" t="s">
        <v>1281</v>
      </c>
      <c r="N71" s="97" t="s">
        <v>1281</v>
      </c>
      <c r="O71" s="97" t="s">
        <v>1281</v>
      </c>
      <c r="P71" s="104"/>
    </row>
    <row r="72" spans="3:16" ht="21" x14ac:dyDescent="0.4">
      <c r="C72" s="96" t="s">
        <v>1281</v>
      </c>
      <c r="D72" s="97" t="s">
        <v>1281</v>
      </c>
      <c r="E72" s="97" t="s">
        <v>1281</v>
      </c>
      <c r="F72" s="104"/>
      <c r="H72" s="96" t="s">
        <v>1281</v>
      </c>
      <c r="I72" s="97" t="s">
        <v>1281</v>
      </c>
      <c r="J72" s="97" t="s">
        <v>1281</v>
      </c>
      <c r="K72" s="104"/>
      <c r="M72" s="96" t="s">
        <v>1281</v>
      </c>
      <c r="N72" s="97" t="s">
        <v>1281</v>
      </c>
      <c r="O72" s="97" t="s">
        <v>1281</v>
      </c>
      <c r="P72" s="104"/>
    </row>
    <row r="73" spans="3:16" ht="21" x14ac:dyDescent="0.4">
      <c r="C73" s="96" t="s">
        <v>1281</v>
      </c>
      <c r="D73" s="97" t="s">
        <v>1281</v>
      </c>
      <c r="E73" s="97" t="s">
        <v>1281</v>
      </c>
      <c r="F73" s="104"/>
      <c r="H73" s="96" t="s">
        <v>1281</v>
      </c>
      <c r="I73" s="97" t="s">
        <v>1281</v>
      </c>
      <c r="J73" s="97" t="s">
        <v>1281</v>
      </c>
      <c r="K73" s="104"/>
      <c r="M73" s="96" t="s">
        <v>1281</v>
      </c>
      <c r="N73" s="97" t="s">
        <v>1281</v>
      </c>
      <c r="O73" s="97" t="s">
        <v>1281</v>
      </c>
      <c r="P73" s="104"/>
    </row>
    <row r="74" spans="3:16" ht="21" x14ac:dyDescent="0.4">
      <c r="C74" s="96" t="s">
        <v>1281</v>
      </c>
      <c r="D74" s="97" t="s">
        <v>1281</v>
      </c>
      <c r="E74" s="97" t="s">
        <v>1281</v>
      </c>
      <c r="F74" s="104"/>
      <c r="H74" s="96" t="s">
        <v>1281</v>
      </c>
      <c r="I74" s="97" t="s">
        <v>1281</v>
      </c>
      <c r="J74" s="97" t="s">
        <v>1281</v>
      </c>
      <c r="K74" s="104"/>
      <c r="M74" s="96" t="s">
        <v>1281</v>
      </c>
      <c r="N74" s="97" t="s">
        <v>1281</v>
      </c>
      <c r="O74" s="97" t="s">
        <v>1281</v>
      </c>
      <c r="P74" s="104"/>
    </row>
    <row r="75" spans="3:16" ht="21" x14ac:dyDescent="0.4">
      <c r="C75" s="96" t="s">
        <v>1281</v>
      </c>
      <c r="D75" s="97" t="s">
        <v>1281</v>
      </c>
      <c r="E75" s="97" t="s">
        <v>1281</v>
      </c>
      <c r="F75" s="104"/>
      <c r="H75" s="96" t="s">
        <v>1281</v>
      </c>
      <c r="I75" s="97" t="s">
        <v>1281</v>
      </c>
      <c r="J75" s="97" t="s">
        <v>1281</v>
      </c>
      <c r="K75" s="104"/>
      <c r="M75" s="96" t="s">
        <v>1281</v>
      </c>
      <c r="N75" s="97" t="s">
        <v>1281</v>
      </c>
      <c r="O75" s="97" t="s">
        <v>1281</v>
      </c>
      <c r="P75" s="104"/>
    </row>
    <row r="76" spans="3:16" ht="21" x14ac:dyDescent="0.4">
      <c r="C76" s="96" t="s">
        <v>1281</v>
      </c>
      <c r="D76" s="97" t="s">
        <v>1281</v>
      </c>
      <c r="E76" s="97" t="s">
        <v>1281</v>
      </c>
      <c r="F76" s="104"/>
      <c r="H76" s="96" t="s">
        <v>1281</v>
      </c>
      <c r="I76" s="97" t="s">
        <v>1281</v>
      </c>
      <c r="J76" s="97" t="s">
        <v>1281</v>
      </c>
      <c r="K76" s="104"/>
      <c r="M76" s="96" t="s">
        <v>1281</v>
      </c>
      <c r="N76" s="97" t="s">
        <v>1281</v>
      </c>
      <c r="O76" s="97" t="s">
        <v>1281</v>
      </c>
      <c r="P76" s="104"/>
    </row>
    <row r="77" spans="3:16" ht="21" x14ac:dyDescent="0.4">
      <c r="C77" s="96" t="s">
        <v>1281</v>
      </c>
      <c r="D77" s="97" t="s">
        <v>1281</v>
      </c>
      <c r="E77" s="97" t="s">
        <v>1281</v>
      </c>
      <c r="F77" s="104"/>
      <c r="H77" s="96" t="s">
        <v>1281</v>
      </c>
      <c r="I77" s="97" t="s">
        <v>1281</v>
      </c>
      <c r="J77" s="97" t="s">
        <v>1281</v>
      </c>
      <c r="K77" s="104"/>
      <c r="M77" s="96" t="s">
        <v>1281</v>
      </c>
      <c r="N77" s="97" t="s">
        <v>1281</v>
      </c>
      <c r="O77" s="97" t="s">
        <v>1281</v>
      </c>
      <c r="P77" s="104"/>
    </row>
    <row r="78" spans="3:16" ht="21" x14ac:dyDescent="0.4">
      <c r="C78" s="96" t="s">
        <v>1281</v>
      </c>
      <c r="D78" s="97" t="s">
        <v>1281</v>
      </c>
      <c r="E78" s="97" t="s">
        <v>1281</v>
      </c>
      <c r="F78" s="104"/>
      <c r="H78" s="96" t="s">
        <v>1281</v>
      </c>
      <c r="I78" s="97" t="s">
        <v>1281</v>
      </c>
      <c r="J78" s="97" t="s">
        <v>1281</v>
      </c>
      <c r="K78" s="104"/>
      <c r="M78" s="96" t="s">
        <v>1281</v>
      </c>
      <c r="N78" s="97" t="s">
        <v>1281</v>
      </c>
      <c r="O78" s="97" t="s">
        <v>1281</v>
      </c>
      <c r="P78" s="104"/>
    </row>
    <row r="79" spans="3:16" ht="21" x14ac:dyDescent="0.4">
      <c r="C79" s="96" t="s">
        <v>1281</v>
      </c>
      <c r="D79" s="97" t="s">
        <v>1281</v>
      </c>
      <c r="E79" s="97" t="s">
        <v>1281</v>
      </c>
      <c r="F79" s="104"/>
      <c r="H79" s="96" t="s">
        <v>1281</v>
      </c>
      <c r="I79" s="97" t="s">
        <v>1281</v>
      </c>
      <c r="J79" s="97" t="s">
        <v>1281</v>
      </c>
      <c r="K79" s="104"/>
      <c r="M79" s="96" t="s">
        <v>1281</v>
      </c>
      <c r="N79" s="97" t="s">
        <v>1281</v>
      </c>
      <c r="O79" s="97" t="s">
        <v>1281</v>
      </c>
      <c r="P79" s="104"/>
    </row>
    <row r="80" spans="3:16" ht="21" x14ac:dyDescent="0.4">
      <c r="C80" s="96" t="s">
        <v>1281</v>
      </c>
      <c r="D80" s="97" t="s">
        <v>1281</v>
      </c>
      <c r="E80" s="97" t="s">
        <v>1281</v>
      </c>
      <c r="F80" s="104"/>
      <c r="H80" s="96" t="s">
        <v>1281</v>
      </c>
      <c r="I80" s="97" t="s">
        <v>1281</v>
      </c>
      <c r="J80" s="97" t="s">
        <v>1281</v>
      </c>
      <c r="K80" s="104"/>
      <c r="M80" s="96" t="s">
        <v>1281</v>
      </c>
      <c r="N80" s="97" t="s">
        <v>1281</v>
      </c>
      <c r="O80" s="97" t="s">
        <v>1281</v>
      </c>
      <c r="P80" s="104"/>
    </row>
    <row r="81" spans="3:16" ht="21" x14ac:dyDescent="0.4">
      <c r="C81" s="96" t="s">
        <v>1281</v>
      </c>
      <c r="D81" s="97" t="s">
        <v>1281</v>
      </c>
      <c r="E81" s="97" t="s">
        <v>1281</v>
      </c>
      <c r="F81" s="104"/>
      <c r="H81" s="96" t="s">
        <v>1281</v>
      </c>
      <c r="I81" s="97" t="s">
        <v>1281</v>
      </c>
      <c r="J81" s="97" t="s">
        <v>1281</v>
      </c>
      <c r="K81" s="104"/>
      <c r="M81" s="96" t="s">
        <v>1281</v>
      </c>
      <c r="N81" s="97" t="s">
        <v>1281</v>
      </c>
      <c r="O81" s="97" t="s">
        <v>1281</v>
      </c>
      <c r="P81" s="104"/>
    </row>
    <row r="82" spans="3:16" ht="21" x14ac:dyDescent="0.4">
      <c r="C82" s="96" t="s">
        <v>1281</v>
      </c>
      <c r="D82" s="97" t="s">
        <v>1281</v>
      </c>
      <c r="E82" s="97" t="s">
        <v>1281</v>
      </c>
      <c r="F82" s="104"/>
      <c r="H82" s="96" t="s">
        <v>1281</v>
      </c>
      <c r="I82" s="97" t="s">
        <v>1281</v>
      </c>
      <c r="J82" s="97" t="s">
        <v>1281</v>
      </c>
      <c r="K82" s="104"/>
      <c r="M82" s="96" t="s">
        <v>1281</v>
      </c>
      <c r="N82" s="97" t="s">
        <v>1281</v>
      </c>
      <c r="O82" s="97" t="s">
        <v>1281</v>
      </c>
      <c r="P82" s="104"/>
    </row>
    <row r="83" spans="3:16" ht="21" x14ac:dyDescent="0.4">
      <c r="C83" s="96" t="s">
        <v>1281</v>
      </c>
      <c r="D83" s="97" t="s">
        <v>1281</v>
      </c>
      <c r="E83" s="97" t="s">
        <v>1281</v>
      </c>
      <c r="F83" s="104"/>
      <c r="H83" s="96" t="s">
        <v>1281</v>
      </c>
      <c r="I83" s="97" t="s">
        <v>1281</v>
      </c>
      <c r="J83" s="97" t="s">
        <v>1281</v>
      </c>
      <c r="K83" s="104"/>
      <c r="M83" s="96" t="s">
        <v>1281</v>
      </c>
      <c r="N83" s="97" t="s">
        <v>1281</v>
      </c>
      <c r="O83" s="97" t="s">
        <v>1281</v>
      </c>
      <c r="P83" s="104"/>
    </row>
    <row r="84" spans="3:16" ht="21" x14ac:dyDescent="0.4">
      <c r="C84" s="96" t="s">
        <v>1281</v>
      </c>
      <c r="D84" s="97" t="s">
        <v>1281</v>
      </c>
      <c r="E84" s="97" t="s">
        <v>1281</v>
      </c>
      <c r="F84" s="104"/>
      <c r="H84" s="96" t="s">
        <v>1281</v>
      </c>
      <c r="I84" s="97" t="s">
        <v>1281</v>
      </c>
      <c r="J84" s="97" t="s">
        <v>1281</v>
      </c>
      <c r="K84" s="104"/>
      <c r="M84" s="96" t="s">
        <v>1281</v>
      </c>
      <c r="N84" s="97" t="s">
        <v>1281</v>
      </c>
      <c r="O84" s="97" t="s">
        <v>1281</v>
      </c>
      <c r="P84" s="104"/>
    </row>
    <row r="85" spans="3:16" ht="21" x14ac:dyDescent="0.4">
      <c r="C85" s="96" t="s">
        <v>1281</v>
      </c>
      <c r="D85" s="97" t="s">
        <v>1281</v>
      </c>
      <c r="E85" s="97" t="s">
        <v>1281</v>
      </c>
      <c r="F85" s="104"/>
      <c r="H85" s="96" t="s">
        <v>1281</v>
      </c>
      <c r="I85" s="97" t="s">
        <v>1281</v>
      </c>
      <c r="J85" s="97" t="s">
        <v>1281</v>
      </c>
      <c r="K85" s="104"/>
      <c r="M85" s="96" t="s">
        <v>1281</v>
      </c>
      <c r="N85" s="97" t="s">
        <v>1281</v>
      </c>
      <c r="O85" s="97" t="s">
        <v>1281</v>
      </c>
      <c r="P85" s="104"/>
    </row>
    <row r="86" spans="3:16" ht="21" x14ac:dyDescent="0.4">
      <c r="C86" s="96" t="s">
        <v>1281</v>
      </c>
      <c r="D86" s="97" t="s">
        <v>1281</v>
      </c>
      <c r="E86" s="97" t="s">
        <v>1281</v>
      </c>
      <c r="F86" s="104"/>
      <c r="H86" s="96" t="s">
        <v>1281</v>
      </c>
      <c r="I86" s="97" t="s">
        <v>1281</v>
      </c>
      <c r="J86" s="97" t="s">
        <v>1281</v>
      </c>
      <c r="K86" s="104"/>
      <c r="M86" s="96" t="s">
        <v>1281</v>
      </c>
      <c r="N86" s="97" t="s">
        <v>1281</v>
      </c>
      <c r="O86" s="97" t="s">
        <v>1281</v>
      </c>
      <c r="P86" s="104"/>
    </row>
    <row r="87" spans="3:16" ht="21" x14ac:dyDescent="0.4">
      <c r="C87" s="96" t="s">
        <v>1281</v>
      </c>
      <c r="D87" s="97" t="s">
        <v>1281</v>
      </c>
      <c r="E87" s="97" t="s">
        <v>1281</v>
      </c>
      <c r="F87" s="104"/>
      <c r="H87" s="96" t="s">
        <v>1281</v>
      </c>
      <c r="I87" s="97" t="s">
        <v>1281</v>
      </c>
      <c r="J87" s="97" t="s">
        <v>1281</v>
      </c>
      <c r="K87" s="104"/>
      <c r="M87" s="96" t="s">
        <v>1281</v>
      </c>
      <c r="N87" s="97" t="s">
        <v>1281</v>
      </c>
      <c r="O87" s="97" t="s">
        <v>1281</v>
      </c>
      <c r="P87" s="104"/>
    </row>
    <row r="88" spans="3:16" ht="21" x14ac:dyDescent="0.4">
      <c r="C88" s="96" t="s">
        <v>1281</v>
      </c>
      <c r="D88" s="97" t="s">
        <v>1281</v>
      </c>
      <c r="E88" s="97" t="s">
        <v>1281</v>
      </c>
      <c r="F88" s="104"/>
      <c r="H88" s="96" t="s">
        <v>1281</v>
      </c>
      <c r="I88" s="97" t="s">
        <v>1281</v>
      </c>
      <c r="J88" s="97" t="s">
        <v>1281</v>
      </c>
      <c r="K88" s="104"/>
      <c r="M88" s="96" t="s">
        <v>1281</v>
      </c>
      <c r="N88" s="97" t="s">
        <v>1281</v>
      </c>
      <c r="O88" s="97" t="s">
        <v>1281</v>
      </c>
      <c r="P88" s="104"/>
    </row>
    <row r="89" spans="3:16" ht="21" x14ac:dyDescent="0.4">
      <c r="C89" s="96" t="s">
        <v>1281</v>
      </c>
      <c r="D89" s="97" t="s">
        <v>1281</v>
      </c>
      <c r="E89" s="97" t="s">
        <v>1281</v>
      </c>
      <c r="F89" s="104"/>
      <c r="H89" s="96" t="s">
        <v>1281</v>
      </c>
      <c r="I89" s="97" t="s">
        <v>1281</v>
      </c>
      <c r="J89" s="97" t="s">
        <v>1281</v>
      </c>
      <c r="K89" s="104"/>
      <c r="M89" s="96" t="s">
        <v>1281</v>
      </c>
      <c r="N89" s="97" t="s">
        <v>1281</v>
      </c>
      <c r="O89" s="97" t="s">
        <v>1281</v>
      </c>
      <c r="P89" s="104"/>
    </row>
    <row r="90" spans="3:16" ht="21" x14ac:dyDescent="0.4">
      <c r="C90" s="96" t="s">
        <v>1281</v>
      </c>
      <c r="D90" s="97" t="s">
        <v>1281</v>
      </c>
      <c r="E90" s="97" t="s">
        <v>1281</v>
      </c>
      <c r="F90" s="104"/>
      <c r="H90" s="96" t="s">
        <v>1281</v>
      </c>
      <c r="I90" s="97" t="s">
        <v>1281</v>
      </c>
      <c r="J90" s="97" t="s">
        <v>1281</v>
      </c>
      <c r="K90" s="104"/>
      <c r="M90" s="96" t="s">
        <v>1281</v>
      </c>
      <c r="N90" s="97" t="s">
        <v>1281</v>
      </c>
      <c r="O90" s="97" t="s">
        <v>1281</v>
      </c>
      <c r="P90" s="104"/>
    </row>
    <row r="91" spans="3:16" ht="21" x14ac:dyDescent="0.4">
      <c r="C91" s="96" t="s">
        <v>1281</v>
      </c>
      <c r="D91" s="97" t="s">
        <v>1281</v>
      </c>
      <c r="E91" s="97" t="s">
        <v>1281</v>
      </c>
      <c r="F91" s="104"/>
      <c r="H91" s="96" t="s">
        <v>1281</v>
      </c>
      <c r="I91" s="97" t="s">
        <v>1281</v>
      </c>
      <c r="J91" s="97" t="s">
        <v>1281</v>
      </c>
      <c r="K91" s="104"/>
      <c r="M91" s="96" t="s">
        <v>1281</v>
      </c>
      <c r="N91" s="97" t="s">
        <v>1281</v>
      </c>
      <c r="O91" s="97" t="s">
        <v>1281</v>
      </c>
      <c r="P91" s="104"/>
    </row>
    <row r="92" spans="3:16" ht="21" x14ac:dyDescent="0.4">
      <c r="C92" s="96" t="s">
        <v>1281</v>
      </c>
      <c r="D92" s="97" t="s">
        <v>1281</v>
      </c>
      <c r="E92" s="97" t="s">
        <v>1281</v>
      </c>
      <c r="F92" s="104"/>
      <c r="H92" s="96" t="s">
        <v>1281</v>
      </c>
      <c r="I92" s="97" t="s">
        <v>1281</v>
      </c>
      <c r="J92" s="97" t="s">
        <v>1281</v>
      </c>
      <c r="K92" s="104"/>
      <c r="M92" s="96" t="s">
        <v>1281</v>
      </c>
      <c r="N92" s="97" t="s">
        <v>1281</v>
      </c>
      <c r="O92" s="97" t="s">
        <v>1281</v>
      </c>
      <c r="P92" s="104"/>
    </row>
    <row r="93" spans="3:16" ht="21" x14ac:dyDescent="0.4">
      <c r="C93" s="96" t="s">
        <v>1281</v>
      </c>
      <c r="D93" s="97" t="s">
        <v>1281</v>
      </c>
      <c r="E93" s="97" t="s">
        <v>1281</v>
      </c>
      <c r="F93" s="104"/>
      <c r="H93" s="96" t="s">
        <v>1281</v>
      </c>
      <c r="I93" s="97" t="s">
        <v>1281</v>
      </c>
      <c r="J93" s="97" t="s">
        <v>1281</v>
      </c>
      <c r="K93" s="104"/>
      <c r="M93" s="96" t="s">
        <v>1281</v>
      </c>
      <c r="N93" s="97" t="s">
        <v>1281</v>
      </c>
      <c r="O93" s="97" t="s">
        <v>1281</v>
      </c>
      <c r="P93" s="104"/>
    </row>
    <row r="94" spans="3:16" ht="21" x14ac:dyDescent="0.4">
      <c r="C94" s="96" t="s">
        <v>1281</v>
      </c>
      <c r="D94" s="97" t="s">
        <v>1281</v>
      </c>
      <c r="E94" s="97" t="s">
        <v>1281</v>
      </c>
      <c r="F94" s="104"/>
      <c r="H94" s="96" t="s">
        <v>1281</v>
      </c>
      <c r="I94" s="97" t="s">
        <v>1281</v>
      </c>
      <c r="J94" s="97" t="s">
        <v>1281</v>
      </c>
      <c r="K94" s="104"/>
      <c r="M94" s="96" t="s">
        <v>1281</v>
      </c>
      <c r="N94" s="97" t="s">
        <v>1281</v>
      </c>
      <c r="O94" s="97" t="s">
        <v>1281</v>
      </c>
      <c r="P94" s="104"/>
    </row>
    <row r="95" spans="3:16" ht="21" x14ac:dyDescent="0.4">
      <c r="C95" s="96" t="s">
        <v>1281</v>
      </c>
      <c r="D95" s="97" t="s">
        <v>1281</v>
      </c>
      <c r="E95" s="97" t="s">
        <v>1281</v>
      </c>
      <c r="F95" s="104"/>
      <c r="H95" s="96" t="s">
        <v>1281</v>
      </c>
      <c r="I95" s="97" t="s">
        <v>1281</v>
      </c>
      <c r="J95" s="97" t="s">
        <v>1281</v>
      </c>
      <c r="K95" s="104"/>
      <c r="M95" s="96" t="s">
        <v>1281</v>
      </c>
      <c r="N95" s="97" t="s">
        <v>1281</v>
      </c>
      <c r="O95" s="97" t="s">
        <v>1281</v>
      </c>
      <c r="P95" s="104"/>
    </row>
    <row r="96" spans="3:16" ht="21" x14ac:dyDescent="0.4">
      <c r="C96" s="96" t="s">
        <v>1281</v>
      </c>
      <c r="D96" s="97" t="s">
        <v>1281</v>
      </c>
      <c r="E96" s="97" t="s">
        <v>1281</v>
      </c>
      <c r="F96" s="104"/>
      <c r="H96" s="96" t="s">
        <v>1281</v>
      </c>
      <c r="I96" s="97" t="s">
        <v>1281</v>
      </c>
      <c r="J96" s="97" t="s">
        <v>1281</v>
      </c>
      <c r="K96" s="104"/>
      <c r="M96" s="96" t="s">
        <v>1281</v>
      </c>
      <c r="N96" s="97" t="s">
        <v>1281</v>
      </c>
      <c r="O96" s="97" t="s">
        <v>1281</v>
      </c>
      <c r="P96" s="104"/>
    </row>
    <row r="97" spans="3:16" ht="21" x14ac:dyDescent="0.4">
      <c r="C97" s="96" t="s">
        <v>1281</v>
      </c>
      <c r="D97" s="97" t="s">
        <v>1281</v>
      </c>
      <c r="E97" s="97" t="s">
        <v>1281</v>
      </c>
      <c r="F97" s="104"/>
      <c r="H97" s="96" t="s">
        <v>1281</v>
      </c>
      <c r="I97" s="97" t="s">
        <v>1281</v>
      </c>
      <c r="J97" s="97" t="s">
        <v>1281</v>
      </c>
      <c r="K97" s="104"/>
      <c r="M97" s="96" t="s">
        <v>1281</v>
      </c>
      <c r="N97" s="97" t="s">
        <v>1281</v>
      </c>
      <c r="O97" s="97" t="s">
        <v>1281</v>
      </c>
      <c r="P97" s="104"/>
    </row>
    <row r="98" spans="3:16" ht="21" x14ac:dyDescent="0.4">
      <c r="C98" s="96" t="s">
        <v>1281</v>
      </c>
      <c r="D98" s="97" t="s">
        <v>1281</v>
      </c>
      <c r="E98" s="97" t="s">
        <v>1281</v>
      </c>
      <c r="F98" s="104"/>
      <c r="H98" s="96" t="s">
        <v>1281</v>
      </c>
      <c r="I98" s="97" t="s">
        <v>1281</v>
      </c>
      <c r="J98" s="97" t="s">
        <v>1281</v>
      </c>
      <c r="K98" s="104"/>
      <c r="M98" s="96" t="s">
        <v>1281</v>
      </c>
      <c r="N98" s="97" t="s">
        <v>1281</v>
      </c>
      <c r="O98" s="97" t="s">
        <v>1281</v>
      </c>
      <c r="P98" s="104"/>
    </row>
    <row r="99" spans="3:16" ht="21" x14ac:dyDescent="0.4">
      <c r="C99" s="96" t="s">
        <v>1281</v>
      </c>
      <c r="D99" s="97" t="s">
        <v>1281</v>
      </c>
      <c r="E99" s="97" t="s">
        <v>1281</v>
      </c>
      <c r="F99" s="104"/>
      <c r="H99" s="96" t="s">
        <v>1281</v>
      </c>
      <c r="I99" s="97" t="s">
        <v>1281</v>
      </c>
      <c r="J99" s="97" t="s">
        <v>1281</v>
      </c>
      <c r="K99" s="104"/>
      <c r="M99" s="96" t="s">
        <v>1281</v>
      </c>
      <c r="N99" s="97" t="s">
        <v>1281</v>
      </c>
      <c r="O99" s="97" t="s">
        <v>1281</v>
      </c>
      <c r="P99" s="104"/>
    </row>
    <row r="100" spans="3:16" ht="21" x14ac:dyDescent="0.4">
      <c r="C100" s="96" t="s">
        <v>1281</v>
      </c>
      <c r="D100" s="97" t="s">
        <v>1281</v>
      </c>
      <c r="E100" s="97" t="s">
        <v>1281</v>
      </c>
      <c r="F100" s="104"/>
      <c r="H100" s="96" t="s">
        <v>1281</v>
      </c>
      <c r="I100" s="97" t="s">
        <v>1281</v>
      </c>
      <c r="J100" s="97" t="s">
        <v>1281</v>
      </c>
      <c r="K100" s="104"/>
      <c r="M100" s="96" t="s">
        <v>1281</v>
      </c>
      <c r="N100" s="97" t="s">
        <v>1281</v>
      </c>
      <c r="O100" s="97" t="s">
        <v>1281</v>
      </c>
      <c r="P100" s="104"/>
    </row>
    <row r="101" spans="3:16" ht="21" x14ac:dyDescent="0.4">
      <c r="C101" s="96" t="s">
        <v>1281</v>
      </c>
      <c r="D101" s="97" t="s">
        <v>1281</v>
      </c>
      <c r="E101" s="97" t="s">
        <v>1281</v>
      </c>
      <c r="F101" s="104"/>
      <c r="H101" s="96" t="s">
        <v>1281</v>
      </c>
      <c r="I101" s="97" t="s">
        <v>1281</v>
      </c>
      <c r="J101" s="97" t="s">
        <v>1281</v>
      </c>
      <c r="K101" s="104"/>
      <c r="M101" s="96" t="s">
        <v>1281</v>
      </c>
      <c r="N101" s="97" t="s">
        <v>1281</v>
      </c>
      <c r="O101" s="97" t="s">
        <v>1281</v>
      </c>
      <c r="P101" s="104"/>
    </row>
    <row r="102" spans="3:16" ht="21" x14ac:dyDescent="0.4">
      <c r="C102" s="96" t="s">
        <v>1281</v>
      </c>
      <c r="D102" s="97" t="s">
        <v>1281</v>
      </c>
      <c r="E102" s="97" t="s">
        <v>1281</v>
      </c>
      <c r="F102" s="104"/>
      <c r="H102" s="96" t="s">
        <v>1281</v>
      </c>
      <c r="I102" s="97" t="s">
        <v>1281</v>
      </c>
      <c r="J102" s="97" t="s">
        <v>1281</v>
      </c>
      <c r="K102" s="104"/>
      <c r="M102" s="96" t="s">
        <v>1281</v>
      </c>
      <c r="N102" s="97" t="s">
        <v>1281</v>
      </c>
      <c r="O102" s="97" t="s">
        <v>1281</v>
      </c>
      <c r="P102" s="104"/>
    </row>
    <row r="103" spans="3:16" ht="21" x14ac:dyDescent="0.4">
      <c r="C103" s="96" t="s">
        <v>1281</v>
      </c>
      <c r="D103" s="97" t="s">
        <v>1281</v>
      </c>
      <c r="E103" s="97" t="s">
        <v>1281</v>
      </c>
      <c r="F103" s="104"/>
      <c r="H103" s="96" t="s">
        <v>1281</v>
      </c>
      <c r="I103" s="97" t="s">
        <v>1281</v>
      </c>
      <c r="J103" s="97" t="s">
        <v>1281</v>
      </c>
      <c r="K103" s="104"/>
      <c r="M103" s="96" t="s">
        <v>1281</v>
      </c>
      <c r="N103" s="97" t="s">
        <v>1281</v>
      </c>
      <c r="O103" s="97" t="s">
        <v>1281</v>
      </c>
      <c r="P103" s="104"/>
    </row>
    <row r="104" spans="3:16" ht="21" x14ac:dyDescent="0.4">
      <c r="C104" s="96" t="s">
        <v>1281</v>
      </c>
      <c r="D104" s="97" t="s">
        <v>1281</v>
      </c>
      <c r="E104" s="97" t="s">
        <v>1281</v>
      </c>
      <c r="F104" s="104"/>
      <c r="H104" s="96" t="s">
        <v>1281</v>
      </c>
      <c r="I104" s="97" t="s">
        <v>1281</v>
      </c>
      <c r="J104" s="97" t="s">
        <v>1281</v>
      </c>
      <c r="K104" s="104"/>
      <c r="M104" s="96" t="s">
        <v>1281</v>
      </c>
      <c r="N104" s="97" t="s">
        <v>1281</v>
      </c>
      <c r="O104" s="97" t="s">
        <v>1281</v>
      </c>
      <c r="P104" s="104"/>
    </row>
    <row r="105" spans="3:16" ht="21" x14ac:dyDescent="0.4">
      <c r="C105" s="96" t="s">
        <v>1281</v>
      </c>
      <c r="D105" s="97" t="s">
        <v>1281</v>
      </c>
      <c r="E105" s="97" t="s">
        <v>1281</v>
      </c>
      <c r="F105" s="104"/>
      <c r="H105" s="96" t="s">
        <v>1281</v>
      </c>
      <c r="I105" s="97" t="s">
        <v>1281</v>
      </c>
      <c r="J105" s="97" t="s">
        <v>1281</v>
      </c>
      <c r="K105" s="104"/>
      <c r="M105" s="96" t="s">
        <v>1281</v>
      </c>
      <c r="N105" s="97" t="s">
        <v>1281</v>
      </c>
      <c r="O105" s="97" t="s">
        <v>1281</v>
      </c>
      <c r="P105" s="104"/>
    </row>
    <row r="106" spans="3:16" ht="21" x14ac:dyDescent="0.4">
      <c r="C106" s="96" t="s">
        <v>1281</v>
      </c>
      <c r="D106" s="97" t="s">
        <v>1281</v>
      </c>
      <c r="E106" s="97" t="s">
        <v>1281</v>
      </c>
      <c r="F106" s="104"/>
      <c r="H106" s="96" t="s">
        <v>1281</v>
      </c>
      <c r="I106" s="97" t="s">
        <v>1281</v>
      </c>
      <c r="J106" s="97" t="s">
        <v>1281</v>
      </c>
      <c r="K106" s="104"/>
      <c r="M106" s="96" t="s">
        <v>1281</v>
      </c>
      <c r="N106" s="97" t="s">
        <v>1281</v>
      </c>
      <c r="O106" s="97" t="s">
        <v>1281</v>
      </c>
      <c r="P106" s="104"/>
    </row>
    <row r="107" spans="3:16" ht="21" x14ac:dyDescent="0.4">
      <c r="C107" s="96" t="s">
        <v>1281</v>
      </c>
      <c r="D107" s="97" t="s">
        <v>1281</v>
      </c>
      <c r="E107" s="97" t="s">
        <v>1281</v>
      </c>
      <c r="F107" s="104"/>
      <c r="H107" s="96" t="s">
        <v>1281</v>
      </c>
      <c r="I107" s="97" t="s">
        <v>1281</v>
      </c>
      <c r="J107" s="97" t="s">
        <v>1281</v>
      </c>
      <c r="K107" s="104"/>
      <c r="M107" s="96" t="s">
        <v>1281</v>
      </c>
      <c r="N107" s="97" t="s">
        <v>1281</v>
      </c>
      <c r="O107" s="97" t="s">
        <v>1281</v>
      </c>
      <c r="P107" s="104"/>
    </row>
    <row r="108" spans="3:16" ht="21" x14ac:dyDescent="0.4">
      <c r="C108" s="96" t="s">
        <v>1281</v>
      </c>
      <c r="D108" s="97" t="s">
        <v>1281</v>
      </c>
      <c r="E108" s="97" t="s">
        <v>1281</v>
      </c>
      <c r="F108" s="104"/>
      <c r="H108" s="96" t="s">
        <v>1281</v>
      </c>
      <c r="I108" s="97" t="s">
        <v>1281</v>
      </c>
      <c r="J108" s="97" t="s">
        <v>1281</v>
      </c>
      <c r="K108" s="104"/>
      <c r="M108" s="96" t="s">
        <v>1281</v>
      </c>
      <c r="N108" s="97" t="s">
        <v>1281</v>
      </c>
      <c r="O108" s="97" t="s">
        <v>1281</v>
      </c>
      <c r="P108" s="104"/>
    </row>
    <row r="109" spans="3:16" ht="21" x14ac:dyDescent="0.4">
      <c r="C109" s="96" t="s">
        <v>1281</v>
      </c>
      <c r="D109" s="97" t="s">
        <v>1281</v>
      </c>
      <c r="E109" s="97" t="s">
        <v>1281</v>
      </c>
      <c r="F109" s="104"/>
      <c r="H109" s="96" t="s">
        <v>1281</v>
      </c>
      <c r="I109" s="97" t="s">
        <v>1281</v>
      </c>
      <c r="J109" s="97" t="s">
        <v>1281</v>
      </c>
      <c r="K109" s="104"/>
      <c r="M109" s="96" t="s">
        <v>1281</v>
      </c>
      <c r="N109" s="97" t="s">
        <v>1281</v>
      </c>
      <c r="O109" s="97" t="s">
        <v>1281</v>
      </c>
      <c r="P109" s="104"/>
    </row>
    <row r="110" spans="3:16" ht="21" x14ac:dyDescent="0.4">
      <c r="C110" s="96" t="s">
        <v>1281</v>
      </c>
      <c r="D110" s="97" t="s">
        <v>1281</v>
      </c>
      <c r="E110" s="97" t="s">
        <v>1281</v>
      </c>
      <c r="F110" s="104"/>
      <c r="H110" s="96" t="s">
        <v>1281</v>
      </c>
      <c r="I110" s="97" t="s">
        <v>1281</v>
      </c>
      <c r="J110" s="97" t="s">
        <v>1281</v>
      </c>
      <c r="K110" s="104"/>
      <c r="M110" s="96" t="s">
        <v>1281</v>
      </c>
      <c r="N110" s="97" t="s">
        <v>1281</v>
      </c>
      <c r="O110" s="97" t="s">
        <v>1281</v>
      </c>
      <c r="P110" s="104"/>
    </row>
    <row r="111" spans="3:16" ht="21" x14ac:dyDescent="0.4">
      <c r="C111" s="96" t="s">
        <v>1281</v>
      </c>
      <c r="D111" s="97" t="s">
        <v>1281</v>
      </c>
      <c r="E111" s="97" t="s">
        <v>1281</v>
      </c>
      <c r="F111" s="104"/>
      <c r="H111" s="96" t="s">
        <v>1281</v>
      </c>
      <c r="I111" s="97" t="s">
        <v>1281</v>
      </c>
      <c r="J111" s="97" t="s">
        <v>1281</v>
      </c>
      <c r="K111" s="104"/>
      <c r="M111" s="96" t="s">
        <v>1281</v>
      </c>
      <c r="N111" s="97" t="s">
        <v>1281</v>
      </c>
      <c r="O111" s="97" t="s">
        <v>1281</v>
      </c>
      <c r="P111" s="104"/>
    </row>
    <row r="112" spans="3:16" ht="21" x14ac:dyDescent="0.4">
      <c r="C112" s="96" t="s">
        <v>1281</v>
      </c>
      <c r="D112" s="97" t="s">
        <v>1281</v>
      </c>
      <c r="E112" s="97" t="s">
        <v>1281</v>
      </c>
      <c r="F112" s="104"/>
      <c r="H112" s="96" t="s">
        <v>1281</v>
      </c>
      <c r="I112" s="97" t="s">
        <v>1281</v>
      </c>
      <c r="J112" s="97" t="s">
        <v>1281</v>
      </c>
      <c r="K112" s="104"/>
      <c r="M112" s="96" t="s">
        <v>1281</v>
      </c>
      <c r="N112" s="97" t="s">
        <v>1281</v>
      </c>
      <c r="O112" s="97" t="s">
        <v>1281</v>
      </c>
      <c r="P112" s="104"/>
    </row>
    <row r="113" spans="3:16" ht="21" x14ac:dyDescent="0.4">
      <c r="C113" s="96" t="s">
        <v>1281</v>
      </c>
      <c r="D113" s="97" t="s">
        <v>1281</v>
      </c>
      <c r="E113" s="97" t="s">
        <v>1281</v>
      </c>
      <c r="F113" s="104"/>
      <c r="H113" s="96" t="s">
        <v>1281</v>
      </c>
      <c r="I113" s="97" t="s">
        <v>1281</v>
      </c>
      <c r="J113" s="97" t="s">
        <v>1281</v>
      </c>
      <c r="K113" s="104"/>
      <c r="M113" s="96" t="s">
        <v>1281</v>
      </c>
      <c r="N113" s="97" t="s">
        <v>1281</v>
      </c>
      <c r="O113" s="97" t="s">
        <v>1281</v>
      </c>
      <c r="P113" s="104"/>
    </row>
    <row r="114" spans="3:16" ht="21" x14ac:dyDescent="0.4">
      <c r="C114" s="96" t="s">
        <v>1281</v>
      </c>
      <c r="D114" s="97" t="s">
        <v>1281</v>
      </c>
      <c r="E114" s="97" t="s">
        <v>1281</v>
      </c>
      <c r="F114" s="104"/>
      <c r="H114" s="96" t="s">
        <v>1281</v>
      </c>
      <c r="I114" s="97" t="s">
        <v>1281</v>
      </c>
      <c r="J114" s="97" t="s">
        <v>1281</v>
      </c>
      <c r="K114" s="104"/>
      <c r="M114" s="96" t="s">
        <v>1281</v>
      </c>
      <c r="N114" s="97" t="s">
        <v>1281</v>
      </c>
      <c r="O114" s="97" t="s">
        <v>1281</v>
      </c>
      <c r="P114" s="104"/>
    </row>
    <row r="115" spans="3:16" ht="21" x14ac:dyDescent="0.4">
      <c r="C115" s="96" t="s">
        <v>1281</v>
      </c>
      <c r="D115" s="97" t="s">
        <v>1281</v>
      </c>
      <c r="E115" s="97" t="s">
        <v>1281</v>
      </c>
      <c r="F115" s="104"/>
      <c r="H115" s="96" t="s">
        <v>1281</v>
      </c>
      <c r="I115" s="97" t="s">
        <v>1281</v>
      </c>
      <c r="J115" s="97" t="s">
        <v>1281</v>
      </c>
      <c r="K115" s="104"/>
      <c r="M115" s="96" t="s">
        <v>1281</v>
      </c>
      <c r="N115" s="97" t="s">
        <v>1281</v>
      </c>
      <c r="O115" s="97" t="s">
        <v>1281</v>
      </c>
      <c r="P115" s="104"/>
    </row>
    <row r="116" spans="3:16" ht="21" x14ac:dyDescent="0.4">
      <c r="C116" s="96" t="s">
        <v>1281</v>
      </c>
      <c r="D116" s="97" t="s">
        <v>1281</v>
      </c>
      <c r="E116" s="97" t="s">
        <v>1281</v>
      </c>
      <c r="F116" s="104"/>
      <c r="H116" s="96" t="s">
        <v>1281</v>
      </c>
      <c r="I116" s="97" t="s">
        <v>1281</v>
      </c>
      <c r="J116" s="97" t="s">
        <v>1281</v>
      </c>
      <c r="K116" s="104"/>
      <c r="M116" s="96" t="s">
        <v>1281</v>
      </c>
      <c r="N116" s="97" t="s">
        <v>1281</v>
      </c>
      <c r="O116" s="97" t="s">
        <v>1281</v>
      </c>
      <c r="P116" s="104"/>
    </row>
    <row r="117" spans="3:16" ht="21" x14ac:dyDescent="0.4">
      <c r="C117" s="96" t="s">
        <v>1281</v>
      </c>
      <c r="D117" s="97" t="s">
        <v>1281</v>
      </c>
      <c r="E117" s="97" t="s">
        <v>1281</v>
      </c>
      <c r="F117" s="104"/>
      <c r="H117" s="96" t="s">
        <v>1281</v>
      </c>
      <c r="I117" s="97" t="s">
        <v>1281</v>
      </c>
      <c r="J117" s="97" t="s">
        <v>1281</v>
      </c>
      <c r="K117" s="104"/>
      <c r="M117" s="96" t="s">
        <v>1281</v>
      </c>
      <c r="N117" s="97" t="s">
        <v>1281</v>
      </c>
      <c r="O117" s="97" t="s">
        <v>1281</v>
      </c>
      <c r="P117" s="104"/>
    </row>
    <row r="118" spans="3:16" ht="21" x14ac:dyDescent="0.4">
      <c r="C118" s="96" t="s">
        <v>1281</v>
      </c>
      <c r="D118" s="97" t="s">
        <v>1281</v>
      </c>
      <c r="E118" s="97" t="s">
        <v>1281</v>
      </c>
      <c r="F118" s="104"/>
      <c r="H118" s="96" t="s">
        <v>1281</v>
      </c>
      <c r="I118" s="97" t="s">
        <v>1281</v>
      </c>
      <c r="J118" s="97" t="s">
        <v>1281</v>
      </c>
      <c r="K118" s="104"/>
      <c r="M118" s="96" t="s">
        <v>1281</v>
      </c>
      <c r="N118" s="97" t="s">
        <v>1281</v>
      </c>
      <c r="O118" s="97" t="s">
        <v>1281</v>
      </c>
      <c r="P118" s="104"/>
    </row>
    <row r="119" spans="3:16" ht="21" x14ac:dyDescent="0.4">
      <c r="C119" s="96" t="s">
        <v>1281</v>
      </c>
      <c r="D119" s="97" t="s">
        <v>1281</v>
      </c>
      <c r="E119" s="97" t="s">
        <v>1281</v>
      </c>
      <c r="F119" s="104"/>
      <c r="H119" s="96" t="s">
        <v>1281</v>
      </c>
      <c r="I119" s="97" t="s">
        <v>1281</v>
      </c>
      <c r="J119" s="97" t="s">
        <v>1281</v>
      </c>
      <c r="K119" s="104"/>
      <c r="M119" s="96" t="s">
        <v>1281</v>
      </c>
      <c r="N119" s="97" t="s">
        <v>1281</v>
      </c>
      <c r="O119" s="97" t="s">
        <v>1281</v>
      </c>
      <c r="P119" s="104"/>
    </row>
    <row r="120" spans="3:16" ht="21" x14ac:dyDescent="0.4">
      <c r="C120" s="96" t="s">
        <v>1281</v>
      </c>
      <c r="D120" s="97" t="s">
        <v>1281</v>
      </c>
      <c r="E120" s="97" t="s">
        <v>1281</v>
      </c>
      <c r="F120" s="104"/>
      <c r="H120" s="96" t="s">
        <v>1281</v>
      </c>
      <c r="I120" s="97" t="s">
        <v>1281</v>
      </c>
      <c r="J120" s="97" t="s">
        <v>1281</v>
      </c>
      <c r="K120" s="104"/>
      <c r="M120" s="96" t="s">
        <v>1281</v>
      </c>
      <c r="N120" s="97" t="s">
        <v>1281</v>
      </c>
      <c r="O120" s="97" t="s">
        <v>1281</v>
      </c>
      <c r="P120" s="104"/>
    </row>
    <row r="121" spans="3:16" ht="21" x14ac:dyDescent="0.4">
      <c r="C121" s="96" t="s">
        <v>1281</v>
      </c>
      <c r="D121" s="97" t="s">
        <v>1281</v>
      </c>
      <c r="E121" s="97" t="s">
        <v>1281</v>
      </c>
      <c r="F121" s="104"/>
      <c r="H121" s="96" t="s">
        <v>1281</v>
      </c>
      <c r="I121" s="97" t="s">
        <v>1281</v>
      </c>
      <c r="J121" s="97" t="s">
        <v>1281</v>
      </c>
      <c r="K121" s="104"/>
      <c r="M121" s="96" t="s">
        <v>1281</v>
      </c>
      <c r="N121" s="97" t="s">
        <v>1281</v>
      </c>
      <c r="O121" s="97" t="s">
        <v>1281</v>
      </c>
      <c r="P121" s="104"/>
    </row>
    <row r="122" spans="3:16" ht="21" x14ac:dyDescent="0.4">
      <c r="C122" s="96" t="s">
        <v>1281</v>
      </c>
      <c r="D122" s="97" t="s">
        <v>1281</v>
      </c>
      <c r="E122" s="97" t="s">
        <v>1281</v>
      </c>
      <c r="F122" s="104"/>
      <c r="H122" s="96" t="s">
        <v>1281</v>
      </c>
      <c r="I122" s="97" t="s">
        <v>1281</v>
      </c>
      <c r="J122" s="97" t="s">
        <v>1281</v>
      </c>
      <c r="K122" s="104"/>
      <c r="M122" s="96" t="s">
        <v>1281</v>
      </c>
      <c r="N122" s="97" t="s">
        <v>1281</v>
      </c>
      <c r="O122" s="97" t="s">
        <v>1281</v>
      </c>
      <c r="P122" s="104"/>
    </row>
    <row r="123" spans="3:16" ht="21" x14ac:dyDescent="0.4">
      <c r="C123" s="96" t="s">
        <v>1281</v>
      </c>
      <c r="D123" s="97" t="s">
        <v>1281</v>
      </c>
      <c r="E123" s="97" t="s">
        <v>1281</v>
      </c>
      <c r="F123" s="104"/>
      <c r="H123" s="96" t="s">
        <v>1281</v>
      </c>
      <c r="I123" s="97" t="s">
        <v>1281</v>
      </c>
      <c r="J123" s="97" t="s">
        <v>1281</v>
      </c>
      <c r="K123" s="104"/>
      <c r="M123" s="96" t="s">
        <v>1281</v>
      </c>
      <c r="N123" s="97" t="s">
        <v>1281</v>
      </c>
      <c r="O123" s="97" t="s">
        <v>1281</v>
      </c>
      <c r="P123" s="104"/>
    </row>
    <row r="124" spans="3:16" ht="21" x14ac:dyDescent="0.4">
      <c r="C124" s="96" t="s">
        <v>1281</v>
      </c>
      <c r="D124" s="97" t="s">
        <v>1281</v>
      </c>
      <c r="E124" s="97" t="s">
        <v>1281</v>
      </c>
      <c r="F124" s="104"/>
      <c r="H124" s="96" t="s">
        <v>1281</v>
      </c>
      <c r="I124" s="97" t="s">
        <v>1281</v>
      </c>
      <c r="J124" s="97" t="s">
        <v>1281</v>
      </c>
      <c r="K124" s="104"/>
      <c r="M124" s="96" t="s">
        <v>1281</v>
      </c>
      <c r="N124" s="97" t="s">
        <v>1281</v>
      </c>
      <c r="O124" s="97" t="s">
        <v>1281</v>
      </c>
      <c r="P124" s="104"/>
    </row>
    <row r="125" spans="3:16" ht="21" x14ac:dyDescent="0.4">
      <c r="C125" s="96" t="s">
        <v>1281</v>
      </c>
      <c r="D125" s="97" t="s">
        <v>1281</v>
      </c>
      <c r="E125" s="97" t="s">
        <v>1281</v>
      </c>
      <c r="F125" s="104"/>
      <c r="H125" s="96" t="s">
        <v>1281</v>
      </c>
      <c r="I125" s="97" t="s">
        <v>1281</v>
      </c>
      <c r="J125" s="97" t="s">
        <v>1281</v>
      </c>
      <c r="K125" s="104"/>
      <c r="M125" s="96" t="s">
        <v>1281</v>
      </c>
      <c r="N125" s="97" t="s">
        <v>1281</v>
      </c>
      <c r="O125" s="97" t="s">
        <v>1281</v>
      </c>
      <c r="P125" s="104"/>
    </row>
    <row r="126" spans="3:16" ht="21" x14ac:dyDescent="0.4">
      <c r="C126" s="96" t="s">
        <v>1281</v>
      </c>
      <c r="D126" s="97" t="s">
        <v>1281</v>
      </c>
      <c r="E126" s="97" t="s">
        <v>1281</v>
      </c>
      <c r="F126" s="104"/>
      <c r="H126" s="96" t="s">
        <v>1281</v>
      </c>
      <c r="I126" s="97" t="s">
        <v>1281</v>
      </c>
      <c r="J126" s="97" t="s">
        <v>1281</v>
      </c>
      <c r="K126" s="104"/>
      <c r="M126" s="96" t="s">
        <v>1281</v>
      </c>
      <c r="N126" s="97" t="s">
        <v>1281</v>
      </c>
      <c r="O126" s="97" t="s">
        <v>1281</v>
      </c>
      <c r="P126" s="104"/>
    </row>
    <row r="127" spans="3:16" ht="21" x14ac:dyDescent="0.4">
      <c r="C127" s="96" t="s">
        <v>1281</v>
      </c>
      <c r="D127" s="97" t="s">
        <v>1281</v>
      </c>
      <c r="E127" s="97" t="s">
        <v>1281</v>
      </c>
      <c r="F127" s="104"/>
      <c r="H127" s="96" t="s">
        <v>1281</v>
      </c>
      <c r="I127" s="97" t="s">
        <v>1281</v>
      </c>
      <c r="J127" s="97" t="s">
        <v>1281</v>
      </c>
      <c r="K127" s="104"/>
      <c r="M127" s="96" t="s">
        <v>1281</v>
      </c>
      <c r="N127" s="97" t="s">
        <v>1281</v>
      </c>
      <c r="O127" s="97" t="s">
        <v>1281</v>
      </c>
      <c r="P127" s="104"/>
    </row>
    <row r="128" spans="3:16" ht="21" x14ac:dyDescent="0.4">
      <c r="C128" s="96" t="s">
        <v>1281</v>
      </c>
      <c r="D128" s="97" t="s">
        <v>1281</v>
      </c>
      <c r="E128" s="97" t="s">
        <v>1281</v>
      </c>
      <c r="F128" s="104"/>
      <c r="H128" s="96" t="s">
        <v>1281</v>
      </c>
      <c r="I128" s="97" t="s">
        <v>1281</v>
      </c>
      <c r="J128" s="97" t="s">
        <v>1281</v>
      </c>
      <c r="K128" s="104"/>
      <c r="M128" s="96" t="s">
        <v>1281</v>
      </c>
      <c r="N128" s="97" t="s">
        <v>1281</v>
      </c>
      <c r="O128" s="97" t="s">
        <v>1281</v>
      </c>
      <c r="P128" s="104"/>
    </row>
    <row r="129" spans="3:16" ht="21" x14ac:dyDescent="0.4">
      <c r="C129" s="96" t="s">
        <v>1281</v>
      </c>
      <c r="D129" s="97" t="s">
        <v>1281</v>
      </c>
      <c r="E129" s="97" t="s">
        <v>1281</v>
      </c>
      <c r="F129" s="104"/>
      <c r="H129" s="96" t="s">
        <v>1281</v>
      </c>
      <c r="I129" s="97" t="s">
        <v>1281</v>
      </c>
      <c r="J129" s="97" t="s">
        <v>1281</v>
      </c>
      <c r="K129" s="104"/>
      <c r="M129" s="96" t="s">
        <v>1281</v>
      </c>
      <c r="N129" s="97" t="s">
        <v>1281</v>
      </c>
      <c r="O129" s="97" t="s">
        <v>1281</v>
      </c>
      <c r="P129" s="104"/>
    </row>
    <row r="130" spans="3:16" ht="21" x14ac:dyDescent="0.4">
      <c r="C130" s="96" t="s">
        <v>1281</v>
      </c>
      <c r="D130" s="97" t="s">
        <v>1281</v>
      </c>
      <c r="E130" s="97" t="s">
        <v>1281</v>
      </c>
      <c r="F130" s="104"/>
      <c r="H130" s="96" t="s">
        <v>1281</v>
      </c>
      <c r="I130" s="97" t="s">
        <v>1281</v>
      </c>
      <c r="J130" s="97" t="s">
        <v>1281</v>
      </c>
      <c r="K130" s="104"/>
      <c r="M130" s="96" t="s">
        <v>1281</v>
      </c>
      <c r="N130" s="97" t="s">
        <v>1281</v>
      </c>
      <c r="O130" s="97" t="s">
        <v>1281</v>
      </c>
      <c r="P130" s="104"/>
    </row>
    <row r="131" spans="3:16" ht="21" x14ac:dyDescent="0.4">
      <c r="C131" s="96" t="s">
        <v>1281</v>
      </c>
      <c r="D131" s="97" t="s">
        <v>1281</v>
      </c>
      <c r="E131" s="97" t="s">
        <v>1281</v>
      </c>
      <c r="F131" s="104"/>
      <c r="H131" s="96" t="s">
        <v>1281</v>
      </c>
      <c r="I131" s="97" t="s">
        <v>1281</v>
      </c>
      <c r="J131" s="97" t="s">
        <v>1281</v>
      </c>
      <c r="K131" s="104"/>
      <c r="M131" s="96" t="s">
        <v>1281</v>
      </c>
      <c r="N131" s="97" t="s">
        <v>1281</v>
      </c>
      <c r="O131" s="97" t="s">
        <v>1281</v>
      </c>
      <c r="P131" s="104"/>
    </row>
    <row r="132" spans="3:16" ht="21" x14ac:dyDescent="0.4">
      <c r="C132" s="105" t="s">
        <v>1281</v>
      </c>
      <c r="D132" s="106" t="s">
        <v>1281</v>
      </c>
      <c r="E132" s="106" t="s">
        <v>1281</v>
      </c>
      <c r="F132" s="107"/>
      <c r="H132" s="105" t="s">
        <v>1281</v>
      </c>
      <c r="I132" s="106" t="s">
        <v>1281</v>
      </c>
      <c r="J132" s="106" t="s">
        <v>1281</v>
      </c>
      <c r="K132" s="107"/>
      <c r="M132" s="105" t="s">
        <v>1281</v>
      </c>
      <c r="N132" s="106" t="s">
        <v>1281</v>
      </c>
      <c r="O132" s="106" t="s">
        <v>1281</v>
      </c>
      <c r="P132" s="107"/>
    </row>
  </sheetData>
  <sheetProtection selectLockedCells="1" selectUnlockedCells="1"/>
  <mergeCells count="3">
    <mergeCell ref="C1:G1"/>
    <mergeCell ref="C2:G2"/>
    <mergeCell ref="A1: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ClearFinalSeeding">
                <anchor moveWithCells="1" sizeWithCells="1">
                  <from>
                    <xdr:col>1</xdr:col>
                    <xdr:colOff>464820</xdr:colOff>
                    <xdr:row>0</xdr:row>
                    <xdr:rowOff>152400</xdr:rowOff>
                  </from>
                  <to>
                    <xdr:col>3</xdr:col>
                    <xdr:colOff>106680</xdr:colOff>
                    <xdr:row>1</xdr:row>
                    <xdr:rowOff>152400</xdr:rowOff>
                  </to>
                </anchor>
              </controlPr>
            </control>
          </mc:Choice>
        </mc:AlternateContent>
        <mc:AlternateContent xmlns:mc="http://schemas.openxmlformats.org/markup-compatibility/2006">
          <mc:Choice Requires="x14">
            <control shapeId="139267" r:id="rId5" name="Button 3">
              <controlPr defaultSize="0" print="0" autoFill="0" autoPict="0" macro="[0]!SaveFinalSeedingToXLS">
                <anchor moveWithCells="1" sizeWithCells="1">
                  <from>
                    <xdr:col>5</xdr:col>
                    <xdr:colOff>403860</xdr:colOff>
                    <xdr:row>0</xdr:row>
                    <xdr:rowOff>152400</xdr:rowOff>
                  </from>
                  <to>
                    <xdr:col>6</xdr:col>
                    <xdr:colOff>563880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9997B81-99C8-4C5D-B9B4-9EAB3AF31177}">
          <x14:formula1>
            <xm:f>PlayerEntries!$2:$2</xm:f>
          </x14:formula1>
          <xm:sqref>C3 M3 H3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D87E-F523-4E75-AD3C-3B982774C079}">
  <sheetPr codeName="Sheet4"/>
  <dimension ref="A1:K129"/>
  <sheetViews>
    <sheetView workbookViewId="0">
      <selection activeCell="C5" sqref="C5"/>
    </sheetView>
  </sheetViews>
  <sheetFormatPr defaultRowHeight="18" x14ac:dyDescent="0.35"/>
  <cols>
    <col min="1" max="1" width="9.5546875" style="10" bestFit="1" customWidth="1"/>
    <col min="2" max="2" width="34" style="10" bestFit="1" customWidth="1"/>
    <col min="3" max="3" width="19.44140625" style="10" bestFit="1" customWidth="1"/>
    <col min="4" max="4" width="8.88671875" customWidth="1"/>
    <col min="5" max="5" width="21.109375" customWidth="1"/>
    <col min="6" max="6" width="19.33203125" customWidth="1"/>
    <col min="7" max="7" width="9.109375" customWidth="1"/>
    <col min="8" max="8" width="10.44140625" bestFit="1" customWidth="1"/>
    <col min="9" max="9" width="27.6640625" bestFit="1" customWidth="1"/>
    <col min="10" max="11" width="8.6640625" customWidth="1"/>
  </cols>
  <sheetData>
    <row r="1" spans="1:11" x14ac:dyDescent="0.35">
      <c r="A1" s="10" t="s">
        <v>10</v>
      </c>
      <c r="B1" s="10" t="s">
        <v>21</v>
      </c>
      <c r="C1" s="10" t="s">
        <v>13</v>
      </c>
      <c r="H1" s="177" t="s">
        <v>22</v>
      </c>
      <c r="I1" s="161"/>
      <c r="J1" s="161"/>
      <c r="K1" s="161"/>
    </row>
    <row r="2" spans="1:11" x14ac:dyDescent="0.35">
      <c r="A2" s="10">
        <f>Draw!A4</f>
        <v>1</v>
      </c>
      <c r="B2" s="10" t="str">
        <f>Draw!B4</f>
        <v>Ashish Kumar/Md.Izazuddin</v>
      </c>
      <c r="C2" s="10" t="str">
        <f>Draw!C4</f>
        <v>OMNI</v>
      </c>
      <c r="H2" s="2" t="s">
        <v>23</v>
      </c>
      <c r="I2" s="7" cm="1">
        <f t="array" ref="I2">SUMPRODUCT(--(LEN(TRIM(TableParticipants[Player])) &gt; 0))</f>
        <v>14</v>
      </c>
    </row>
    <row r="3" spans="1:11" x14ac:dyDescent="0.35">
      <c r="A3" s="10">
        <f>Draw!A5</f>
        <v>2</v>
      </c>
      <c r="B3" s="10" t="str">
        <f>Draw!B5</f>
        <v>Ankit Aggarwal/Varun Sharma</v>
      </c>
      <c r="C3" s="10" t="str">
        <f>Draw!C5</f>
        <v>SALESFORCE</v>
      </c>
      <c r="H3" s="2" t="s">
        <v>24</v>
      </c>
      <c r="I3" s="7" t="str">
        <f>"Participants!A2:Participants!C"&amp;I2+1</f>
        <v>Participants!A2:Participants!C15</v>
      </c>
    </row>
    <row r="4" spans="1:11" x14ac:dyDescent="0.35">
      <c r="A4" s="10">
        <f>Draw!A6</f>
        <v>3</v>
      </c>
      <c r="B4" s="10" t="str">
        <f>Draw!B6</f>
        <v>Rajat karn/Biswender Singh</v>
      </c>
      <c r="C4" s="10" t="str">
        <f>Draw!C6</f>
        <v>CAPGEMINI</v>
      </c>
      <c r="H4" s="8" t="s">
        <v>25</v>
      </c>
      <c r="I4" s="2" t="str">
        <f>Draw!F5</f>
        <v>Men Doubles</v>
      </c>
    </row>
    <row r="5" spans="1:11" x14ac:dyDescent="0.35">
      <c r="A5" s="10">
        <f>Draw!A7</f>
        <v>4</v>
      </c>
      <c r="B5" s="10" t="str">
        <f>Draw!B7</f>
        <v>Subrat Raj Verma/Vishal Raj</v>
      </c>
      <c r="C5" s="10" t="str">
        <f>Draw!C7</f>
        <v>UPPOLICE</v>
      </c>
      <c r="H5" s="7" t="s">
        <v>26</v>
      </c>
      <c r="I5" s="7">
        <v>16</v>
      </c>
    </row>
    <row r="6" spans="1:11" x14ac:dyDescent="0.35">
      <c r="A6" s="10">
        <f>Draw!A8</f>
        <v>5</v>
      </c>
      <c r="B6" s="10" t="str">
        <f>Draw!B8</f>
        <v>Piyush Dua/Shreyan Majumder</v>
      </c>
      <c r="C6" s="10" t="str">
        <f>Draw!C8</f>
        <v>DBS</v>
      </c>
    </row>
    <row r="7" spans="1:11" x14ac:dyDescent="0.35">
      <c r="A7" s="10">
        <f>Draw!A9</f>
        <v>6</v>
      </c>
      <c r="B7" s="10" t="str">
        <f>Draw!B9</f>
        <v>Shashank Jain/Rohan Singh</v>
      </c>
      <c r="C7" s="10" t="str">
        <f>Draw!C9</f>
        <v>ADIDAS</v>
      </c>
    </row>
    <row r="8" spans="1:11" x14ac:dyDescent="0.35">
      <c r="A8" s="10">
        <f>Draw!A10</f>
        <v>7</v>
      </c>
      <c r="B8" s="10" t="str">
        <f>Draw!B10</f>
        <v>Ashutosh Singh/Badal</v>
      </c>
      <c r="C8" s="10" t="str">
        <f>Draw!C10</f>
        <v>OMNI</v>
      </c>
    </row>
    <row r="9" spans="1:11" x14ac:dyDescent="0.35">
      <c r="A9" s="10">
        <f>Draw!A11</f>
        <v>8</v>
      </c>
      <c r="B9" s="10" t="str">
        <f>Draw!B11</f>
        <v>Arvind Choudhary/Rahul Chaudhary</v>
      </c>
      <c r="C9" s="10" t="str">
        <f>Draw!C11</f>
        <v>UPPOLICE</v>
      </c>
    </row>
    <row r="10" spans="1:11" x14ac:dyDescent="0.35">
      <c r="A10" s="10">
        <f>Draw!A12</f>
        <v>9</v>
      </c>
      <c r="B10" s="10" t="str">
        <f>Draw!B12</f>
        <v>bye1</v>
      </c>
      <c r="C10" s="10" t="str">
        <f>Draw!C12</f>
        <v>_</v>
      </c>
    </row>
    <row r="11" spans="1:11" x14ac:dyDescent="0.35">
      <c r="A11" s="10">
        <f>Draw!A13</f>
        <v>10</v>
      </c>
      <c r="B11" s="10" t="str">
        <f>Draw!B13</f>
        <v>bye2</v>
      </c>
      <c r="C11" s="10" t="str">
        <f>Draw!C13</f>
        <v>_</v>
      </c>
    </row>
    <row r="12" spans="1:11" x14ac:dyDescent="0.35">
      <c r="A12" s="10">
        <f>Draw!A14</f>
        <v>11</v>
      </c>
      <c r="B12" s="10" t="str">
        <f>Draw!B14</f>
        <v>Ashish/Abheesh</v>
      </c>
      <c r="C12" s="10" t="str">
        <f>Draw!C14</f>
        <v>CLYNOX</v>
      </c>
    </row>
    <row r="13" spans="1:11" x14ac:dyDescent="0.35">
      <c r="A13" s="10">
        <f>Draw!A15</f>
        <v>12</v>
      </c>
      <c r="B13" s="10" t="str">
        <f>Draw!B15</f>
        <v>Karan Bohra/Apoorv Jain</v>
      </c>
      <c r="C13" s="10" t="str">
        <f>Draw!C15</f>
        <v>ROOTER</v>
      </c>
    </row>
    <row r="14" spans="1:11" x14ac:dyDescent="0.35">
      <c r="A14" s="10">
        <f>Draw!A16</f>
        <v>13</v>
      </c>
      <c r="B14" s="10" t="str">
        <f>Draw!B16</f>
        <v>Ajay Kumar Gond/Surya Patel</v>
      </c>
      <c r="C14" s="10" t="str">
        <f>Draw!C16</f>
        <v>Optum</v>
      </c>
    </row>
    <row r="15" spans="1:11" x14ac:dyDescent="0.35">
      <c r="A15" s="10">
        <f>Draw!A17</f>
        <v>14</v>
      </c>
      <c r="B15" s="10" t="str">
        <f>Draw!B17</f>
        <v>Pushpendra kumar/Deepak Gupta</v>
      </c>
      <c r="C15" s="10" t="str">
        <f>Draw!C17</f>
        <v>DRDO</v>
      </c>
    </row>
    <row r="16" spans="1:11" x14ac:dyDescent="0.35">
      <c r="A16" s="10" t="str">
        <f>Draw!A18</f>
        <v/>
      </c>
      <c r="B16" s="10" t="str">
        <f>Draw!B18</f>
        <v/>
      </c>
      <c r="C16" s="10" t="str">
        <f>Draw!C18</f>
        <v/>
      </c>
    </row>
    <row r="17" spans="1:3" x14ac:dyDescent="0.35">
      <c r="A17" s="10" t="str">
        <f>Draw!A19</f>
        <v/>
      </c>
      <c r="B17" s="10" t="str">
        <f>Draw!B19</f>
        <v/>
      </c>
      <c r="C17" s="10" t="str">
        <f>Draw!C19</f>
        <v/>
      </c>
    </row>
    <row r="18" spans="1:3" x14ac:dyDescent="0.35">
      <c r="A18" s="10" t="str">
        <f>Draw!A20</f>
        <v/>
      </c>
      <c r="B18" s="10" t="str">
        <f>Draw!B20</f>
        <v/>
      </c>
      <c r="C18" s="10" t="str">
        <f>Draw!C20</f>
        <v/>
      </c>
    </row>
    <row r="19" spans="1:3" x14ac:dyDescent="0.35">
      <c r="A19" s="10" t="str">
        <f>Draw!A21</f>
        <v/>
      </c>
      <c r="B19" s="10" t="str">
        <f>Draw!B21</f>
        <v/>
      </c>
      <c r="C19" s="10" t="str">
        <f>Draw!C21</f>
        <v/>
      </c>
    </row>
    <row r="20" spans="1:3" x14ac:dyDescent="0.35">
      <c r="A20" s="10" t="str">
        <f>Draw!A22</f>
        <v/>
      </c>
      <c r="B20" s="10" t="str">
        <f>Draw!B22</f>
        <v/>
      </c>
      <c r="C20" s="10" t="str">
        <f>Draw!C22</f>
        <v/>
      </c>
    </row>
    <row r="21" spans="1:3" x14ac:dyDescent="0.35">
      <c r="A21" s="10" t="str">
        <f>Draw!A23</f>
        <v/>
      </c>
      <c r="B21" s="10" t="str">
        <f>Draw!B23</f>
        <v/>
      </c>
      <c r="C21" s="10" t="str">
        <f>Draw!C23</f>
        <v/>
      </c>
    </row>
    <row r="22" spans="1:3" x14ac:dyDescent="0.35">
      <c r="A22" s="10" t="str">
        <f>Draw!A24</f>
        <v/>
      </c>
      <c r="B22" s="10" t="str">
        <f>Draw!B24</f>
        <v/>
      </c>
      <c r="C22" s="10" t="str">
        <f>Draw!C24</f>
        <v/>
      </c>
    </row>
    <row r="23" spans="1:3" x14ac:dyDescent="0.35">
      <c r="A23" s="10" t="str">
        <f>Draw!A25</f>
        <v/>
      </c>
      <c r="B23" s="10" t="str">
        <f>Draw!B25</f>
        <v/>
      </c>
      <c r="C23" s="10" t="str">
        <f>Draw!C25</f>
        <v/>
      </c>
    </row>
    <row r="24" spans="1:3" x14ac:dyDescent="0.35">
      <c r="A24" s="10" t="str">
        <f>Draw!A26</f>
        <v/>
      </c>
      <c r="B24" s="10" t="str">
        <f>Draw!B26</f>
        <v/>
      </c>
      <c r="C24" s="10" t="str">
        <f>Draw!C26</f>
        <v/>
      </c>
    </row>
    <row r="25" spans="1:3" x14ac:dyDescent="0.35">
      <c r="A25" s="10" t="str">
        <f>Draw!A27</f>
        <v/>
      </c>
      <c r="B25" s="10" t="str">
        <f>Draw!B27</f>
        <v/>
      </c>
      <c r="C25" s="10" t="str">
        <f>Draw!C27</f>
        <v/>
      </c>
    </row>
    <row r="26" spans="1:3" x14ac:dyDescent="0.35">
      <c r="A26" s="10" t="str">
        <f>Draw!A28</f>
        <v/>
      </c>
      <c r="B26" s="10" t="str">
        <f>Draw!B28</f>
        <v/>
      </c>
      <c r="C26" s="10" t="str">
        <f>Draw!C28</f>
        <v/>
      </c>
    </row>
    <row r="27" spans="1:3" x14ac:dyDescent="0.35">
      <c r="A27" s="10" t="str">
        <f>Draw!A29</f>
        <v/>
      </c>
      <c r="B27" s="10" t="str">
        <f>Draw!B29</f>
        <v/>
      </c>
      <c r="C27" s="10" t="str">
        <f>Draw!C29</f>
        <v/>
      </c>
    </row>
    <row r="28" spans="1:3" x14ac:dyDescent="0.35">
      <c r="A28" s="10" t="str">
        <f>Draw!A30</f>
        <v/>
      </c>
      <c r="B28" s="10" t="str">
        <f>Draw!B30</f>
        <v/>
      </c>
      <c r="C28" s="10" t="str">
        <f>Draw!C30</f>
        <v/>
      </c>
    </row>
    <row r="29" spans="1:3" x14ac:dyDescent="0.35">
      <c r="A29" s="10" t="str">
        <f>Draw!A31</f>
        <v/>
      </c>
      <c r="B29" s="10" t="str">
        <f>Draw!B31</f>
        <v/>
      </c>
      <c r="C29" s="10" t="str">
        <f>Draw!C31</f>
        <v/>
      </c>
    </row>
    <row r="30" spans="1:3" x14ac:dyDescent="0.35">
      <c r="A30" s="10" t="str">
        <f>Draw!A32</f>
        <v/>
      </c>
      <c r="B30" s="10" t="str">
        <f>Draw!B32</f>
        <v/>
      </c>
      <c r="C30" s="10" t="str">
        <f>Draw!C32</f>
        <v/>
      </c>
    </row>
    <row r="31" spans="1:3" x14ac:dyDescent="0.35">
      <c r="A31" s="10" t="str">
        <f>Draw!A33</f>
        <v/>
      </c>
      <c r="B31" s="10" t="str">
        <f>Draw!B33</f>
        <v/>
      </c>
      <c r="C31" s="10" t="str">
        <f>Draw!C33</f>
        <v/>
      </c>
    </row>
    <row r="32" spans="1:3" x14ac:dyDescent="0.35">
      <c r="A32" s="10" t="str">
        <f>Draw!A34</f>
        <v/>
      </c>
      <c r="B32" s="10" t="str">
        <f>Draw!B34</f>
        <v/>
      </c>
      <c r="C32" s="10" t="str">
        <f>Draw!C34</f>
        <v/>
      </c>
    </row>
    <row r="33" spans="1:3" x14ac:dyDescent="0.35">
      <c r="A33" s="10" t="str">
        <f>Draw!A35</f>
        <v/>
      </c>
      <c r="B33" s="10" t="str">
        <f>Draw!B35</f>
        <v/>
      </c>
      <c r="C33" s="10" t="str">
        <f>Draw!C35</f>
        <v/>
      </c>
    </row>
    <row r="34" spans="1:3" x14ac:dyDescent="0.35">
      <c r="A34" s="10" t="str">
        <f>Draw!A36</f>
        <v/>
      </c>
      <c r="B34" s="10" t="str">
        <f>Draw!B36</f>
        <v/>
      </c>
      <c r="C34" s="10" t="str">
        <f>Draw!C36</f>
        <v/>
      </c>
    </row>
    <row r="35" spans="1:3" x14ac:dyDescent="0.35">
      <c r="A35" s="10" t="str">
        <f>Draw!A37</f>
        <v/>
      </c>
      <c r="B35" s="10" t="str">
        <f>Draw!B37</f>
        <v/>
      </c>
      <c r="C35" s="10" t="str">
        <f>Draw!C37</f>
        <v/>
      </c>
    </row>
    <row r="36" spans="1:3" x14ac:dyDescent="0.35">
      <c r="A36" s="10" t="str">
        <f>Draw!A38</f>
        <v/>
      </c>
      <c r="B36" s="10" t="str">
        <f>Draw!B38</f>
        <v/>
      </c>
      <c r="C36" s="10" t="str">
        <f>Draw!C38</f>
        <v/>
      </c>
    </row>
    <row r="37" spans="1:3" x14ac:dyDescent="0.35">
      <c r="A37" s="10" t="str">
        <f>Draw!A39</f>
        <v/>
      </c>
      <c r="B37" s="10" t="str">
        <f>Draw!B39</f>
        <v/>
      </c>
      <c r="C37" s="10" t="str">
        <f>Draw!C39</f>
        <v/>
      </c>
    </row>
    <row r="38" spans="1:3" x14ac:dyDescent="0.35">
      <c r="A38" s="10" t="str">
        <f>Draw!A40</f>
        <v/>
      </c>
      <c r="B38" s="10" t="str">
        <f>Draw!B40</f>
        <v/>
      </c>
      <c r="C38" s="10" t="str">
        <f>Draw!C40</f>
        <v/>
      </c>
    </row>
    <row r="39" spans="1:3" x14ac:dyDescent="0.35">
      <c r="A39" s="10" t="str">
        <f>Draw!A41</f>
        <v/>
      </c>
      <c r="B39" s="10" t="str">
        <f>Draw!B41</f>
        <v/>
      </c>
      <c r="C39" s="10" t="str">
        <f>Draw!C41</f>
        <v/>
      </c>
    </row>
    <row r="40" spans="1:3" x14ac:dyDescent="0.35">
      <c r="A40" s="10" t="str">
        <f>Draw!A42</f>
        <v/>
      </c>
      <c r="B40" s="10" t="str">
        <f>Draw!B42</f>
        <v/>
      </c>
      <c r="C40" s="10" t="str">
        <f>Draw!C42</f>
        <v/>
      </c>
    </row>
    <row r="41" spans="1:3" x14ac:dyDescent="0.35">
      <c r="A41" s="10" t="str">
        <f>Draw!A43</f>
        <v/>
      </c>
      <c r="B41" s="10" t="str">
        <f>Draw!B43</f>
        <v/>
      </c>
      <c r="C41" s="10" t="str">
        <f>Draw!C43</f>
        <v/>
      </c>
    </row>
    <row r="42" spans="1:3" x14ac:dyDescent="0.35">
      <c r="A42" s="10" t="str">
        <f>Draw!A44</f>
        <v/>
      </c>
      <c r="B42" s="10" t="str">
        <f>Draw!B44</f>
        <v/>
      </c>
      <c r="C42" s="10" t="str">
        <f>Draw!C44</f>
        <v/>
      </c>
    </row>
    <row r="43" spans="1:3" x14ac:dyDescent="0.35">
      <c r="A43" s="10" t="str">
        <f>Draw!A45</f>
        <v/>
      </c>
      <c r="B43" s="10" t="str">
        <f>Draw!B45</f>
        <v/>
      </c>
      <c r="C43" s="10" t="str">
        <f>Draw!C45</f>
        <v/>
      </c>
    </row>
    <row r="44" spans="1:3" x14ac:dyDescent="0.35">
      <c r="A44" s="10" t="str">
        <f>Draw!A46</f>
        <v/>
      </c>
      <c r="B44" s="10" t="str">
        <f>Draw!B46</f>
        <v/>
      </c>
      <c r="C44" s="10" t="str">
        <f>Draw!C46</f>
        <v/>
      </c>
    </row>
    <row r="45" spans="1:3" x14ac:dyDescent="0.35">
      <c r="A45" s="10" t="str">
        <f>Draw!A47</f>
        <v/>
      </c>
      <c r="B45" s="10" t="str">
        <f>Draw!B47</f>
        <v/>
      </c>
      <c r="C45" s="10" t="str">
        <f>Draw!C47</f>
        <v/>
      </c>
    </row>
    <row r="46" spans="1:3" x14ac:dyDescent="0.35">
      <c r="A46" s="10" t="str">
        <f>Draw!A48</f>
        <v/>
      </c>
      <c r="B46" s="10" t="str">
        <f>Draw!B48</f>
        <v/>
      </c>
      <c r="C46" s="10" t="str">
        <f>Draw!C48</f>
        <v/>
      </c>
    </row>
    <row r="47" spans="1:3" x14ac:dyDescent="0.35">
      <c r="A47" s="10" t="str">
        <f>Draw!A49</f>
        <v/>
      </c>
      <c r="B47" s="10" t="str">
        <f>Draw!B49</f>
        <v/>
      </c>
      <c r="C47" s="10" t="str">
        <f>Draw!C49</f>
        <v/>
      </c>
    </row>
    <row r="48" spans="1:3" x14ac:dyDescent="0.35">
      <c r="A48" s="10" t="str">
        <f>Draw!A50</f>
        <v/>
      </c>
      <c r="B48" s="10" t="str">
        <f>Draw!B50</f>
        <v/>
      </c>
      <c r="C48" s="10" t="str">
        <f>Draw!C50</f>
        <v/>
      </c>
    </row>
    <row r="49" spans="1:3" x14ac:dyDescent="0.35">
      <c r="A49" s="10" t="str">
        <f>Draw!A51</f>
        <v/>
      </c>
      <c r="B49" s="10" t="str">
        <f>Draw!B51</f>
        <v/>
      </c>
      <c r="C49" s="10" t="str">
        <f>Draw!C51</f>
        <v/>
      </c>
    </row>
    <row r="50" spans="1:3" x14ac:dyDescent="0.35">
      <c r="A50" s="10" t="str">
        <f>Draw!A52</f>
        <v/>
      </c>
      <c r="B50" s="10" t="str">
        <f>Draw!B52</f>
        <v/>
      </c>
      <c r="C50" s="10" t="str">
        <f>Draw!C52</f>
        <v/>
      </c>
    </row>
    <row r="51" spans="1:3" x14ac:dyDescent="0.35">
      <c r="A51" s="10" t="str">
        <f>Draw!A53</f>
        <v/>
      </c>
      <c r="B51" s="10" t="str">
        <f>Draw!B53</f>
        <v/>
      </c>
      <c r="C51" s="10" t="str">
        <f>Draw!C53</f>
        <v/>
      </c>
    </row>
    <row r="52" spans="1:3" x14ac:dyDescent="0.35">
      <c r="A52" s="10" t="str">
        <f>Draw!A54</f>
        <v/>
      </c>
      <c r="B52" s="10" t="str">
        <f>Draw!B54</f>
        <v/>
      </c>
      <c r="C52" s="10" t="str">
        <f>Draw!C54</f>
        <v/>
      </c>
    </row>
    <row r="53" spans="1:3" x14ac:dyDescent="0.35">
      <c r="A53" s="10" t="str">
        <f>Draw!A55</f>
        <v/>
      </c>
      <c r="B53" s="10" t="str">
        <f>Draw!B55</f>
        <v/>
      </c>
      <c r="C53" s="10" t="str">
        <f>Draw!C55</f>
        <v/>
      </c>
    </row>
    <row r="54" spans="1:3" x14ac:dyDescent="0.35">
      <c r="A54" s="10" t="str">
        <f>Draw!A56</f>
        <v/>
      </c>
      <c r="B54" s="10" t="str">
        <f>Draw!B56</f>
        <v/>
      </c>
      <c r="C54" s="10" t="str">
        <f>Draw!C56</f>
        <v/>
      </c>
    </row>
    <row r="55" spans="1:3" x14ac:dyDescent="0.35">
      <c r="A55" s="10" t="str">
        <f>Draw!A57</f>
        <v/>
      </c>
      <c r="B55" s="10" t="str">
        <f>Draw!B57</f>
        <v/>
      </c>
      <c r="C55" s="10" t="str">
        <f>Draw!C57</f>
        <v/>
      </c>
    </row>
    <row r="56" spans="1:3" x14ac:dyDescent="0.35">
      <c r="A56" s="10" t="str">
        <f>Draw!A58</f>
        <v/>
      </c>
      <c r="B56" s="10" t="str">
        <f>Draw!B58</f>
        <v/>
      </c>
      <c r="C56" s="10" t="str">
        <f>Draw!C58</f>
        <v/>
      </c>
    </row>
    <row r="57" spans="1:3" x14ac:dyDescent="0.35">
      <c r="A57" s="10" t="str">
        <f>Draw!A59</f>
        <v/>
      </c>
      <c r="B57" s="10" t="str">
        <f>Draw!B59</f>
        <v/>
      </c>
      <c r="C57" s="10" t="str">
        <f>Draw!C59</f>
        <v/>
      </c>
    </row>
    <row r="58" spans="1:3" x14ac:dyDescent="0.35">
      <c r="A58" s="10" t="str">
        <f>Draw!A60</f>
        <v/>
      </c>
      <c r="B58" s="10" t="str">
        <f>Draw!B60</f>
        <v/>
      </c>
      <c r="C58" s="10" t="str">
        <f>Draw!C60</f>
        <v/>
      </c>
    </row>
    <row r="59" spans="1:3" x14ac:dyDescent="0.35">
      <c r="A59" s="10" t="str">
        <f>Draw!A61</f>
        <v/>
      </c>
      <c r="B59" s="10" t="str">
        <f>Draw!B61</f>
        <v/>
      </c>
      <c r="C59" s="10" t="str">
        <f>Draw!C61</f>
        <v/>
      </c>
    </row>
    <row r="60" spans="1:3" x14ac:dyDescent="0.35">
      <c r="A60" s="10" t="str">
        <f>Draw!A62</f>
        <v/>
      </c>
      <c r="B60" s="10" t="str">
        <f>Draw!B62</f>
        <v/>
      </c>
      <c r="C60" s="10" t="str">
        <f>Draw!C62</f>
        <v/>
      </c>
    </row>
    <row r="61" spans="1:3" x14ac:dyDescent="0.35">
      <c r="A61" s="10" t="str">
        <f>Draw!A63</f>
        <v/>
      </c>
      <c r="B61" s="10" t="str">
        <f>Draw!B63</f>
        <v/>
      </c>
      <c r="C61" s="10" t="str">
        <f>Draw!C63</f>
        <v/>
      </c>
    </row>
    <row r="62" spans="1:3" x14ac:dyDescent="0.35">
      <c r="A62" s="10" t="str">
        <f>Draw!A64</f>
        <v/>
      </c>
      <c r="B62" s="10" t="str">
        <f>Draw!B64</f>
        <v/>
      </c>
      <c r="C62" s="10" t="str">
        <f>Draw!C64</f>
        <v/>
      </c>
    </row>
    <row r="63" spans="1:3" x14ac:dyDescent="0.35">
      <c r="A63" s="10" t="str">
        <f>Draw!A65</f>
        <v/>
      </c>
      <c r="B63" s="10" t="str">
        <f>Draw!B65</f>
        <v/>
      </c>
      <c r="C63" s="10" t="str">
        <f>Draw!C65</f>
        <v/>
      </c>
    </row>
    <row r="64" spans="1:3" x14ac:dyDescent="0.35">
      <c r="A64" s="10" t="str">
        <f>Draw!A66</f>
        <v/>
      </c>
      <c r="B64" s="10" t="str">
        <f>Draw!B66</f>
        <v/>
      </c>
      <c r="C64" s="10" t="str">
        <f>Draw!C66</f>
        <v/>
      </c>
    </row>
    <row r="65" spans="1:3" x14ac:dyDescent="0.35">
      <c r="A65" s="10" t="str">
        <f>Draw!A67</f>
        <v/>
      </c>
      <c r="B65" s="10" t="str">
        <f>Draw!B67</f>
        <v/>
      </c>
      <c r="C65" s="10" t="str">
        <f>Draw!C67</f>
        <v/>
      </c>
    </row>
    <row r="66" spans="1:3" x14ac:dyDescent="0.35">
      <c r="A66" s="10" t="str">
        <f>Draw!A68</f>
        <v/>
      </c>
      <c r="B66" s="10" t="str">
        <f>Draw!B68</f>
        <v/>
      </c>
      <c r="C66" s="10" t="str">
        <f>Draw!C68</f>
        <v/>
      </c>
    </row>
    <row r="67" spans="1:3" x14ac:dyDescent="0.35">
      <c r="A67" s="10" t="str">
        <f>Draw!A69</f>
        <v/>
      </c>
      <c r="B67" s="10" t="str">
        <f>Draw!B69</f>
        <v/>
      </c>
      <c r="C67" s="10" t="str">
        <f>Draw!C69</f>
        <v/>
      </c>
    </row>
    <row r="68" spans="1:3" x14ac:dyDescent="0.35">
      <c r="A68" s="10" t="str">
        <f>Draw!A70</f>
        <v/>
      </c>
      <c r="B68" s="10" t="str">
        <f>Draw!B70</f>
        <v/>
      </c>
      <c r="C68" s="10" t="str">
        <f>Draw!C70</f>
        <v/>
      </c>
    </row>
    <row r="69" spans="1:3" x14ac:dyDescent="0.35">
      <c r="A69" s="10" t="str">
        <f>Draw!A71</f>
        <v/>
      </c>
      <c r="B69" s="10" t="str">
        <f>Draw!B71</f>
        <v/>
      </c>
      <c r="C69" s="10" t="str">
        <f>Draw!C71</f>
        <v/>
      </c>
    </row>
    <row r="70" spans="1:3" x14ac:dyDescent="0.35">
      <c r="A70" s="10" t="str">
        <f>Draw!A72</f>
        <v/>
      </c>
      <c r="B70" s="10" t="str">
        <f>Draw!B72</f>
        <v/>
      </c>
      <c r="C70" s="10" t="str">
        <f>Draw!C72</f>
        <v/>
      </c>
    </row>
    <row r="71" spans="1:3" x14ac:dyDescent="0.35">
      <c r="A71" s="10" t="str">
        <f>Draw!A73</f>
        <v/>
      </c>
      <c r="B71" s="10" t="str">
        <f>Draw!B73</f>
        <v/>
      </c>
      <c r="C71" s="10" t="str">
        <f>Draw!C73</f>
        <v/>
      </c>
    </row>
    <row r="72" spans="1:3" x14ac:dyDescent="0.35">
      <c r="A72" s="10" t="str">
        <f>Draw!A74</f>
        <v/>
      </c>
      <c r="B72" s="10" t="str">
        <f>Draw!B74</f>
        <v/>
      </c>
      <c r="C72" s="10" t="str">
        <f>Draw!C74</f>
        <v/>
      </c>
    </row>
    <row r="73" spans="1:3" x14ac:dyDescent="0.35">
      <c r="A73" s="10" t="str">
        <f>Draw!A75</f>
        <v/>
      </c>
      <c r="B73" s="10" t="str">
        <f>Draw!B75</f>
        <v/>
      </c>
      <c r="C73" s="10" t="str">
        <f>Draw!C75</f>
        <v/>
      </c>
    </row>
    <row r="74" spans="1:3" x14ac:dyDescent="0.35">
      <c r="A74" s="10" t="str">
        <f>Draw!A76</f>
        <v/>
      </c>
      <c r="B74" s="10" t="str">
        <f>Draw!B76</f>
        <v/>
      </c>
      <c r="C74" s="10" t="str">
        <f>Draw!C76</f>
        <v/>
      </c>
    </row>
    <row r="75" spans="1:3" x14ac:dyDescent="0.35">
      <c r="A75" s="10" t="str">
        <f>Draw!A77</f>
        <v/>
      </c>
      <c r="B75" s="10" t="str">
        <f>Draw!B77</f>
        <v/>
      </c>
      <c r="C75" s="10" t="str">
        <f>Draw!C77</f>
        <v/>
      </c>
    </row>
    <row r="76" spans="1:3" x14ac:dyDescent="0.35">
      <c r="A76" s="10" t="str">
        <f>Draw!A78</f>
        <v/>
      </c>
      <c r="B76" s="10" t="str">
        <f>Draw!B78</f>
        <v/>
      </c>
      <c r="C76" s="10" t="str">
        <f>Draw!C78</f>
        <v/>
      </c>
    </row>
    <row r="77" spans="1:3" x14ac:dyDescent="0.35">
      <c r="A77" s="10" t="str">
        <f>Draw!A79</f>
        <v/>
      </c>
      <c r="B77" s="10" t="str">
        <f>Draw!B79</f>
        <v/>
      </c>
      <c r="C77" s="10" t="str">
        <f>Draw!C79</f>
        <v/>
      </c>
    </row>
    <row r="78" spans="1:3" x14ac:dyDescent="0.35">
      <c r="A78" s="10" t="str">
        <f>Draw!A80</f>
        <v/>
      </c>
      <c r="B78" s="10" t="str">
        <f>Draw!B80</f>
        <v/>
      </c>
      <c r="C78" s="10" t="str">
        <f>Draw!C80</f>
        <v/>
      </c>
    </row>
    <row r="79" spans="1:3" x14ac:dyDescent="0.35">
      <c r="A79" s="10" t="str">
        <f>Draw!A81</f>
        <v/>
      </c>
      <c r="B79" s="10" t="str">
        <f>Draw!B81</f>
        <v/>
      </c>
      <c r="C79" s="10" t="str">
        <f>Draw!C81</f>
        <v/>
      </c>
    </row>
    <row r="80" spans="1:3" x14ac:dyDescent="0.35">
      <c r="A80" s="10" t="str">
        <f>Draw!A82</f>
        <v/>
      </c>
      <c r="B80" s="10" t="str">
        <f>Draw!B82</f>
        <v/>
      </c>
      <c r="C80" s="10" t="str">
        <f>Draw!C82</f>
        <v/>
      </c>
    </row>
    <row r="81" spans="1:3" x14ac:dyDescent="0.35">
      <c r="A81" s="10" t="str">
        <f>Draw!A83</f>
        <v/>
      </c>
      <c r="B81" s="10" t="str">
        <f>Draw!B83</f>
        <v/>
      </c>
      <c r="C81" s="10" t="str">
        <f>Draw!C83</f>
        <v/>
      </c>
    </row>
    <row r="82" spans="1:3" x14ac:dyDescent="0.35">
      <c r="A82" s="10" t="str">
        <f>Draw!A84</f>
        <v/>
      </c>
      <c r="B82" s="10" t="str">
        <f>Draw!B84</f>
        <v/>
      </c>
      <c r="C82" s="10" t="str">
        <f>Draw!C84</f>
        <v/>
      </c>
    </row>
    <row r="83" spans="1:3" x14ac:dyDescent="0.35">
      <c r="A83" s="10" t="str">
        <f>Draw!A85</f>
        <v/>
      </c>
      <c r="B83" s="10" t="str">
        <f>Draw!B85</f>
        <v/>
      </c>
      <c r="C83" s="10" t="str">
        <f>Draw!C85</f>
        <v/>
      </c>
    </row>
    <row r="84" spans="1:3" x14ac:dyDescent="0.35">
      <c r="A84" s="10" t="str">
        <f>Draw!A86</f>
        <v/>
      </c>
      <c r="B84" s="10" t="str">
        <f>Draw!B86</f>
        <v/>
      </c>
      <c r="C84" s="10" t="str">
        <f>Draw!C86</f>
        <v/>
      </c>
    </row>
    <row r="85" spans="1:3" x14ac:dyDescent="0.35">
      <c r="A85" s="10" t="str">
        <f>Draw!A87</f>
        <v/>
      </c>
      <c r="B85" s="10" t="str">
        <f>Draw!B87</f>
        <v/>
      </c>
      <c r="C85" s="10" t="str">
        <f>Draw!C87</f>
        <v/>
      </c>
    </row>
    <row r="86" spans="1:3" x14ac:dyDescent="0.35">
      <c r="A86" s="10" t="str">
        <f>Draw!A88</f>
        <v/>
      </c>
      <c r="B86" s="10" t="str">
        <f>Draw!B88</f>
        <v/>
      </c>
      <c r="C86" s="10" t="str">
        <f>Draw!C88</f>
        <v/>
      </c>
    </row>
    <row r="87" spans="1:3" x14ac:dyDescent="0.35">
      <c r="A87" s="10" t="str">
        <f>Draw!A89</f>
        <v/>
      </c>
      <c r="B87" s="10" t="str">
        <f>Draw!B89</f>
        <v/>
      </c>
      <c r="C87" s="10" t="str">
        <f>Draw!C89</f>
        <v/>
      </c>
    </row>
    <row r="88" spans="1:3" x14ac:dyDescent="0.35">
      <c r="A88" s="10" t="str">
        <f>Draw!A90</f>
        <v/>
      </c>
      <c r="B88" s="10" t="str">
        <f>Draw!B90</f>
        <v/>
      </c>
      <c r="C88" s="10" t="str">
        <f>Draw!C90</f>
        <v/>
      </c>
    </row>
    <row r="89" spans="1:3" x14ac:dyDescent="0.35">
      <c r="A89" s="10" t="str">
        <f>Draw!A91</f>
        <v/>
      </c>
      <c r="B89" s="10" t="str">
        <f>Draw!B91</f>
        <v/>
      </c>
      <c r="C89" s="10" t="str">
        <f>Draw!C91</f>
        <v/>
      </c>
    </row>
    <row r="90" spans="1:3" x14ac:dyDescent="0.35">
      <c r="A90" s="10" t="str">
        <f>Draw!A92</f>
        <v/>
      </c>
      <c r="B90" s="10" t="str">
        <f>Draw!B92</f>
        <v/>
      </c>
      <c r="C90" s="10" t="str">
        <f>Draw!C92</f>
        <v/>
      </c>
    </row>
    <row r="91" spans="1:3" x14ac:dyDescent="0.35">
      <c r="A91" s="10" t="str">
        <f>Draw!A93</f>
        <v/>
      </c>
      <c r="B91" s="10" t="str">
        <f>Draw!B93</f>
        <v/>
      </c>
      <c r="C91" s="10" t="str">
        <f>Draw!C93</f>
        <v/>
      </c>
    </row>
    <row r="92" spans="1:3" x14ac:dyDescent="0.35">
      <c r="A92" s="10" t="str">
        <f>Draw!A94</f>
        <v/>
      </c>
      <c r="B92" s="10" t="str">
        <f>Draw!B94</f>
        <v/>
      </c>
      <c r="C92" s="10" t="str">
        <f>Draw!C94</f>
        <v/>
      </c>
    </row>
    <row r="93" spans="1:3" x14ac:dyDescent="0.35">
      <c r="A93" s="10" t="str">
        <f>Draw!A95</f>
        <v/>
      </c>
      <c r="B93" s="10" t="str">
        <f>Draw!B95</f>
        <v/>
      </c>
      <c r="C93" s="10" t="str">
        <f>Draw!C95</f>
        <v/>
      </c>
    </row>
    <row r="94" spans="1:3" x14ac:dyDescent="0.35">
      <c r="A94" s="10" t="str">
        <f>Draw!A96</f>
        <v/>
      </c>
      <c r="B94" s="10" t="str">
        <f>Draw!B96</f>
        <v/>
      </c>
      <c r="C94" s="10" t="str">
        <f>Draw!C96</f>
        <v/>
      </c>
    </row>
    <row r="95" spans="1:3" x14ac:dyDescent="0.35">
      <c r="A95" s="10" t="str">
        <f>Draw!A97</f>
        <v/>
      </c>
      <c r="B95" s="10" t="str">
        <f>Draw!B97</f>
        <v/>
      </c>
      <c r="C95" s="10" t="str">
        <f>Draw!C97</f>
        <v/>
      </c>
    </row>
    <row r="96" spans="1:3" x14ac:dyDescent="0.35">
      <c r="A96" s="10" t="str">
        <f>Draw!A98</f>
        <v/>
      </c>
      <c r="B96" s="10" t="str">
        <f>Draw!B98</f>
        <v/>
      </c>
      <c r="C96" s="10" t="str">
        <f>Draw!C98</f>
        <v/>
      </c>
    </row>
    <row r="97" spans="1:3" x14ac:dyDescent="0.35">
      <c r="A97" s="10" t="str">
        <f>Draw!A99</f>
        <v/>
      </c>
      <c r="B97" s="10" t="str">
        <f>Draw!B99</f>
        <v/>
      </c>
      <c r="C97" s="10" t="str">
        <f>Draw!C99</f>
        <v/>
      </c>
    </row>
    <row r="98" spans="1:3" x14ac:dyDescent="0.35">
      <c r="A98" s="10" t="str">
        <f>Draw!A100</f>
        <v/>
      </c>
      <c r="B98" s="10" t="str">
        <f>Draw!B100</f>
        <v/>
      </c>
      <c r="C98" s="10" t="str">
        <f>Draw!C100</f>
        <v/>
      </c>
    </row>
    <row r="99" spans="1:3" x14ac:dyDescent="0.35">
      <c r="A99" s="10" t="str">
        <f>Draw!A101</f>
        <v/>
      </c>
      <c r="B99" s="10" t="str">
        <f>Draw!B101</f>
        <v/>
      </c>
      <c r="C99" s="10" t="str">
        <f>Draw!C101</f>
        <v/>
      </c>
    </row>
    <row r="100" spans="1:3" x14ac:dyDescent="0.35">
      <c r="A100" s="10" t="str">
        <f>Draw!A102</f>
        <v/>
      </c>
      <c r="B100" s="10" t="str">
        <f>Draw!B102</f>
        <v/>
      </c>
      <c r="C100" s="10" t="str">
        <f>Draw!C102</f>
        <v/>
      </c>
    </row>
    <row r="101" spans="1:3" x14ac:dyDescent="0.35">
      <c r="A101" s="10" t="str">
        <f>Draw!A103</f>
        <v/>
      </c>
      <c r="B101" s="10" t="str">
        <f>Draw!B103</f>
        <v/>
      </c>
      <c r="C101" s="10" t="str">
        <f>Draw!C103</f>
        <v/>
      </c>
    </row>
    <row r="102" spans="1:3" x14ac:dyDescent="0.35">
      <c r="A102" s="10" t="str">
        <f>Draw!A104</f>
        <v/>
      </c>
      <c r="B102" s="10" t="str">
        <f>Draw!B104</f>
        <v/>
      </c>
      <c r="C102" s="10" t="str">
        <f>Draw!C104</f>
        <v/>
      </c>
    </row>
    <row r="103" spans="1:3" x14ac:dyDescent="0.35">
      <c r="A103" s="10" t="str">
        <f>Draw!A105</f>
        <v/>
      </c>
      <c r="B103" s="10" t="str">
        <f>Draw!B105</f>
        <v/>
      </c>
      <c r="C103" s="10" t="str">
        <f>Draw!C105</f>
        <v/>
      </c>
    </row>
    <row r="104" spans="1:3" x14ac:dyDescent="0.35">
      <c r="A104" s="10" t="str">
        <f>Draw!A106</f>
        <v/>
      </c>
      <c r="B104" s="10" t="str">
        <f>Draw!B106</f>
        <v/>
      </c>
      <c r="C104" s="10" t="str">
        <f>Draw!C106</f>
        <v/>
      </c>
    </row>
    <row r="105" spans="1:3" x14ac:dyDescent="0.35">
      <c r="A105" s="10" t="str">
        <f>Draw!A107</f>
        <v/>
      </c>
      <c r="B105" s="10" t="str">
        <f>Draw!B107</f>
        <v/>
      </c>
      <c r="C105" s="10" t="str">
        <f>Draw!C107</f>
        <v/>
      </c>
    </row>
    <row r="106" spans="1:3" x14ac:dyDescent="0.35">
      <c r="A106" s="10" t="str">
        <f>Draw!A108</f>
        <v/>
      </c>
      <c r="B106" s="10" t="str">
        <f>Draw!B108</f>
        <v/>
      </c>
      <c r="C106" s="10" t="str">
        <f>Draw!C108</f>
        <v/>
      </c>
    </row>
    <row r="107" spans="1:3" x14ac:dyDescent="0.35">
      <c r="A107" s="10" t="str">
        <f>Draw!A109</f>
        <v/>
      </c>
      <c r="B107" s="10" t="str">
        <f>Draw!B109</f>
        <v/>
      </c>
      <c r="C107" s="10" t="str">
        <f>Draw!C109</f>
        <v/>
      </c>
    </row>
    <row r="108" spans="1:3" x14ac:dyDescent="0.35">
      <c r="A108" s="10" t="str">
        <f>Draw!A110</f>
        <v/>
      </c>
      <c r="B108" s="10" t="str">
        <f>Draw!B110</f>
        <v/>
      </c>
      <c r="C108" s="10" t="str">
        <f>Draw!C110</f>
        <v/>
      </c>
    </row>
    <row r="109" spans="1:3" x14ac:dyDescent="0.35">
      <c r="A109" s="10" t="str">
        <f>Draw!A111</f>
        <v/>
      </c>
      <c r="B109" s="10" t="str">
        <f>Draw!B111</f>
        <v/>
      </c>
      <c r="C109" s="10" t="str">
        <f>Draw!C111</f>
        <v/>
      </c>
    </row>
    <row r="110" spans="1:3" x14ac:dyDescent="0.35">
      <c r="A110" s="10" t="str">
        <f>Draw!A112</f>
        <v/>
      </c>
      <c r="B110" s="10" t="str">
        <f>Draw!B112</f>
        <v/>
      </c>
      <c r="C110" s="10" t="str">
        <f>Draw!C112</f>
        <v/>
      </c>
    </row>
    <row r="111" spans="1:3" x14ac:dyDescent="0.35">
      <c r="A111" s="10" t="str">
        <f>Draw!A113</f>
        <v/>
      </c>
      <c r="B111" s="10" t="str">
        <f>Draw!B113</f>
        <v/>
      </c>
      <c r="C111" s="10" t="str">
        <f>Draw!C113</f>
        <v/>
      </c>
    </row>
    <row r="112" spans="1:3" x14ac:dyDescent="0.35">
      <c r="A112" s="10" t="str">
        <f>Draw!A114</f>
        <v/>
      </c>
      <c r="B112" s="10" t="str">
        <f>Draw!B114</f>
        <v/>
      </c>
      <c r="C112" s="10" t="str">
        <f>Draw!C114</f>
        <v/>
      </c>
    </row>
    <row r="113" spans="1:3" x14ac:dyDescent="0.35">
      <c r="A113" s="10" t="str">
        <f>Draw!A115</f>
        <v/>
      </c>
      <c r="B113" s="10" t="str">
        <f>Draw!B115</f>
        <v/>
      </c>
      <c r="C113" s="10" t="str">
        <f>Draw!C115</f>
        <v/>
      </c>
    </row>
    <row r="114" spans="1:3" x14ac:dyDescent="0.35">
      <c r="A114" s="10" t="str">
        <f>Draw!A116</f>
        <v/>
      </c>
      <c r="B114" s="10" t="str">
        <f>Draw!B116</f>
        <v/>
      </c>
      <c r="C114" s="10" t="str">
        <f>Draw!C116</f>
        <v/>
      </c>
    </row>
    <row r="115" spans="1:3" x14ac:dyDescent="0.35">
      <c r="A115" s="10" t="str">
        <f>Draw!A117</f>
        <v/>
      </c>
      <c r="B115" s="10" t="str">
        <f>Draw!B117</f>
        <v/>
      </c>
      <c r="C115" s="10" t="str">
        <f>Draw!C117</f>
        <v/>
      </c>
    </row>
    <row r="116" spans="1:3" x14ac:dyDescent="0.35">
      <c r="A116" s="10" t="str">
        <f>Draw!A118</f>
        <v/>
      </c>
      <c r="B116" s="10" t="str">
        <f>Draw!B118</f>
        <v/>
      </c>
      <c r="C116" s="10" t="str">
        <f>Draw!C118</f>
        <v/>
      </c>
    </row>
    <row r="117" spans="1:3" x14ac:dyDescent="0.35">
      <c r="A117" s="10" t="str">
        <f>Draw!A119</f>
        <v/>
      </c>
      <c r="B117" s="10" t="str">
        <f>Draw!B119</f>
        <v/>
      </c>
      <c r="C117" s="10" t="str">
        <f>Draw!C119</f>
        <v/>
      </c>
    </row>
    <row r="118" spans="1:3" x14ac:dyDescent="0.35">
      <c r="A118" s="10" t="str">
        <f>Draw!A120</f>
        <v/>
      </c>
      <c r="B118" s="10" t="str">
        <f>Draw!B120</f>
        <v/>
      </c>
      <c r="C118" s="10" t="str">
        <f>Draw!C120</f>
        <v/>
      </c>
    </row>
    <row r="119" spans="1:3" x14ac:dyDescent="0.35">
      <c r="A119" s="10" t="str">
        <f>Draw!A121</f>
        <v/>
      </c>
      <c r="B119" s="10" t="str">
        <f>Draw!B121</f>
        <v/>
      </c>
      <c r="C119" s="10" t="str">
        <f>Draw!C121</f>
        <v/>
      </c>
    </row>
    <row r="120" spans="1:3" x14ac:dyDescent="0.35">
      <c r="A120" s="10" t="str">
        <f>Draw!A122</f>
        <v/>
      </c>
      <c r="B120" s="10" t="str">
        <f>Draw!B122</f>
        <v/>
      </c>
      <c r="C120" s="10" t="str">
        <f>Draw!C122</f>
        <v/>
      </c>
    </row>
    <row r="121" spans="1:3" x14ac:dyDescent="0.35">
      <c r="A121" s="10" t="str">
        <f>Draw!A123</f>
        <v/>
      </c>
      <c r="B121" s="10" t="str">
        <f>Draw!B123</f>
        <v/>
      </c>
      <c r="C121" s="10" t="str">
        <f>Draw!C123</f>
        <v/>
      </c>
    </row>
    <row r="122" spans="1:3" x14ac:dyDescent="0.35">
      <c r="A122" s="10" t="str">
        <f>Draw!A124</f>
        <v/>
      </c>
      <c r="B122" s="10" t="str">
        <f>Draw!B124</f>
        <v/>
      </c>
      <c r="C122" s="10" t="str">
        <f>Draw!C124</f>
        <v/>
      </c>
    </row>
    <row r="123" spans="1:3" x14ac:dyDescent="0.35">
      <c r="A123" s="10" t="str">
        <f>Draw!A125</f>
        <v/>
      </c>
      <c r="B123" s="10" t="str">
        <f>Draw!B125</f>
        <v/>
      </c>
      <c r="C123" s="10" t="str">
        <f>Draw!C125</f>
        <v/>
      </c>
    </row>
    <row r="124" spans="1:3" x14ac:dyDescent="0.35">
      <c r="A124" s="10" t="str">
        <f>Draw!A126</f>
        <v/>
      </c>
      <c r="B124" s="10" t="str">
        <f>Draw!B126</f>
        <v/>
      </c>
      <c r="C124" s="10" t="str">
        <f>Draw!C126</f>
        <v/>
      </c>
    </row>
    <row r="125" spans="1:3" x14ac:dyDescent="0.35">
      <c r="A125" s="10" t="str">
        <f>Draw!A127</f>
        <v/>
      </c>
      <c r="B125" s="10" t="str">
        <f>Draw!B127</f>
        <v/>
      </c>
      <c r="C125" s="10" t="str">
        <f>Draw!C127</f>
        <v/>
      </c>
    </row>
    <row r="126" spans="1:3" x14ac:dyDescent="0.35">
      <c r="A126" s="10" t="str">
        <f>Draw!A128</f>
        <v/>
      </c>
      <c r="B126" s="10" t="str">
        <f>Draw!B128</f>
        <v/>
      </c>
      <c r="C126" s="10" t="str">
        <f>Draw!C128</f>
        <v/>
      </c>
    </row>
    <row r="127" spans="1:3" x14ac:dyDescent="0.35">
      <c r="A127" s="10" t="str">
        <f>Draw!A129</f>
        <v/>
      </c>
      <c r="B127" s="10" t="str">
        <f>Draw!B129</f>
        <v/>
      </c>
      <c r="C127" s="10" t="str">
        <f>Draw!C129</f>
        <v/>
      </c>
    </row>
    <row r="128" spans="1:3" x14ac:dyDescent="0.35">
      <c r="A128" s="10" t="str">
        <f>Draw!A130</f>
        <v/>
      </c>
      <c r="B128" s="10" t="str">
        <f>Draw!B130</f>
        <v/>
      </c>
      <c r="C128" s="10" t="str">
        <f>Draw!C130</f>
        <v/>
      </c>
    </row>
    <row r="129" spans="1:3" x14ac:dyDescent="0.35">
      <c r="A129" s="10" t="str">
        <f>Draw!A131</f>
        <v/>
      </c>
      <c r="B129" s="10" t="str">
        <f>Draw!B131</f>
        <v/>
      </c>
      <c r="C129" s="10" t="str">
        <f>Draw!C131</f>
        <v/>
      </c>
    </row>
  </sheetData>
  <sortState xmlns:xlrd2="http://schemas.microsoft.com/office/spreadsheetml/2017/richdata2" ref="A2:C129">
    <sortCondition ref="A3"/>
  </sortState>
  <mergeCells count="1">
    <mergeCell ref="H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CreateTournamentBracket">
                <anchor moveWithCells="1" sizeWithCells="1">
                  <from>
                    <xdr:col>4</xdr:col>
                    <xdr:colOff>15240</xdr:colOff>
                    <xdr:row>3</xdr:row>
                    <xdr:rowOff>213360</xdr:rowOff>
                  </from>
                  <to>
                    <xdr:col>4</xdr:col>
                    <xdr:colOff>1440180</xdr:colOff>
                    <xdr:row>4</xdr:row>
                    <xdr:rowOff>198120</xdr:rowOff>
                  </to>
                </anchor>
              </controlPr>
            </control>
          </mc:Choice>
        </mc:AlternateContent>
        <mc:AlternateContent xmlns:mc="http://schemas.openxmlformats.org/markup-compatibility/2006">
          <mc:Choice Requires="x14">
            <control shapeId="4101" r:id="rId4" name="Button 5">
              <controlPr defaultSize="0" print="0" autoFill="0" autoPict="0" macro="[0]!createTournamentBracket2">
                <anchor moveWithCells="1" sizeWithCells="1">
                  <from>
                    <xdr:col>4</xdr:col>
                    <xdr:colOff>22860</xdr:colOff>
                    <xdr:row>5</xdr:row>
                    <xdr:rowOff>220980</xdr:rowOff>
                  </from>
                  <to>
                    <xdr:col>5</xdr:col>
                    <xdr:colOff>0</xdr:colOff>
                    <xdr:row>6</xdr:row>
                    <xdr:rowOff>213360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4D0B1-C3A0-4C69-B340-D1E879671A76}">
  <sheetPr codeName="Sheet6"/>
  <dimension ref="A1:N15"/>
  <sheetViews>
    <sheetView workbookViewId="0">
      <selection activeCell="K7" sqref="K7"/>
    </sheetView>
  </sheetViews>
  <sheetFormatPr defaultRowHeight="14.4" x14ac:dyDescent="0.3"/>
  <cols>
    <col min="1" max="1" width="1.109375" customWidth="1"/>
    <col min="2" max="2" width="1.21875" customWidth="1"/>
    <col min="3" max="3" width="7.6640625" customWidth="1"/>
    <col min="5" max="5" width="9" bestFit="1" customWidth="1"/>
    <col min="6" max="6" width="13.88671875" customWidth="1"/>
    <col min="7" max="13" width="6.88671875" customWidth="1"/>
    <col min="14" max="14" width="5.21875" customWidth="1"/>
    <col min="15" max="15" width="4.109375" customWidth="1"/>
    <col min="16" max="16" width="3.6640625" customWidth="1"/>
  </cols>
  <sheetData>
    <row r="1" spans="1:14" ht="11.4" customHeight="1" x14ac:dyDescent="0.3">
      <c r="A1" s="21"/>
      <c r="B1" s="21"/>
      <c r="C1" s="21"/>
      <c r="D1" s="21"/>
      <c r="E1" s="21"/>
      <c r="F1" s="21"/>
      <c r="G1" s="21"/>
      <c r="H1" s="21"/>
      <c r="I1" s="21"/>
      <c r="J1" s="21"/>
      <c r="K1" s="21"/>
      <c r="L1" s="21"/>
      <c r="M1" s="21"/>
      <c r="N1" s="21"/>
    </row>
    <row r="2" spans="1:14" ht="26.4" customHeight="1" x14ac:dyDescent="0.3">
      <c r="A2" s="21"/>
      <c r="B2" s="184" t="str">
        <f>Bracket!$C$1</f>
        <v>STAG GLOBAL CORPORATE CHAMPIONSHIP</v>
      </c>
      <c r="C2" s="184"/>
      <c r="D2" s="184"/>
      <c r="E2" s="184"/>
      <c r="F2" s="184"/>
      <c r="G2" s="184"/>
      <c r="H2" s="184"/>
      <c r="I2" s="184"/>
      <c r="J2" s="184"/>
      <c r="K2" s="184"/>
      <c r="L2" s="64"/>
      <c r="M2" s="64"/>
      <c r="N2" s="64"/>
    </row>
    <row r="3" spans="1:14" ht="18" x14ac:dyDescent="0.3">
      <c r="A3" s="21"/>
      <c r="B3" s="56" t="str">
        <f>REPLACE(Bracket!$C$2,1,9,"")</f>
        <v xml:space="preserve"> Men Doubles</v>
      </c>
      <c r="C3" s="62"/>
      <c r="D3" s="66"/>
      <c r="E3" s="66"/>
      <c r="F3" s="65" t="s">
        <v>291</v>
      </c>
      <c r="G3" s="66"/>
      <c r="H3" s="66"/>
      <c r="I3" s="66" t="s">
        <v>72</v>
      </c>
      <c r="J3" s="65">
        <v>33</v>
      </c>
      <c r="K3" s="57"/>
      <c r="L3" s="57"/>
      <c r="M3" s="57"/>
      <c r="N3" s="56"/>
    </row>
    <row r="4" spans="1:14" ht="15" customHeight="1" x14ac:dyDescent="0.3">
      <c r="A4" s="21"/>
      <c r="B4" s="56"/>
      <c r="C4" s="58"/>
      <c r="D4" s="185"/>
      <c r="E4" s="185"/>
      <c r="F4" s="60"/>
      <c r="G4" s="59"/>
      <c r="H4" s="59"/>
      <c r="I4" s="59"/>
      <c r="J4" s="59"/>
      <c r="K4" s="59"/>
      <c r="L4" s="59"/>
      <c r="M4" s="59"/>
      <c r="N4" s="59"/>
    </row>
    <row r="5" spans="1:14" ht="17.399999999999999" x14ac:dyDescent="0.3">
      <c r="A5" s="21"/>
      <c r="B5" s="56"/>
      <c r="C5" s="61" t="s">
        <v>947</v>
      </c>
      <c r="D5" s="186" t="s">
        <v>292</v>
      </c>
      <c r="E5" s="186"/>
      <c r="F5" s="187"/>
      <c r="G5" s="76">
        <v>1</v>
      </c>
      <c r="H5" s="76">
        <v>2</v>
      </c>
      <c r="I5" s="76">
        <v>3</v>
      </c>
      <c r="J5" s="76">
        <v>4</v>
      </c>
      <c r="K5" s="73">
        <v>5</v>
      </c>
      <c r="L5" s="60"/>
      <c r="M5" s="60"/>
      <c r="N5" s="59"/>
    </row>
    <row r="6" spans="1:14" ht="30" customHeight="1" x14ac:dyDescent="0.3">
      <c r="A6" s="21"/>
      <c r="B6" s="56"/>
      <c r="C6" s="63" t="s">
        <v>1281</v>
      </c>
      <c r="D6" s="188">
        <v>0</v>
      </c>
      <c r="E6" s="188"/>
      <c r="F6" s="189"/>
      <c r="G6" s="74"/>
      <c r="H6" s="74"/>
      <c r="I6" s="74"/>
      <c r="J6" s="74"/>
      <c r="K6" s="72"/>
      <c r="L6" s="133"/>
      <c r="M6" s="133"/>
      <c r="N6" s="59"/>
    </row>
    <row r="7" spans="1:14" ht="30" customHeight="1" x14ac:dyDescent="0.3">
      <c r="A7" s="21"/>
      <c r="B7" s="56"/>
      <c r="C7" s="63" t="s">
        <v>1281</v>
      </c>
      <c r="D7" s="189">
        <v>0</v>
      </c>
      <c r="E7" s="190"/>
      <c r="F7" s="190"/>
      <c r="G7" s="75"/>
      <c r="H7" s="75"/>
      <c r="I7" s="75"/>
      <c r="J7" s="75"/>
      <c r="K7" s="71"/>
      <c r="L7" s="133"/>
      <c r="M7" s="133"/>
      <c r="N7" s="59"/>
    </row>
    <row r="8" spans="1:14" ht="22.8" customHeight="1" x14ac:dyDescent="0.3">
      <c r="A8" s="21"/>
      <c r="B8" s="56"/>
      <c r="C8" s="56"/>
      <c r="D8" s="56"/>
      <c r="E8" s="56"/>
      <c r="F8" s="56"/>
      <c r="G8" s="56"/>
      <c r="H8" s="56"/>
      <c r="I8" s="56"/>
      <c r="J8" s="56"/>
      <c r="K8" s="56"/>
      <c r="L8" s="56"/>
      <c r="M8" s="56"/>
      <c r="N8" s="56"/>
    </row>
    <row r="9" spans="1:14" ht="27" customHeight="1" x14ac:dyDescent="0.3">
      <c r="A9" s="21"/>
      <c r="B9" s="56"/>
      <c r="C9" s="185" t="s">
        <v>293</v>
      </c>
      <c r="D9" s="185"/>
      <c r="E9" s="185"/>
      <c r="F9" s="185"/>
      <c r="G9" s="56"/>
      <c r="H9" s="56" t="s">
        <v>27</v>
      </c>
      <c r="I9" s="56"/>
      <c r="J9" s="56"/>
      <c r="K9" s="56" t="s">
        <v>294</v>
      </c>
      <c r="L9" s="56"/>
      <c r="M9" s="56"/>
      <c r="N9" s="56"/>
    </row>
    <row r="10" spans="1:14" ht="12.6" customHeight="1" x14ac:dyDescent="0.35">
      <c r="A10" s="21"/>
      <c r="B10" s="67"/>
      <c r="C10" s="67"/>
      <c r="D10" s="67"/>
      <c r="E10" s="67"/>
      <c r="F10" s="67"/>
      <c r="G10" s="67"/>
      <c r="H10" s="67"/>
      <c r="I10" s="67"/>
      <c r="J10" s="67"/>
      <c r="K10" s="67"/>
      <c r="L10" s="67"/>
      <c r="M10" s="54"/>
      <c r="N10" s="55"/>
    </row>
    <row r="11" spans="1:14" x14ac:dyDescent="0.3">
      <c r="A11" s="21"/>
      <c r="B11" s="21"/>
      <c r="C11" s="21"/>
      <c r="D11" s="21"/>
      <c r="E11" s="21"/>
      <c r="F11" s="21"/>
      <c r="G11" s="21"/>
      <c r="H11" s="21"/>
      <c r="I11" s="21"/>
      <c r="J11" s="21"/>
      <c r="K11" s="21"/>
      <c r="L11" s="21"/>
      <c r="M11" s="21"/>
      <c r="N11" s="21"/>
    </row>
    <row r="12" spans="1:14" x14ac:dyDescent="0.3">
      <c r="A12" s="21"/>
      <c r="B12" s="21"/>
      <c r="C12" s="21"/>
      <c r="D12" s="21"/>
      <c r="E12" s="21"/>
      <c r="F12" s="21"/>
      <c r="G12" s="21"/>
      <c r="H12" s="21"/>
      <c r="I12" s="21"/>
      <c r="J12" s="21"/>
      <c r="K12" s="21"/>
      <c r="L12" s="21"/>
      <c r="M12" s="21"/>
      <c r="N12" s="21"/>
    </row>
    <row r="13" spans="1:14" x14ac:dyDescent="0.3">
      <c r="A13" s="21"/>
      <c r="B13" s="21"/>
      <c r="C13" s="21"/>
      <c r="D13" s="21"/>
      <c r="E13" s="21"/>
      <c r="F13" s="21"/>
      <c r="G13" s="21"/>
      <c r="H13" s="21"/>
      <c r="I13" s="21"/>
      <c r="J13" s="21"/>
      <c r="K13" s="21"/>
      <c r="L13" s="21"/>
      <c r="M13" s="21"/>
      <c r="N13" s="21"/>
    </row>
    <row r="14" spans="1:14" x14ac:dyDescent="0.3">
      <c r="A14" s="21"/>
      <c r="B14" s="21"/>
      <c r="C14" s="21"/>
      <c r="D14" s="21"/>
      <c r="E14" s="21"/>
      <c r="F14" s="21"/>
      <c r="G14" s="21"/>
      <c r="H14" s="21"/>
      <c r="I14" s="21"/>
      <c r="J14" s="21"/>
      <c r="K14" s="21"/>
      <c r="L14" s="21"/>
      <c r="M14" s="21"/>
      <c r="N14" s="21"/>
    </row>
    <row r="15" spans="1:14" x14ac:dyDescent="0.3">
      <c r="A15" s="21"/>
      <c r="B15" s="21"/>
      <c r="C15" s="21"/>
      <c r="D15" s="21"/>
      <c r="E15" s="21"/>
      <c r="F15" s="21"/>
      <c r="G15" s="21"/>
      <c r="H15" s="21"/>
      <c r="I15" s="21"/>
      <c r="J15" s="21"/>
      <c r="K15" s="21"/>
      <c r="L15" s="21"/>
      <c r="M15" s="21"/>
      <c r="N15" s="21"/>
    </row>
  </sheetData>
  <mergeCells count="7">
    <mergeCell ref="B2:K2"/>
    <mergeCell ref="E9:F9"/>
    <mergeCell ref="C9:D9"/>
    <mergeCell ref="D4:E4"/>
    <mergeCell ref="D5:F5"/>
    <mergeCell ref="D6:F6"/>
    <mergeCell ref="D7:F7"/>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2:AO90"/>
  <sheetViews>
    <sheetView showGridLines="0" topLeftCell="A65" zoomScale="97" workbookViewId="0">
      <pane xSplit="1" topLeftCell="I1" activePane="topRight" state="frozen"/>
      <selection pane="topRight" activeCell="K84" sqref="K84"/>
    </sheetView>
  </sheetViews>
  <sheetFormatPr defaultRowHeight="14.4" x14ac:dyDescent="0.3"/>
  <cols>
    <col min="1" max="1" width="15.77734375" customWidth="1"/>
    <col min="2" max="2" width="11.109375" bestFit="1" customWidth="1"/>
    <col min="3" max="3" width="5" bestFit="1" customWidth="1"/>
    <col min="4" max="4" width="19" bestFit="1" customWidth="1"/>
    <col min="5" max="5" width="10.6640625" bestFit="1" customWidth="1"/>
    <col min="6" max="8" width="11.109375" bestFit="1" customWidth="1"/>
    <col min="9" max="9" width="5" bestFit="1" customWidth="1"/>
    <col min="10" max="10" width="23.33203125" bestFit="1" customWidth="1"/>
    <col min="11" max="11" width="11.77734375" customWidth="1"/>
    <col min="12" max="14" width="11.109375" bestFit="1" customWidth="1"/>
    <col min="15" max="15" width="5" bestFit="1" customWidth="1"/>
    <col min="16" max="16" width="20.5546875" bestFit="1" customWidth="1"/>
    <col min="17" max="17" width="13.77734375" bestFit="1" customWidth="1"/>
    <col min="18" max="20" width="11.109375" bestFit="1" customWidth="1"/>
    <col min="21" max="21" width="5" bestFit="1" customWidth="1"/>
    <col min="22" max="22" width="30.6640625" bestFit="1" customWidth="1"/>
    <col min="23" max="23" width="11.5546875" bestFit="1" customWidth="1"/>
    <col min="24" max="26" width="11.109375" bestFit="1" customWidth="1"/>
    <col min="27" max="27" width="5" bestFit="1" customWidth="1"/>
    <col min="28" max="28" width="33.109375" bestFit="1" customWidth="1"/>
    <col min="29" max="29" width="10.88671875" bestFit="1" customWidth="1"/>
    <col min="30" max="32" width="11.109375" bestFit="1" customWidth="1"/>
    <col min="33" max="33" width="4.88671875" customWidth="1"/>
    <col min="34" max="34" width="29.21875" bestFit="1" customWidth="1"/>
    <col min="35" max="35" width="11.5546875" bestFit="1" customWidth="1"/>
    <col min="36" max="38" width="11.109375" bestFit="1" customWidth="1"/>
    <col min="39" max="39" width="4.88671875" customWidth="1"/>
    <col min="40" max="40" width="31.6640625" bestFit="1" customWidth="1"/>
    <col min="41" max="41" width="7.44140625" bestFit="1" customWidth="1"/>
    <col min="42" max="49" width="11.109375" bestFit="1" customWidth="1"/>
  </cols>
  <sheetData>
    <row r="2" spans="1:41" x14ac:dyDescent="0.3">
      <c r="A2" t="s">
        <v>2161</v>
      </c>
      <c r="C2" s="191" t="s">
        <v>2045</v>
      </c>
      <c r="D2" s="191"/>
      <c r="E2" s="191"/>
      <c r="I2" s="191" t="s">
        <v>2062</v>
      </c>
      <c r="J2" s="191"/>
      <c r="K2" s="191"/>
      <c r="O2" s="191" t="s">
        <v>2117</v>
      </c>
      <c r="P2" s="191"/>
      <c r="Q2" s="191"/>
      <c r="U2" s="191" t="s">
        <v>2140</v>
      </c>
      <c r="V2" s="191"/>
      <c r="W2" s="191"/>
      <c r="AA2" s="191" t="s">
        <v>2141</v>
      </c>
      <c r="AB2" s="191"/>
      <c r="AC2" s="191"/>
      <c r="AG2" s="191" t="s">
        <v>2154</v>
      </c>
      <c r="AH2" s="191"/>
      <c r="AI2" s="191"/>
      <c r="AM2" s="191" t="s">
        <v>2162</v>
      </c>
      <c r="AN2" s="191"/>
      <c r="AO2" s="191"/>
    </row>
    <row r="3" spans="1:41" x14ac:dyDescent="0.3">
      <c r="C3" s="2" t="s">
        <v>14</v>
      </c>
      <c r="D3" s="2" t="s">
        <v>307</v>
      </c>
      <c r="E3" s="2" t="s">
        <v>13</v>
      </c>
      <c r="I3" s="2" t="s">
        <v>14</v>
      </c>
      <c r="J3" s="2" t="s">
        <v>307</v>
      </c>
      <c r="K3" s="2" t="s">
        <v>13</v>
      </c>
      <c r="O3" s="2" t="s">
        <v>14</v>
      </c>
      <c r="P3" s="2" t="s">
        <v>307</v>
      </c>
      <c r="Q3" s="2" t="s">
        <v>13</v>
      </c>
      <c r="U3" s="2" t="s">
        <v>14</v>
      </c>
      <c r="V3" s="2" t="s">
        <v>307</v>
      </c>
      <c r="W3" s="2" t="s">
        <v>13</v>
      </c>
      <c r="AA3" s="2" t="s">
        <v>14</v>
      </c>
      <c r="AB3" s="2" t="s">
        <v>307</v>
      </c>
      <c r="AC3" s="2" t="s">
        <v>13</v>
      </c>
      <c r="AG3" s="2" t="s">
        <v>14</v>
      </c>
      <c r="AH3" s="2" t="s">
        <v>307</v>
      </c>
      <c r="AI3" s="2" t="s">
        <v>13</v>
      </c>
      <c r="AM3" s="2" t="s">
        <v>14</v>
      </c>
      <c r="AN3" s="2" t="s">
        <v>307</v>
      </c>
      <c r="AO3" s="2" t="s">
        <v>13</v>
      </c>
    </row>
    <row r="4" spans="1:41" x14ac:dyDescent="0.3">
      <c r="C4" s="2">
        <v>1</v>
      </c>
      <c r="D4" s="2" t="s">
        <v>2052</v>
      </c>
      <c r="E4" s="2" t="s">
        <v>2260</v>
      </c>
      <c r="I4" s="2">
        <v>1</v>
      </c>
      <c r="J4" s="128" t="s">
        <v>2084</v>
      </c>
      <c r="K4" s="2" t="s">
        <v>2220</v>
      </c>
      <c r="O4" s="2">
        <v>1</v>
      </c>
      <c r="P4" s="2" t="s">
        <v>2067</v>
      </c>
      <c r="Q4" s="2" t="s">
        <v>2280</v>
      </c>
      <c r="U4" s="2">
        <v>1</v>
      </c>
      <c r="V4" s="2" t="s">
        <v>2142</v>
      </c>
      <c r="W4" s="2" t="s">
        <v>2256</v>
      </c>
      <c r="AA4" s="2">
        <v>1</v>
      </c>
      <c r="AB4" s="2" t="s">
        <v>2147</v>
      </c>
      <c r="AC4" s="2" t="s">
        <v>2282</v>
      </c>
      <c r="AG4" s="2">
        <v>1</v>
      </c>
      <c r="AH4" s="2" t="s">
        <v>2155</v>
      </c>
      <c r="AI4" s="2" t="s">
        <v>2264</v>
      </c>
      <c r="AM4" s="2">
        <v>1</v>
      </c>
      <c r="AN4" s="2" t="s">
        <v>2185</v>
      </c>
      <c r="AO4" s="2"/>
    </row>
    <row r="5" spans="1:41" x14ac:dyDescent="0.3">
      <c r="C5" s="2">
        <v>2</v>
      </c>
      <c r="D5" s="2" t="s">
        <v>2053</v>
      </c>
      <c r="E5" s="2" t="s">
        <v>2260</v>
      </c>
      <c r="I5" s="2">
        <v>1</v>
      </c>
      <c r="J5" s="128" t="s">
        <v>2169</v>
      </c>
      <c r="K5" s="2" t="s">
        <v>2220</v>
      </c>
      <c r="O5" s="2">
        <v>1</v>
      </c>
      <c r="P5" s="2" t="s">
        <v>553</v>
      </c>
      <c r="Q5" s="2" t="s">
        <v>2285</v>
      </c>
      <c r="U5" s="2">
        <v>2</v>
      </c>
      <c r="V5" s="2" t="s">
        <v>2143</v>
      </c>
      <c r="W5" s="2" t="s">
        <v>2307</v>
      </c>
      <c r="AA5" s="2">
        <v>2</v>
      </c>
      <c r="AB5" s="2" t="s">
        <v>2148</v>
      </c>
      <c r="AC5" s="2" t="s">
        <v>2256</v>
      </c>
      <c r="AG5" s="2">
        <v>2</v>
      </c>
      <c r="AH5" s="2" t="s">
        <v>2156</v>
      </c>
      <c r="AI5" s="2" t="s">
        <v>2219</v>
      </c>
      <c r="AM5" s="2">
        <v>2</v>
      </c>
      <c r="AN5" s="2" t="s">
        <v>2163</v>
      </c>
      <c r="AO5" s="2"/>
    </row>
    <row r="6" spans="1:41" x14ac:dyDescent="0.3">
      <c r="C6" s="2">
        <v>3</v>
      </c>
      <c r="D6" s="2" t="s">
        <v>2057</v>
      </c>
      <c r="E6" s="2" t="s">
        <v>2201</v>
      </c>
      <c r="I6" s="2">
        <v>1</v>
      </c>
      <c r="J6" s="128" t="s">
        <v>758</v>
      </c>
      <c r="K6" s="2" t="s">
        <v>2226</v>
      </c>
      <c r="O6" s="2">
        <v>1</v>
      </c>
      <c r="P6" s="2" t="s">
        <v>2125</v>
      </c>
      <c r="Q6" s="2" t="s">
        <v>2287</v>
      </c>
      <c r="U6" s="2">
        <v>3</v>
      </c>
      <c r="V6" s="2" t="s">
        <v>2144</v>
      </c>
      <c r="W6" s="2" t="s">
        <v>2286</v>
      </c>
      <c r="AA6" s="2">
        <v>3</v>
      </c>
      <c r="AB6" s="2" t="s">
        <v>2149</v>
      </c>
      <c r="AC6" s="2" t="s">
        <v>2310</v>
      </c>
      <c r="AG6" s="2">
        <v>3</v>
      </c>
      <c r="AH6" s="2" t="s">
        <v>2157</v>
      </c>
      <c r="AI6" s="2" t="s">
        <v>2307</v>
      </c>
      <c r="AM6" s="2">
        <v>3</v>
      </c>
      <c r="AN6" s="2" t="s">
        <v>2164</v>
      </c>
      <c r="AO6" s="2"/>
    </row>
    <row r="7" spans="1:41" x14ac:dyDescent="0.3">
      <c r="C7" s="2">
        <v>4</v>
      </c>
      <c r="D7" s="2" t="s">
        <v>2050</v>
      </c>
      <c r="E7" s="2" t="s">
        <v>2261</v>
      </c>
      <c r="I7" s="2">
        <v>1</v>
      </c>
      <c r="J7" s="128" t="s">
        <v>2101</v>
      </c>
      <c r="K7" s="2" t="s">
        <v>2247</v>
      </c>
      <c r="O7" s="2">
        <v>1</v>
      </c>
      <c r="P7" s="2" t="s">
        <v>758</v>
      </c>
      <c r="Q7" s="2" t="s">
        <v>2289</v>
      </c>
      <c r="U7" s="2">
        <v>4</v>
      </c>
      <c r="V7" s="2" t="s">
        <v>2180</v>
      </c>
      <c r="W7" s="2" t="s">
        <v>2260</v>
      </c>
      <c r="AA7" s="2">
        <v>4</v>
      </c>
      <c r="AB7" s="2" t="s">
        <v>2151</v>
      </c>
      <c r="AC7" s="2" t="s">
        <v>2295</v>
      </c>
      <c r="AG7" s="2">
        <v>4</v>
      </c>
      <c r="AH7" s="2" t="s">
        <v>2158</v>
      </c>
      <c r="AI7" s="2" t="s">
        <v>2260</v>
      </c>
      <c r="AM7" s="2">
        <v>4</v>
      </c>
      <c r="AN7" s="2" t="s">
        <v>2165</v>
      </c>
      <c r="AO7" s="2"/>
    </row>
    <row r="8" spans="1:41" x14ac:dyDescent="0.3">
      <c r="C8" s="2">
        <v>5</v>
      </c>
      <c r="D8" s="2" t="s">
        <v>2055</v>
      </c>
      <c r="E8" s="2" t="s">
        <v>2262</v>
      </c>
      <c r="I8" s="2">
        <v>1</v>
      </c>
      <c r="J8" s="129" t="s">
        <v>2103</v>
      </c>
      <c r="K8" s="2" t="s">
        <v>2217</v>
      </c>
      <c r="O8" s="2">
        <v>1</v>
      </c>
      <c r="P8" s="2" t="s">
        <v>720</v>
      </c>
      <c r="Q8" s="2" t="s">
        <v>2290</v>
      </c>
      <c r="U8" s="2">
        <v>5</v>
      </c>
      <c r="V8" s="2" t="s">
        <v>2145</v>
      </c>
      <c r="W8" s="2" t="s">
        <v>2308</v>
      </c>
      <c r="AA8" s="2">
        <v>5</v>
      </c>
      <c r="AB8" s="2" t="s">
        <v>2152</v>
      </c>
      <c r="AC8" s="2" t="s">
        <v>2286</v>
      </c>
      <c r="AG8" s="2">
        <v>5</v>
      </c>
      <c r="AH8" s="2" t="s">
        <v>2159</v>
      </c>
      <c r="AI8" s="2" t="s">
        <v>2260</v>
      </c>
      <c r="AM8" s="2">
        <v>5</v>
      </c>
      <c r="AN8" s="2" t="s">
        <v>2166</v>
      </c>
      <c r="AO8" s="2"/>
    </row>
    <row r="9" spans="1:41" x14ac:dyDescent="0.3">
      <c r="C9" s="2">
        <v>7</v>
      </c>
      <c r="D9" s="2" t="s">
        <v>2051</v>
      </c>
      <c r="E9" s="2" t="s">
        <v>2263</v>
      </c>
      <c r="I9" s="2">
        <v>1</v>
      </c>
      <c r="J9" s="129" t="s">
        <v>594</v>
      </c>
      <c r="K9" s="2" t="s">
        <v>2237</v>
      </c>
      <c r="O9" s="2">
        <v>1</v>
      </c>
      <c r="P9" s="2" t="s">
        <v>594</v>
      </c>
      <c r="Q9" s="2" t="s">
        <v>2237</v>
      </c>
      <c r="U9" s="2">
        <v>6</v>
      </c>
      <c r="V9" s="2" t="s">
        <v>2146</v>
      </c>
      <c r="W9" s="2" t="s">
        <v>2256</v>
      </c>
      <c r="AA9" s="2">
        <v>6</v>
      </c>
      <c r="AB9" s="2" t="s">
        <v>2153</v>
      </c>
      <c r="AC9" s="2" t="s">
        <v>2289</v>
      </c>
      <c r="AG9" s="2">
        <v>6</v>
      </c>
      <c r="AH9" s="2" t="s">
        <v>2160</v>
      </c>
      <c r="AI9" s="2" t="s">
        <v>2201</v>
      </c>
      <c r="AM9" s="2">
        <v>6</v>
      </c>
      <c r="AN9" s="2" t="s">
        <v>2167</v>
      </c>
      <c r="AO9" s="2"/>
    </row>
    <row r="10" spans="1:41" ht="15.6" x14ac:dyDescent="0.3">
      <c r="C10" s="2"/>
      <c r="D10" s="2" t="s">
        <v>2046</v>
      </c>
      <c r="E10" s="2" t="s">
        <v>2264</v>
      </c>
      <c r="I10" s="2">
        <v>2</v>
      </c>
      <c r="J10" s="129" t="s">
        <v>2082</v>
      </c>
      <c r="K10" s="2" t="s">
        <v>2219</v>
      </c>
      <c r="O10" s="2">
        <v>1</v>
      </c>
      <c r="P10" s="2" t="s">
        <v>2114</v>
      </c>
      <c r="Q10" s="2" t="s">
        <v>2303</v>
      </c>
      <c r="U10" s="2">
        <v>7</v>
      </c>
      <c r="V10" s="2" t="s">
        <v>2181</v>
      </c>
      <c r="W10" s="2" t="s">
        <v>2260</v>
      </c>
      <c r="AA10" s="2"/>
      <c r="AB10" s="127" t="s">
        <v>2317</v>
      </c>
      <c r="AC10" s="2" t="s">
        <v>2321</v>
      </c>
      <c r="AG10" s="2">
        <v>7</v>
      </c>
      <c r="AH10" s="2" t="s">
        <v>2184</v>
      </c>
      <c r="AI10" s="2" t="s">
        <v>2273</v>
      </c>
      <c r="AM10" s="2">
        <v>7</v>
      </c>
      <c r="AN10" s="2" t="s">
        <v>2168</v>
      </c>
      <c r="AO10" s="2"/>
    </row>
    <row r="11" spans="1:41" ht="15.6" x14ac:dyDescent="0.3">
      <c r="C11" s="2"/>
      <c r="D11" s="2" t="s">
        <v>2054</v>
      </c>
      <c r="E11" s="2" t="s">
        <v>2186</v>
      </c>
      <c r="I11" s="2">
        <v>2</v>
      </c>
      <c r="J11" s="129" t="s">
        <v>2095</v>
      </c>
      <c r="K11" s="2" t="s">
        <v>2222</v>
      </c>
      <c r="O11" s="2">
        <v>1</v>
      </c>
      <c r="P11" s="2" t="s">
        <v>2170</v>
      </c>
      <c r="Q11" s="2" t="s">
        <v>2204</v>
      </c>
      <c r="U11" s="2">
        <v>8</v>
      </c>
      <c r="V11" s="109" t="s">
        <v>2182</v>
      </c>
      <c r="W11" s="2" t="s">
        <v>2253</v>
      </c>
      <c r="AA11" s="2"/>
      <c r="AB11" s="127" t="s">
        <v>2318</v>
      </c>
      <c r="AC11" s="2" t="s">
        <v>2321</v>
      </c>
      <c r="AG11" s="2">
        <v>8</v>
      </c>
      <c r="AH11" s="127" t="s">
        <v>2329</v>
      </c>
      <c r="AI11" s="2" t="s">
        <v>2330</v>
      </c>
      <c r="AM11" s="2">
        <v>8</v>
      </c>
      <c r="AN11" s="2" t="s">
        <v>2256</v>
      </c>
      <c r="AO11" s="2"/>
    </row>
    <row r="12" spans="1:41" ht="15.6" x14ac:dyDescent="0.3">
      <c r="C12" s="2"/>
      <c r="D12" s="2" t="s">
        <v>2047</v>
      </c>
      <c r="E12" s="2" t="s">
        <v>2265</v>
      </c>
      <c r="I12" s="2">
        <v>3</v>
      </c>
      <c r="J12" t="s">
        <v>2067</v>
      </c>
      <c r="K12" s="2" t="s">
        <v>2211</v>
      </c>
      <c r="O12" s="2"/>
      <c r="P12" s="2" t="s">
        <v>2118</v>
      </c>
      <c r="Q12" s="2" t="s">
        <v>2281</v>
      </c>
      <c r="U12" s="2">
        <v>9</v>
      </c>
      <c r="V12" s="2" t="s">
        <v>2183</v>
      </c>
      <c r="W12" s="2" t="s">
        <v>2309</v>
      </c>
      <c r="AA12" s="2"/>
      <c r="AB12" s="127"/>
      <c r="AC12" s="2"/>
      <c r="AG12" s="2"/>
      <c r="AH12" s="127"/>
      <c r="AI12" s="2"/>
      <c r="AM12" s="2">
        <v>9</v>
      </c>
      <c r="AN12" s="2" t="s">
        <v>2186</v>
      </c>
      <c r="AO12" s="2"/>
    </row>
    <row r="13" spans="1:41" ht="15.6" x14ac:dyDescent="0.3">
      <c r="C13" s="2"/>
      <c r="D13" s="2" t="s">
        <v>2048</v>
      </c>
      <c r="E13" s="2" t="s">
        <v>2266</v>
      </c>
      <c r="I13" s="2">
        <v>3</v>
      </c>
      <c r="J13" s="128" t="s">
        <v>2104</v>
      </c>
      <c r="K13" s="2" t="s">
        <v>2238</v>
      </c>
      <c r="O13" s="2"/>
      <c r="P13" s="2" t="s">
        <v>2119</v>
      </c>
      <c r="Q13" s="2" t="s">
        <v>2282</v>
      </c>
      <c r="U13" s="2">
        <v>10</v>
      </c>
      <c r="V13" s="2" t="s">
        <v>2150</v>
      </c>
      <c r="W13" s="2" t="s">
        <v>2163</v>
      </c>
      <c r="AA13" s="2"/>
      <c r="AB13" s="127"/>
      <c r="AC13" s="2"/>
      <c r="AG13" s="2"/>
      <c r="AH13" s="127"/>
      <c r="AI13" s="2"/>
      <c r="AM13" s="2">
        <v>10</v>
      </c>
      <c r="AN13" s="2" t="s">
        <v>2198</v>
      </c>
      <c r="AO13" s="2"/>
    </row>
    <row r="14" spans="1:41" ht="15.6" x14ac:dyDescent="0.3">
      <c r="C14" s="2"/>
      <c r="D14" s="2" t="s">
        <v>2056</v>
      </c>
      <c r="E14" s="2" t="s">
        <v>2267</v>
      </c>
      <c r="I14" s="2">
        <v>3</v>
      </c>
      <c r="J14" s="129" t="s">
        <v>2170</v>
      </c>
      <c r="K14" s="2" t="s">
        <v>2204</v>
      </c>
      <c r="O14" s="2"/>
      <c r="P14" s="2" t="s">
        <v>2120</v>
      </c>
      <c r="Q14" s="2" t="s">
        <v>2256</v>
      </c>
      <c r="U14" s="2">
        <v>11</v>
      </c>
      <c r="V14" s="2" t="s">
        <v>2275</v>
      </c>
      <c r="W14" s="2" t="s">
        <v>2198</v>
      </c>
      <c r="AA14" s="2"/>
      <c r="AB14" s="2"/>
      <c r="AC14" s="2"/>
      <c r="AG14" s="2"/>
      <c r="AH14" s="127"/>
      <c r="AI14" s="2"/>
      <c r="AM14" s="2"/>
      <c r="AN14" s="127" t="s">
        <v>2317</v>
      </c>
      <c r="AO14" s="2" t="s">
        <v>2321</v>
      </c>
    </row>
    <row r="15" spans="1:41" ht="15.6" x14ac:dyDescent="0.3">
      <c r="C15" s="2"/>
      <c r="D15" s="2" t="s">
        <v>2049</v>
      </c>
      <c r="E15" s="2" t="s">
        <v>2268</v>
      </c>
      <c r="I15" s="2">
        <v>3</v>
      </c>
      <c r="J15" s="129" t="s">
        <v>2189</v>
      </c>
      <c r="K15" s="2" t="s">
        <v>2201</v>
      </c>
      <c r="O15" s="2"/>
      <c r="P15" s="2" t="s">
        <v>2063</v>
      </c>
      <c r="Q15" s="2" t="s">
        <v>2256</v>
      </c>
      <c r="U15" s="2">
        <v>12</v>
      </c>
      <c r="V15" s="2" t="s">
        <v>2276</v>
      </c>
      <c r="W15" s="2" t="s">
        <v>2259</v>
      </c>
      <c r="AA15" s="2"/>
      <c r="AB15" s="2"/>
      <c r="AC15" s="2"/>
      <c r="AG15" s="2"/>
      <c r="AH15" s="2"/>
      <c r="AI15" s="2"/>
      <c r="AM15" s="2"/>
      <c r="AN15" s="127" t="s">
        <v>2318</v>
      </c>
      <c r="AO15" s="2" t="s">
        <v>2321</v>
      </c>
    </row>
    <row r="16" spans="1:41" ht="15.6" x14ac:dyDescent="0.3">
      <c r="C16" s="2"/>
      <c r="D16" s="2" t="s">
        <v>2058</v>
      </c>
      <c r="E16" s="2" t="s">
        <v>2269</v>
      </c>
      <c r="I16" s="2">
        <v>3</v>
      </c>
      <c r="J16" s="129" t="s">
        <v>2257</v>
      </c>
      <c r="K16" s="2" t="s">
        <v>2278</v>
      </c>
      <c r="O16" s="2"/>
      <c r="P16" s="2" t="s">
        <v>2070</v>
      </c>
      <c r="Q16" s="2" t="s">
        <v>2283</v>
      </c>
      <c r="U16" s="2"/>
      <c r="V16" s="127" t="s">
        <v>2317</v>
      </c>
      <c r="W16" s="2" t="s">
        <v>2321</v>
      </c>
      <c r="AA16" s="2"/>
      <c r="AB16" s="2"/>
      <c r="AC16" s="2"/>
      <c r="AG16" s="2"/>
      <c r="AH16" s="2"/>
      <c r="AI16" s="2"/>
      <c r="AM16" s="2"/>
      <c r="AN16" s="127"/>
      <c r="AO16" s="2"/>
    </row>
    <row r="17" spans="3:41" ht="15.6" x14ac:dyDescent="0.3">
      <c r="C17" s="2"/>
      <c r="D17" s="2" t="s">
        <v>2059</v>
      </c>
      <c r="E17" s="2" t="s">
        <v>2270</v>
      </c>
      <c r="I17" s="2">
        <v>4</v>
      </c>
      <c r="J17" s="129" t="s">
        <v>553</v>
      </c>
      <c r="K17" s="2" t="s">
        <v>2221</v>
      </c>
      <c r="O17" s="2"/>
      <c r="P17" s="2" t="s">
        <v>2121</v>
      </c>
      <c r="Q17" s="2" t="s">
        <v>2261</v>
      </c>
      <c r="U17" s="2"/>
      <c r="V17" s="127" t="s">
        <v>2318</v>
      </c>
      <c r="W17" s="2" t="s">
        <v>2321</v>
      </c>
      <c r="AA17" s="2"/>
      <c r="AB17" s="2"/>
      <c r="AC17" s="2"/>
      <c r="AG17" s="2"/>
      <c r="AH17" s="2"/>
      <c r="AI17" s="2"/>
      <c r="AM17" s="2"/>
      <c r="AN17" s="127"/>
      <c r="AO17" s="2"/>
    </row>
    <row r="18" spans="3:41" ht="15.6" x14ac:dyDescent="0.3">
      <c r="C18" s="2"/>
      <c r="D18" s="2" t="s">
        <v>2060</v>
      </c>
      <c r="E18" s="2" t="s">
        <v>2271</v>
      </c>
      <c r="I18" s="2">
        <v>4</v>
      </c>
      <c r="J18" s="129" t="s">
        <v>363</v>
      </c>
      <c r="K18" s="2" t="s">
        <v>2199</v>
      </c>
      <c r="O18" s="2"/>
      <c r="P18" s="2" t="s">
        <v>2122</v>
      </c>
      <c r="Q18" s="2" t="s">
        <v>2284</v>
      </c>
      <c r="U18" s="2"/>
      <c r="V18" s="127"/>
      <c r="W18" s="2"/>
      <c r="AA18" s="2"/>
      <c r="AB18" s="2"/>
      <c r="AC18" s="2"/>
      <c r="AG18" s="2"/>
      <c r="AH18" s="2"/>
      <c r="AI18" s="2"/>
      <c r="AM18" s="2"/>
      <c r="AN18" s="2"/>
      <c r="AO18" s="2"/>
    </row>
    <row r="19" spans="3:41" ht="15.6" x14ac:dyDescent="0.3">
      <c r="C19" s="2"/>
      <c r="D19" s="2" t="s">
        <v>2061</v>
      </c>
      <c r="E19" s="2" t="s">
        <v>2272</v>
      </c>
      <c r="I19" s="2">
        <v>4</v>
      </c>
      <c r="J19" s="129" t="s">
        <v>2258</v>
      </c>
      <c r="K19" s="2" t="s">
        <v>2278</v>
      </c>
      <c r="O19" s="2"/>
      <c r="P19" s="2" t="s">
        <v>2123</v>
      </c>
      <c r="Q19" s="2" t="s">
        <v>2163</v>
      </c>
      <c r="U19" s="2"/>
      <c r="V19" s="127"/>
      <c r="W19" s="2"/>
      <c r="AA19" s="2"/>
      <c r="AB19" s="2"/>
      <c r="AC19" s="2"/>
      <c r="AG19" s="2"/>
      <c r="AH19" s="2"/>
      <c r="AI19" s="2"/>
      <c r="AM19" s="2"/>
      <c r="AN19" s="2"/>
      <c r="AO19" s="2"/>
    </row>
    <row r="20" spans="3:41" x14ac:dyDescent="0.3">
      <c r="C20" s="2"/>
      <c r="D20" s="2" t="s">
        <v>2195</v>
      </c>
      <c r="E20" s="2" t="s">
        <v>2273</v>
      </c>
      <c r="I20" s="2">
        <v>5</v>
      </c>
      <c r="J20" s="129" t="s">
        <v>2114</v>
      </c>
      <c r="K20" s="2" t="s">
        <v>2250</v>
      </c>
      <c r="O20" s="2"/>
      <c r="P20" s="2" t="s">
        <v>2124</v>
      </c>
      <c r="Q20" s="2" t="s">
        <v>2286</v>
      </c>
      <c r="U20" s="2"/>
      <c r="V20" s="2"/>
      <c r="W20" s="2"/>
      <c r="AA20" s="2"/>
      <c r="AB20" s="2"/>
      <c r="AC20" s="2"/>
      <c r="AG20" s="2"/>
      <c r="AH20" s="2"/>
      <c r="AI20" s="2"/>
      <c r="AM20" s="2"/>
      <c r="AN20" s="2"/>
      <c r="AO20" s="2"/>
    </row>
    <row r="21" spans="3:41" x14ac:dyDescent="0.3">
      <c r="C21" s="2"/>
      <c r="D21" s="2" t="s">
        <v>2196</v>
      </c>
      <c r="E21" s="2" t="s">
        <v>2274</v>
      </c>
      <c r="I21" s="2">
        <v>6</v>
      </c>
      <c r="J21" s="129" t="s">
        <v>2066</v>
      </c>
      <c r="K21" s="2" t="s">
        <v>2256</v>
      </c>
      <c r="O21" s="2"/>
      <c r="P21" s="2" t="s">
        <v>2126</v>
      </c>
      <c r="Q21" s="2" t="s">
        <v>2288</v>
      </c>
      <c r="U21" s="2"/>
      <c r="V21" s="2"/>
      <c r="W21" s="2"/>
      <c r="AA21" s="2"/>
      <c r="AB21" s="2"/>
      <c r="AC21" s="2"/>
      <c r="AG21" s="2"/>
      <c r="AH21" s="2"/>
      <c r="AI21" s="2"/>
      <c r="AM21" s="2"/>
      <c r="AN21" s="2"/>
      <c r="AO21" s="2"/>
    </row>
    <row r="22" spans="3:41" ht="15.6" x14ac:dyDescent="0.3">
      <c r="C22" s="2"/>
      <c r="D22" s="127" t="s">
        <v>2317</v>
      </c>
      <c r="E22" s="2" t="s">
        <v>2321</v>
      </c>
      <c r="I22" s="2">
        <v>10</v>
      </c>
      <c r="J22" s="129" t="s">
        <v>2113</v>
      </c>
      <c r="K22" s="2" t="s">
        <v>2201</v>
      </c>
      <c r="O22" s="2"/>
      <c r="P22" s="2" t="s">
        <v>2089</v>
      </c>
      <c r="Q22" s="2" t="s">
        <v>2227</v>
      </c>
      <c r="U22" s="2"/>
      <c r="V22" s="2"/>
      <c r="W22" s="2"/>
      <c r="AA22" s="2"/>
      <c r="AB22" s="2"/>
      <c r="AC22" s="2"/>
      <c r="AG22" s="2"/>
      <c r="AH22" s="2"/>
      <c r="AI22" s="2"/>
      <c r="AM22" s="2"/>
      <c r="AN22" s="2"/>
      <c r="AO22" s="2"/>
    </row>
    <row r="23" spans="3:41" ht="15.6" x14ac:dyDescent="0.3">
      <c r="C23" s="2"/>
      <c r="D23" s="127" t="s">
        <v>2318</v>
      </c>
      <c r="E23" s="2" t="s">
        <v>2321</v>
      </c>
      <c r="I23" s="2">
        <v>10</v>
      </c>
      <c r="J23" s="129" t="s">
        <v>2191</v>
      </c>
      <c r="K23" s="2" t="s">
        <v>2279</v>
      </c>
      <c r="O23" s="2"/>
      <c r="P23" s="2" t="s">
        <v>2127</v>
      </c>
      <c r="Q23" s="2" t="s">
        <v>2291</v>
      </c>
      <c r="U23" s="2"/>
      <c r="V23" s="2"/>
      <c r="W23" s="2"/>
      <c r="AA23" s="2"/>
      <c r="AB23" s="2"/>
      <c r="AC23" s="2"/>
      <c r="AG23" s="2"/>
      <c r="AH23" s="2"/>
      <c r="AI23" s="2"/>
      <c r="AM23" s="2"/>
      <c r="AN23" s="2"/>
      <c r="AO23" s="2"/>
    </row>
    <row r="24" spans="3:41" ht="15.6" x14ac:dyDescent="0.3">
      <c r="C24" s="2"/>
      <c r="D24" s="127" t="s">
        <v>2319</v>
      </c>
      <c r="E24" s="2" t="s">
        <v>2321</v>
      </c>
      <c r="I24" s="2">
        <v>14</v>
      </c>
      <c r="J24" s="129" t="s">
        <v>2092</v>
      </c>
      <c r="K24" s="2" t="s">
        <v>2230</v>
      </c>
      <c r="O24" s="2"/>
      <c r="P24" s="2" t="s">
        <v>2128</v>
      </c>
      <c r="Q24" s="2" t="s">
        <v>2292</v>
      </c>
      <c r="U24" s="2"/>
      <c r="V24" s="2"/>
      <c r="W24" s="2"/>
      <c r="AA24" s="2"/>
      <c r="AB24" s="2"/>
      <c r="AC24" s="2"/>
      <c r="AG24" s="2"/>
      <c r="AH24" s="2"/>
      <c r="AI24" s="2"/>
      <c r="AM24" s="2"/>
      <c r="AN24" s="2"/>
      <c r="AO24" s="2"/>
    </row>
    <row r="25" spans="3:41" ht="15.6" x14ac:dyDescent="0.3">
      <c r="C25" s="2"/>
      <c r="D25" s="127"/>
      <c r="E25" s="2"/>
      <c r="I25" s="2">
        <v>14</v>
      </c>
      <c r="J25" s="129" t="s">
        <v>2106</v>
      </c>
      <c r="K25" s="2" t="s">
        <v>2201</v>
      </c>
      <c r="O25" s="2"/>
      <c r="P25" s="2" t="s">
        <v>2129</v>
      </c>
      <c r="Q25" s="2" t="s">
        <v>2293</v>
      </c>
      <c r="U25" s="2"/>
      <c r="V25" s="2"/>
      <c r="W25" s="2"/>
      <c r="AA25" s="2"/>
      <c r="AB25" s="2"/>
      <c r="AC25" s="2"/>
      <c r="AG25" s="2"/>
      <c r="AH25" s="2"/>
      <c r="AI25" s="2"/>
      <c r="AM25" s="2"/>
      <c r="AN25" s="2"/>
      <c r="AO25" s="2"/>
    </row>
    <row r="26" spans="3:41" x14ac:dyDescent="0.3">
      <c r="I26" s="2">
        <v>16</v>
      </c>
      <c r="J26" s="129" t="s">
        <v>2075</v>
      </c>
      <c r="K26" s="2" t="s">
        <v>2216</v>
      </c>
      <c r="O26" s="2"/>
      <c r="P26" s="2" t="s">
        <v>2130</v>
      </c>
      <c r="Q26" s="2" t="s">
        <v>2201</v>
      </c>
      <c r="U26" s="2"/>
      <c r="V26" s="2"/>
      <c r="W26" s="2"/>
      <c r="AA26" s="2"/>
      <c r="AB26" s="2"/>
      <c r="AC26" s="2"/>
      <c r="AG26" s="2"/>
      <c r="AH26" s="2"/>
      <c r="AI26" s="2"/>
      <c r="AM26" s="2"/>
      <c r="AN26" s="2"/>
      <c r="AO26" s="2"/>
    </row>
    <row r="27" spans="3:41" x14ac:dyDescent="0.3">
      <c r="I27" s="2">
        <v>17</v>
      </c>
      <c r="J27" s="129" t="s">
        <v>2109</v>
      </c>
      <c r="K27" s="2" t="s">
        <v>2242</v>
      </c>
      <c r="O27" s="2"/>
      <c r="P27" s="2" t="s">
        <v>2131</v>
      </c>
      <c r="Q27" s="2" t="s">
        <v>2294</v>
      </c>
      <c r="U27" s="2"/>
      <c r="V27" s="2"/>
      <c r="W27" s="2"/>
      <c r="AA27" s="2"/>
      <c r="AB27" s="2"/>
      <c r="AC27" s="2"/>
    </row>
    <row r="28" spans="3:41" x14ac:dyDescent="0.3">
      <c r="I28" s="2"/>
      <c r="J28" s="129" t="s">
        <v>2063</v>
      </c>
      <c r="K28" s="2" t="s">
        <v>2256</v>
      </c>
      <c r="O28" s="2"/>
      <c r="P28" s="2" t="s">
        <v>2132</v>
      </c>
      <c r="Q28" s="2" t="s">
        <v>2295</v>
      </c>
      <c r="U28" s="2"/>
      <c r="V28" s="2"/>
      <c r="W28" s="2"/>
      <c r="AA28" s="2"/>
      <c r="AB28" s="2"/>
      <c r="AC28" s="2"/>
    </row>
    <row r="29" spans="3:41" x14ac:dyDescent="0.3">
      <c r="I29" s="2"/>
      <c r="J29" s="129" t="s">
        <v>2064</v>
      </c>
      <c r="K29" s="2" t="s">
        <v>2256</v>
      </c>
      <c r="O29" s="2"/>
      <c r="P29" s="2" t="s">
        <v>2133</v>
      </c>
      <c r="Q29" s="2" t="s">
        <v>2296</v>
      </c>
      <c r="U29" s="2"/>
      <c r="V29" s="2"/>
      <c r="W29" s="2"/>
      <c r="AA29" s="2"/>
      <c r="AB29" s="2"/>
      <c r="AC29" s="2"/>
    </row>
    <row r="30" spans="3:41" x14ac:dyDescent="0.3">
      <c r="I30" s="2"/>
      <c r="J30" s="129" t="s">
        <v>2065</v>
      </c>
      <c r="K30" s="2" t="s">
        <v>2256</v>
      </c>
      <c r="O30" s="2"/>
      <c r="P30" s="2" t="s">
        <v>2134</v>
      </c>
      <c r="Q30" s="2" t="s">
        <v>2297</v>
      </c>
      <c r="U30" s="2"/>
      <c r="V30" s="2"/>
      <c r="W30" s="2"/>
      <c r="AA30" s="2"/>
      <c r="AB30" s="2"/>
      <c r="AC30" s="2"/>
    </row>
    <row r="31" spans="3:41" x14ac:dyDescent="0.3">
      <c r="I31" s="2"/>
      <c r="J31" s="129" t="s">
        <v>2068</v>
      </c>
      <c r="K31" s="2" t="s">
        <v>2207</v>
      </c>
      <c r="O31" s="2"/>
      <c r="P31" s="2" t="s">
        <v>2135</v>
      </c>
      <c r="Q31" s="2" t="s">
        <v>2298</v>
      </c>
      <c r="U31" s="2"/>
      <c r="V31" s="2"/>
      <c r="W31" s="2"/>
    </row>
    <row r="32" spans="3:41" x14ac:dyDescent="0.3">
      <c r="I32" s="2"/>
      <c r="J32" s="129" t="s">
        <v>2069</v>
      </c>
      <c r="K32" s="2" t="s">
        <v>2212</v>
      </c>
      <c r="O32" s="2"/>
      <c r="P32" s="2" t="s">
        <v>2136</v>
      </c>
      <c r="Q32" s="2" t="s">
        <v>2299</v>
      </c>
      <c r="U32" s="2"/>
      <c r="V32" s="2"/>
      <c r="W32" s="2"/>
    </row>
    <row r="33" spans="9:23" x14ac:dyDescent="0.3">
      <c r="I33" s="2"/>
      <c r="J33" s="129" t="s">
        <v>418</v>
      </c>
      <c r="K33" s="2" t="s">
        <v>2208</v>
      </c>
      <c r="O33" s="2"/>
      <c r="P33" s="2" t="s">
        <v>2110</v>
      </c>
      <c r="Q33" s="2" t="s">
        <v>2300</v>
      </c>
      <c r="U33" s="2"/>
      <c r="V33" s="2"/>
      <c r="W33" s="2"/>
    </row>
    <row r="34" spans="9:23" x14ac:dyDescent="0.3">
      <c r="I34" s="2"/>
      <c r="J34" s="129" t="s">
        <v>2070</v>
      </c>
      <c r="K34" s="2" t="s">
        <v>2213</v>
      </c>
      <c r="O34" s="2"/>
      <c r="P34" s="2" t="s">
        <v>2137</v>
      </c>
      <c r="Q34" s="2" t="s">
        <v>2301</v>
      </c>
      <c r="U34" s="2"/>
      <c r="V34" s="2"/>
      <c r="W34" s="2"/>
    </row>
    <row r="35" spans="9:23" x14ac:dyDescent="0.3">
      <c r="I35" s="2"/>
      <c r="J35" s="129" t="s">
        <v>2071</v>
      </c>
      <c r="K35" s="2" t="s">
        <v>2214</v>
      </c>
      <c r="O35" s="2"/>
      <c r="P35" s="2" t="s">
        <v>2138</v>
      </c>
      <c r="Q35" s="2" t="s">
        <v>2302</v>
      </c>
      <c r="U35" s="2"/>
      <c r="V35" s="2"/>
      <c r="W35" s="2"/>
    </row>
    <row r="36" spans="9:23" x14ac:dyDescent="0.3">
      <c r="I36" s="2"/>
      <c r="J36" s="129" t="s">
        <v>2072</v>
      </c>
      <c r="K36" s="2" t="s">
        <v>2209</v>
      </c>
      <c r="O36" s="2"/>
      <c r="P36" s="2" t="s">
        <v>2139</v>
      </c>
      <c r="Q36" s="2" t="s">
        <v>2304</v>
      </c>
      <c r="U36" s="2"/>
      <c r="V36" s="2"/>
      <c r="W36" s="2"/>
    </row>
    <row r="37" spans="9:23" x14ac:dyDescent="0.3">
      <c r="I37" s="2"/>
      <c r="J37" s="129" t="s">
        <v>2073</v>
      </c>
      <c r="K37" s="2" t="s">
        <v>2215</v>
      </c>
      <c r="O37" s="2"/>
      <c r="P37" s="2" t="s">
        <v>2179</v>
      </c>
      <c r="Q37" s="2" t="s">
        <v>2305</v>
      </c>
      <c r="U37" s="2"/>
      <c r="V37" s="2"/>
      <c r="W37" s="2"/>
    </row>
    <row r="38" spans="9:23" x14ac:dyDescent="0.3">
      <c r="I38" s="2"/>
      <c r="J38" s="129" t="s">
        <v>2074</v>
      </c>
      <c r="K38" s="2" t="s">
        <v>2210</v>
      </c>
      <c r="O38" s="2"/>
      <c r="P38" s="2" t="s">
        <v>2174</v>
      </c>
      <c r="Q38" s="2" t="s">
        <v>2253</v>
      </c>
      <c r="U38" s="2"/>
      <c r="V38" s="2"/>
      <c r="W38" s="2"/>
    </row>
    <row r="39" spans="9:23" x14ac:dyDescent="0.3">
      <c r="I39" s="2"/>
      <c r="J39" s="129" t="s">
        <v>2076</v>
      </c>
      <c r="K39" s="2" t="s">
        <v>2223</v>
      </c>
      <c r="O39" s="2"/>
      <c r="P39" s="2" t="s">
        <v>2175</v>
      </c>
      <c r="Q39" s="2" t="s">
        <v>2254</v>
      </c>
      <c r="U39" s="2"/>
      <c r="V39" s="2"/>
      <c r="W39" s="2"/>
    </row>
    <row r="40" spans="9:23" ht="15.6" x14ac:dyDescent="0.3">
      <c r="I40" s="2"/>
      <c r="J40" s="129" t="s">
        <v>2077</v>
      </c>
      <c r="K40" s="2" t="s">
        <v>2217</v>
      </c>
      <c r="O40" s="2"/>
      <c r="P40" s="127" t="s">
        <v>2192</v>
      </c>
      <c r="Q40" s="127" t="s">
        <v>2200</v>
      </c>
      <c r="U40" s="2"/>
      <c r="V40" s="2"/>
      <c r="W40" s="2"/>
    </row>
    <row r="41" spans="9:23" ht="15.6" x14ac:dyDescent="0.3">
      <c r="I41" s="2"/>
      <c r="J41" s="129" t="s">
        <v>2078</v>
      </c>
      <c r="K41" s="2" t="s">
        <v>2222</v>
      </c>
      <c r="O41" s="2"/>
      <c r="P41" s="127" t="s">
        <v>2193</v>
      </c>
      <c r="Q41" s="127" t="s">
        <v>2200</v>
      </c>
    </row>
    <row r="42" spans="9:23" x14ac:dyDescent="0.3">
      <c r="I42" s="2"/>
      <c r="J42" s="129" t="s">
        <v>2079</v>
      </c>
      <c r="K42" s="2" t="s">
        <v>2218</v>
      </c>
      <c r="O42" s="2"/>
      <c r="P42" s="2" t="s">
        <v>363</v>
      </c>
      <c r="Q42" s="2" t="s">
        <v>2199</v>
      </c>
    </row>
    <row r="43" spans="9:23" x14ac:dyDescent="0.3">
      <c r="I43" s="2"/>
      <c r="J43" s="129" t="s">
        <v>2080</v>
      </c>
      <c r="K43" s="2" t="s">
        <v>2224</v>
      </c>
      <c r="O43" s="2"/>
      <c r="P43" s="2" t="s">
        <v>2194</v>
      </c>
      <c r="Q43" s="2" t="s">
        <v>2306</v>
      </c>
    </row>
    <row r="44" spans="9:23" x14ac:dyDescent="0.3">
      <c r="I44" s="2"/>
      <c r="J44" s="129" t="s">
        <v>2081</v>
      </c>
      <c r="K44" s="2" t="s">
        <v>2216</v>
      </c>
      <c r="O44" s="2"/>
      <c r="P44" s="109" t="s">
        <v>2316</v>
      </c>
      <c r="Q44" s="109" t="s">
        <v>2326</v>
      </c>
    </row>
    <row r="45" spans="9:23" ht="15.6" x14ac:dyDescent="0.3">
      <c r="I45" s="2"/>
      <c r="J45" s="129" t="s">
        <v>2083</v>
      </c>
      <c r="K45" s="2" t="s">
        <v>2220</v>
      </c>
      <c r="O45" s="2"/>
      <c r="P45" s="127" t="s">
        <v>2317</v>
      </c>
      <c r="Q45" s="2" t="s">
        <v>2321</v>
      </c>
    </row>
    <row r="46" spans="9:23" ht="15.6" x14ac:dyDescent="0.3">
      <c r="I46" s="2"/>
      <c r="J46" s="129" t="s">
        <v>2085</v>
      </c>
      <c r="K46" s="2" t="s">
        <v>2220</v>
      </c>
      <c r="O46" s="2"/>
      <c r="P46" s="127" t="s">
        <v>2318</v>
      </c>
      <c r="Q46" s="2" t="s">
        <v>2321</v>
      </c>
    </row>
    <row r="47" spans="9:23" ht="15.6" x14ac:dyDescent="0.3">
      <c r="I47" s="2"/>
      <c r="J47" s="129" t="s">
        <v>2086</v>
      </c>
      <c r="K47" s="2" t="s">
        <v>2186</v>
      </c>
      <c r="O47" s="2"/>
      <c r="P47" s="127" t="s">
        <v>2319</v>
      </c>
      <c r="Q47" s="2" t="s">
        <v>2321</v>
      </c>
    </row>
    <row r="48" spans="9:23" ht="15.6" x14ac:dyDescent="0.3">
      <c r="I48" s="2"/>
      <c r="J48" s="129" t="s">
        <v>2087</v>
      </c>
      <c r="K48" s="2" t="s">
        <v>2186</v>
      </c>
      <c r="O48" s="2"/>
      <c r="P48" s="127" t="s">
        <v>2320</v>
      </c>
      <c r="Q48" s="2" t="s">
        <v>2321</v>
      </c>
    </row>
    <row r="49" spans="9:11" x14ac:dyDescent="0.3">
      <c r="I49" s="2"/>
      <c r="J49" s="129" t="s">
        <v>2088</v>
      </c>
      <c r="K49" s="2" t="s">
        <v>2186</v>
      </c>
    </row>
    <row r="50" spans="9:11" x14ac:dyDescent="0.3">
      <c r="I50" s="2"/>
      <c r="J50" s="129" t="s">
        <v>2089</v>
      </c>
      <c r="K50" s="2" t="s">
        <v>2227</v>
      </c>
    </row>
    <row r="51" spans="9:11" x14ac:dyDescent="0.3">
      <c r="I51" s="2"/>
      <c r="J51" s="129" t="s">
        <v>720</v>
      </c>
      <c r="K51" s="2" t="s">
        <v>2231</v>
      </c>
    </row>
    <row r="52" spans="9:11" x14ac:dyDescent="0.3">
      <c r="I52" s="2"/>
      <c r="J52" s="129" t="s">
        <v>2090</v>
      </c>
      <c r="K52" s="2" t="s">
        <v>2228</v>
      </c>
    </row>
    <row r="53" spans="9:11" x14ac:dyDescent="0.3">
      <c r="I53" s="2"/>
      <c r="J53" s="129" t="s">
        <v>2091</v>
      </c>
      <c r="K53" s="2" t="s">
        <v>2229</v>
      </c>
    </row>
    <row r="54" spans="9:11" x14ac:dyDescent="0.3">
      <c r="I54" s="2"/>
      <c r="J54" s="129" t="s">
        <v>2093</v>
      </c>
      <c r="K54" s="2" t="s">
        <v>2225</v>
      </c>
    </row>
    <row r="55" spans="9:11" x14ac:dyDescent="0.3">
      <c r="I55" s="2"/>
      <c r="J55" s="129" t="s">
        <v>2094</v>
      </c>
      <c r="K55" s="2" t="s">
        <v>2246</v>
      </c>
    </row>
    <row r="56" spans="9:11" x14ac:dyDescent="0.3">
      <c r="I56" s="2"/>
      <c r="J56" s="129" t="s">
        <v>2096</v>
      </c>
      <c r="K56" s="2" t="s">
        <v>2232</v>
      </c>
    </row>
    <row r="57" spans="9:11" x14ac:dyDescent="0.3">
      <c r="I57" s="2"/>
      <c r="J57" s="129" t="s">
        <v>2097</v>
      </c>
      <c r="K57" s="2" t="s">
        <v>2244</v>
      </c>
    </row>
    <row r="58" spans="9:11" x14ac:dyDescent="0.3">
      <c r="I58" s="2"/>
      <c r="J58" s="129" t="s">
        <v>2098</v>
      </c>
      <c r="K58" s="2" t="s">
        <v>2245</v>
      </c>
    </row>
    <row r="59" spans="9:11" x14ac:dyDescent="0.3">
      <c r="I59" s="2"/>
      <c r="J59" s="129" t="s">
        <v>2099</v>
      </c>
      <c r="K59" s="2" t="s">
        <v>2233</v>
      </c>
    </row>
    <row r="60" spans="9:11" x14ac:dyDescent="0.3">
      <c r="I60" s="2"/>
      <c r="J60" s="129" t="s">
        <v>1260</v>
      </c>
      <c r="K60" s="2" t="s">
        <v>2234</v>
      </c>
    </row>
    <row r="61" spans="9:11" x14ac:dyDescent="0.3">
      <c r="I61" s="2"/>
      <c r="J61" s="129" t="s">
        <v>2100</v>
      </c>
      <c r="K61" s="2" t="s">
        <v>2235</v>
      </c>
    </row>
    <row r="62" spans="9:11" x14ac:dyDescent="0.3">
      <c r="I62" s="2"/>
      <c r="J62" s="129" t="s">
        <v>2102</v>
      </c>
      <c r="K62" s="2" t="s">
        <v>2236</v>
      </c>
    </row>
    <row r="63" spans="9:11" x14ac:dyDescent="0.3">
      <c r="I63" s="2"/>
      <c r="J63" s="129" t="s">
        <v>2105</v>
      </c>
      <c r="K63" s="2" t="s">
        <v>2239</v>
      </c>
    </row>
    <row r="64" spans="9:11" x14ac:dyDescent="0.3">
      <c r="I64" s="2"/>
      <c r="J64" s="129" t="s">
        <v>2107</v>
      </c>
      <c r="K64" s="2" t="s">
        <v>2240</v>
      </c>
    </row>
    <row r="65" spans="6:11" x14ac:dyDescent="0.3">
      <c r="I65" s="2"/>
      <c r="J65" s="2" t="s">
        <v>2108</v>
      </c>
      <c r="K65" s="2" t="s">
        <v>2241</v>
      </c>
    </row>
    <row r="66" spans="6:11" x14ac:dyDescent="0.3">
      <c r="I66" s="2"/>
      <c r="J66" s="2" t="s">
        <v>2110</v>
      </c>
      <c r="K66" s="2" t="s">
        <v>2243</v>
      </c>
    </row>
    <row r="67" spans="6:11" x14ac:dyDescent="0.3">
      <c r="I67" s="2"/>
      <c r="J67" s="2" t="s">
        <v>2111</v>
      </c>
      <c r="K67" s="2" t="s">
        <v>2248</v>
      </c>
    </row>
    <row r="68" spans="6:11" x14ac:dyDescent="0.3">
      <c r="I68" s="2"/>
      <c r="J68" s="2" t="s">
        <v>2112</v>
      </c>
      <c r="K68" s="2" t="s">
        <v>2249</v>
      </c>
    </row>
    <row r="69" spans="6:11" x14ac:dyDescent="0.3">
      <c r="I69" s="2"/>
      <c r="J69" s="2" t="s">
        <v>2115</v>
      </c>
      <c r="K69" s="2" t="s">
        <v>2251</v>
      </c>
    </row>
    <row r="70" spans="6:11" x14ac:dyDescent="0.3">
      <c r="I70" s="2"/>
      <c r="J70" s="2" t="s">
        <v>2116</v>
      </c>
      <c r="K70" s="2" t="s">
        <v>2235</v>
      </c>
    </row>
    <row r="71" spans="6:11" x14ac:dyDescent="0.3">
      <c r="I71" s="2"/>
      <c r="J71" s="2" t="s">
        <v>2171</v>
      </c>
      <c r="K71" s="2" t="s">
        <v>2252</v>
      </c>
    </row>
    <row r="72" spans="6:11" x14ac:dyDescent="0.3">
      <c r="I72" s="2"/>
      <c r="J72" s="2" t="s">
        <v>2172</v>
      </c>
      <c r="K72" s="2" t="s">
        <v>2255</v>
      </c>
    </row>
    <row r="73" spans="6:11" x14ac:dyDescent="0.3">
      <c r="I73" s="2"/>
      <c r="J73" s="2" t="s">
        <v>2173</v>
      </c>
      <c r="K73" s="2" t="s">
        <v>2253</v>
      </c>
    </row>
    <row r="74" spans="6:11" ht="15.6" x14ac:dyDescent="0.3">
      <c r="F74" s="33"/>
      <c r="I74" s="2"/>
      <c r="J74" s="2" t="s">
        <v>2174</v>
      </c>
      <c r="K74" s="2" t="s">
        <v>2253</v>
      </c>
    </row>
    <row r="75" spans="6:11" ht="15.6" x14ac:dyDescent="0.3">
      <c r="F75" s="33"/>
      <c r="G75" s="33"/>
      <c r="I75" s="2"/>
      <c r="J75" s="2" t="s">
        <v>2175</v>
      </c>
      <c r="K75" s="2" t="s">
        <v>2254</v>
      </c>
    </row>
    <row r="76" spans="6:11" ht="15.6" x14ac:dyDescent="0.3">
      <c r="G76" s="33"/>
      <c r="I76" s="2"/>
      <c r="J76" s="2" t="s">
        <v>2176</v>
      </c>
      <c r="K76" s="2" t="s">
        <v>2203</v>
      </c>
    </row>
    <row r="77" spans="6:11" x14ac:dyDescent="0.3">
      <c r="I77" s="2"/>
      <c r="J77" s="2" t="s">
        <v>2177</v>
      </c>
      <c r="K77" s="2" t="s">
        <v>2205</v>
      </c>
    </row>
    <row r="78" spans="6:11" x14ac:dyDescent="0.3">
      <c r="I78" s="2"/>
      <c r="J78" s="2" t="s">
        <v>2178</v>
      </c>
      <c r="K78" s="2" t="s">
        <v>2206</v>
      </c>
    </row>
    <row r="79" spans="6:11" ht="15.6" x14ac:dyDescent="0.3">
      <c r="I79" s="2"/>
      <c r="J79" s="127" t="s">
        <v>2187</v>
      </c>
      <c r="K79" s="127" t="s">
        <v>2200</v>
      </c>
    </row>
    <row r="80" spans="6:11" ht="15.6" x14ac:dyDescent="0.3">
      <c r="I80" s="2"/>
      <c r="J80" s="127" t="s">
        <v>2188</v>
      </c>
      <c r="K80" s="127" t="s">
        <v>2200</v>
      </c>
    </row>
    <row r="81" spans="9:11" x14ac:dyDescent="0.3">
      <c r="I81" s="2"/>
      <c r="J81" s="2" t="s">
        <v>2190</v>
      </c>
      <c r="K81" s="2" t="s">
        <v>2202</v>
      </c>
    </row>
    <row r="82" spans="9:11" x14ac:dyDescent="0.3">
      <c r="I82" s="2"/>
      <c r="J82" s="2" t="s">
        <v>2197</v>
      </c>
      <c r="K82" s="2" t="s">
        <v>2277</v>
      </c>
    </row>
    <row r="83" spans="9:11" ht="15.6" x14ac:dyDescent="0.3">
      <c r="I83" s="2"/>
      <c r="J83" s="127" t="s">
        <v>2334</v>
      </c>
      <c r="K83" s="2" t="s">
        <v>2277</v>
      </c>
    </row>
    <row r="84" spans="9:11" ht="15.6" x14ac:dyDescent="0.3">
      <c r="I84" s="2"/>
      <c r="J84" s="127" t="s">
        <v>2318</v>
      </c>
      <c r="K84" s="2" t="s">
        <v>2321</v>
      </c>
    </row>
    <row r="85" spans="9:11" ht="15.6" x14ac:dyDescent="0.3">
      <c r="I85" s="2"/>
      <c r="J85" s="127" t="s">
        <v>2319</v>
      </c>
      <c r="K85" s="2" t="s">
        <v>2321</v>
      </c>
    </row>
    <row r="86" spans="9:11" ht="15.6" x14ac:dyDescent="0.3">
      <c r="I86" s="2"/>
      <c r="J86" s="127" t="s">
        <v>2320</v>
      </c>
      <c r="K86" s="2" t="s">
        <v>2321</v>
      </c>
    </row>
    <row r="87" spans="9:11" ht="15.6" x14ac:dyDescent="0.3">
      <c r="I87" s="2"/>
      <c r="J87" s="127" t="s">
        <v>2322</v>
      </c>
      <c r="K87" s="2" t="s">
        <v>2321</v>
      </c>
    </row>
    <row r="88" spans="9:11" ht="15.6" x14ac:dyDescent="0.3">
      <c r="I88" s="2"/>
      <c r="J88" s="127" t="s">
        <v>2323</v>
      </c>
      <c r="K88" s="2" t="s">
        <v>2321</v>
      </c>
    </row>
    <row r="89" spans="9:11" ht="15.6" x14ac:dyDescent="0.3">
      <c r="I89" s="2"/>
      <c r="J89" s="127" t="s">
        <v>2324</v>
      </c>
      <c r="K89" s="2" t="s">
        <v>2321</v>
      </c>
    </row>
    <row r="90" spans="9:11" ht="15.6" x14ac:dyDescent="0.3">
      <c r="I90" s="2"/>
      <c r="J90" s="127" t="s">
        <v>2325</v>
      </c>
      <c r="K90" s="2" t="s">
        <v>2321</v>
      </c>
    </row>
  </sheetData>
  <sortState xmlns:xlrd2="http://schemas.microsoft.com/office/spreadsheetml/2017/richdata2" ref="AM4:AO13">
    <sortCondition ref="AM4"/>
  </sortState>
  <mergeCells count="7">
    <mergeCell ref="AG2:AI2"/>
    <mergeCell ref="AM2:AO2"/>
    <mergeCell ref="C2:E2"/>
    <mergeCell ref="I2:K2"/>
    <mergeCell ref="O2:Q2"/>
    <mergeCell ref="U2:W2"/>
    <mergeCell ref="AA2:AC2"/>
  </mergeCells>
  <pageMargins left="0.25" right="0.25" top="0.75" bottom="0.75" header="0.3" footer="0.3"/>
  <pageSetup scale="50" fitToWidth="0" orientation="portrait" r:id="rId1"/>
  <colBreaks count="6" manualBreakCount="6">
    <brk id="5" max="1048575" man="1"/>
    <brk id="11" max="1048575" man="1"/>
    <brk id="17" max="1048575" man="1"/>
    <brk id="23" max="1048575" man="1"/>
    <brk id="29" max="1048575" man="1"/>
    <brk id="35"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73333" r:id="rId4" name="SwapButton">
              <controlPr defaultSize="0" print="0" autoFill="0" autoPict="0" macro="[0]!Swap_Players">
                <anchor moveWithCells="1" sizeWithCells="1">
                  <from>
                    <xdr:col>0</xdr:col>
                    <xdr:colOff>0</xdr:colOff>
                    <xdr:row>1</xdr:row>
                    <xdr:rowOff>0</xdr:rowOff>
                  </from>
                  <to>
                    <xdr:col>0</xdr:col>
                    <xdr:colOff>1013460</xdr:colOff>
                    <xdr:row>2</xdr:row>
                    <xdr:rowOff>68580</xdr:rowOff>
                  </to>
                </anchor>
              </controlPr>
            </control>
          </mc:Choice>
        </mc:AlternateContent>
        <mc:AlternateContent xmlns:mc="http://schemas.openxmlformats.org/markup-compatibility/2006">
          <mc:Choice Requires="x14">
            <control shapeId="173334" r:id="rId5" name="ShuffleButton">
              <controlPr defaultSize="0" print="0" autoFill="0" autoPict="0" macro="[0]!Shuffle_Selected_Rows_Click">
                <anchor moveWithCells="1" sizeWithCells="1">
                  <from>
                    <xdr:col>0</xdr:col>
                    <xdr:colOff>0</xdr:colOff>
                    <xdr:row>3</xdr:row>
                    <xdr:rowOff>0</xdr:rowOff>
                  </from>
                  <to>
                    <xdr:col>0</xdr:col>
                    <xdr:colOff>1013460</xdr:colOff>
                    <xdr:row>4</xdr:row>
                    <xdr:rowOff>68580</xdr:rowOff>
                  </to>
                </anchor>
              </controlPr>
            </control>
          </mc:Choice>
        </mc:AlternateContent>
        <mc:AlternateContent xmlns:mc="http://schemas.openxmlformats.org/markup-compatibility/2006">
          <mc:Choice Requires="x14">
            <control shapeId="173335" r:id="rId6" name="sortButton">
              <controlPr defaultSize="0" print="0" autoFill="0" autoPict="0" macro="[0]!SortPlayerEntriesByRank">
                <anchor moveWithCells="1" sizeWithCells="1">
                  <from>
                    <xdr:col>0</xdr:col>
                    <xdr:colOff>0</xdr:colOff>
                    <xdr:row>5</xdr:row>
                    <xdr:rowOff>0</xdr:rowOff>
                  </from>
                  <to>
                    <xdr:col>0</xdr:col>
                    <xdr:colOff>1013460</xdr:colOff>
                    <xdr:row>6</xdr:row>
                    <xdr:rowOff>68580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6A301-4CE1-4E7A-8BF1-8D41F7264ABC}">
  <sheetPr codeName="Sheet8"/>
  <dimension ref="A5:M2534"/>
  <sheetViews>
    <sheetView workbookViewId="0">
      <selection activeCell="A389" sqref="A389:M398"/>
    </sheetView>
  </sheetViews>
  <sheetFormatPr defaultRowHeight="14.4" x14ac:dyDescent="0.3"/>
  <cols>
    <col min="1" max="1" width="1.109375" customWidth="1"/>
    <col min="2" max="2" width="1.21875" customWidth="1"/>
    <col min="3" max="3" width="7.6640625" customWidth="1"/>
    <col min="5" max="5" width="9" customWidth="1"/>
    <col min="6" max="6" width="13.88671875" customWidth="1"/>
    <col min="7" max="13" width="6.88671875" customWidth="1"/>
  </cols>
  <sheetData>
    <row r="5" spans="1:13" ht="11.4" customHeight="1" x14ac:dyDescent="0.3">
      <c r="A5" s="21"/>
      <c r="B5" s="21"/>
      <c r="C5" s="21"/>
      <c r="D5" s="21"/>
      <c r="E5" s="21"/>
      <c r="F5" s="21"/>
      <c r="G5" s="21"/>
      <c r="H5" s="21"/>
      <c r="I5" s="21"/>
      <c r="J5" s="21"/>
      <c r="K5" s="21"/>
      <c r="L5" s="21"/>
      <c r="M5" s="21"/>
    </row>
    <row r="6" spans="1:13" ht="26.4" customHeight="1" x14ac:dyDescent="0.3">
      <c r="A6" s="21"/>
      <c r="B6" s="184" t="str">
        <f>Bracket!$C$1</f>
        <v>STAG GLOBAL CORPORATE CHAMPIONSHIP</v>
      </c>
      <c r="C6" s="184"/>
      <c r="D6" s="184"/>
      <c r="E6" s="184"/>
      <c r="F6" s="184"/>
      <c r="G6" s="184"/>
      <c r="H6" s="184"/>
      <c r="I6" s="184"/>
      <c r="J6" s="184"/>
      <c r="K6" s="184"/>
      <c r="L6" s="64"/>
      <c r="M6" s="64"/>
    </row>
    <row r="7" spans="1:13" ht="18" customHeight="1" x14ac:dyDescent="0.3">
      <c r="A7" s="21"/>
      <c r="B7" s="56" t="str">
        <f>REPLACE(Bracket!$C$2,1,9,"")</f>
        <v xml:space="preserve"> Men Doubles</v>
      </c>
      <c r="C7" s="62"/>
      <c r="D7" s="66"/>
      <c r="E7" s="66"/>
      <c r="F7" s="65" t="s">
        <v>2024</v>
      </c>
      <c r="G7" s="66"/>
      <c r="H7" s="66"/>
      <c r="I7" s="66" t="s">
        <v>72</v>
      </c>
      <c r="J7" s="65">
        <v>1</v>
      </c>
      <c r="K7" s="57"/>
      <c r="L7" s="57"/>
      <c r="M7" s="57"/>
    </row>
    <row r="8" spans="1:13" ht="15" customHeight="1" x14ac:dyDescent="0.3">
      <c r="A8" s="21"/>
      <c r="B8" s="56"/>
      <c r="C8" s="58"/>
      <c r="D8" s="185"/>
      <c r="E8" s="185"/>
      <c r="F8" s="60"/>
      <c r="G8" s="59"/>
      <c r="H8" s="59"/>
      <c r="I8" s="59"/>
      <c r="J8" s="59"/>
      <c r="K8" s="59"/>
      <c r="L8" s="59"/>
      <c r="M8" s="59"/>
    </row>
    <row r="9" spans="1:13" ht="17.399999999999999" customHeight="1" x14ac:dyDescent="0.3">
      <c r="A9" s="21"/>
      <c r="B9" s="56"/>
      <c r="C9" s="61" t="s">
        <v>947</v>
      </c>
      <c r="D9" s="186" t="s">
        <v>292</v>
      </c>
      <c r="E9" s="186"/>
      <c r="F9" s="187"/>
      <c r="G9" s="76">
        <v>1</v>
      </c>
      <c r="H9" s="76">
        <v>2</v>
      </c>
      <c r="I9" s="76">
        <v>3</v>
      </c>
      <c r="J9" s="76">
        <v>4</v>
      </c>
      <c r="K9" s="73">
        <v>5</v>
      </c>
      <c r="L9" s="60"/>
      <c r="M9" s="60"/>
    </row>
    <row r="10" spans="1:13" ht="30" customHeight="1" x14ac:dyDescent="0.3">
      <c r="A10" s="21"/>
      <c r="B10" s="56"/>
      <c r="C10" s="63" t="s">
        <v>1281</v>
      </c>
      <c r="D10" s="188" t="s">
        <v>2343</v>
      </c>
      <c r="E10" s="188"/>
      <c r="F10" s="189"/>
      <c r="G10" s="74"/>
      <c r="H10" s="74"/>
      <c r="I10" s="74"/>
      <c r="J10" s="74"/>
      <c r="K10" s="72"/>
      <c r="L10" s="133"/>
      <c r="M10" s="133"/>
    </row>
    <row r="11" spans="1:13" ht="30" customHeight="1" x14ac:dyDescent="0.3">
      <c r="A11" s="21"/>
      <c r="B11" s="56"/>
      <c r="C11" s="63" t="s">
        <v>1281</v>
      </c>
      <c r="D11" s="189" t="s">
        <v>2344</v>
      </c>
      <c r="E11" s="190"/>
      <c r="F11" s="190"/>
      <c r="G11" s="75"/>
      <c r="H11" s="75"/>
      <c r="I11" s="75"/>
      <c r="J11" s="75"/>
      <c r="K11" s="71"/>
      <c r="L11" s="133"/>
      <c r="M11" s="133"/>
    </row>
    <row r="12" spans="1:13" ht="22.8" customHeight="1" x14ac:dyDescent="0.3">
      <c r="A12" s="21"/>
      <c r="B12" s="56"/>
      <c r="C12" s="56"/>
      <c r="D12" s="56"/>
      <c r="E12" s="56"/>
      <c r="F12" s="56"/>
      <c r="G12" s="56"/>
      <c r="H12" s="56"/>
      <c r="I12" s="56"/>
      <c r="J12" s="56"/>
      <c r="K12" s="56"/>
      <c r="L12" s="56"/>
      <c r="M12" s="56"/>
    </row>
    <row r="13" spans="1:13" ht="27" customHeight="1" x14ac:dyDescent="0.3">
      <c r="A13" s="21"/>
      <c r="B13" s="56"/>
      <c r="C13" s="185" t="s">
        <v>293</v>
      </c>
      <c r="D13" s="185"/>
      <c r="E13" s="185"/>
      <c r="F13" s="185"/>
      <c r="G13" s="56"/>
      <c r="H13" s="56" t="s">
        <v>27</v>
      </c>
      <c r="I13" s="56"/>
      <c r="J13" s="56"/>
      <c r="K13" s="56" t="s">
        <v>294</v>
      </c>
      <c r="L13" s="56"/>
      <c r="M13" s="56"/>
    </row>
    <row r="14" spans="1:13" ht="12.6" customHeight="1" x14ac:dyDescent="0.35">
      <c r="A14" s="21"/>
      <c r="B14" s="67"/>
      <c r="C14" s="67"/>
      <c r="D14" s="67"/>
      <c r="E14" s="67"/>
      <c r="F14" s="67"/>
      <c r="G14" s="67"/>
      <c r="H14" s="67"/>
      <c r="I14" s="67"/>
      <c r="J14" s="67"/>
      <c r="K14" s="67"/>
      <c r="L14" s="67"/>
      <c r="M14" s="54"/>
    </row>
    <row r="17" spans="1:13" ht="11.4" customHeight="1" x14ac:dyDescent="0.3">
      <c r="A17" s="21"/>
      <c r="B17" s="21"/>
      <c r="C17" s="21"/>
      <c r="D17" s="21"/>
      <c r="E17" s="21"/>
      <c r="F17" s="21"/>
      <c r="G17" s="21"/>
      <c r="H17" s="21"/>
      <c r="I17" s="21"/>
      <c r="J17" s="21"/>
      <c r="K17" s="21"/>
      <c r="L17" s="21"/>
      <c r="M17" s="21"/>
    </row>
    <row r="18" spans="1:13" ht="26.4" customHeight="1" x14ac:dyDescent="0.3">
      <c r="A18" s="21"/>
      <c r="B18" s="184" t="str">
        <f>Bracket!$C$1</f>
        <v>STAG GLOBAL CORPORATE CHAMPIONSHIP</v>
      </c>
      <c r="C18" s="184"/>
      <c r="D18" s="184"/>
      <c r="E18" s="184"/>
      <c r="F18" s="184"/>
      <c r="G18" s="184"/>
      <c r="H18" s="184"/>
      <c r="I18" s="184"/>
      <c r="J18" s="184"/>
      <c r="K18" s="184"/>
      <c r="L18" s="64"/>
      <c r="M18" s="64"/>
    </row>
    <row r="19" spans="1:13" ht="18" customHeight="1" x14ac:dyDescent="0.3">
      <c r="A19" s="21"/>
      <c r="B19" s="56" t="str">
        <f>REPLACE(Bracket!$C$2,1,9,"")</f>
        <v xml:space="preserve"> Men Doubles</v>
      </c>
      <c r="C19" s="62"/>
      <c r="D19" s="66"/>
      <c r="E19" s="66"/>
      <c r="F19" s="65" t="s">
        <v>2024</v>
      </c>
      <c r="G19" s="66"/>
      <c r="H19" s="66"/>
      <c r="I19" s="66" t="s">
        <v>72</v>
      </c>
      <c r="J19" s="65">
        <v>2</v>
      </c>
      <c r="K19" s="57"/>
      <c r="L19" s="57"/>
      <c r="M19" s="57"/>
    </row>
    <row r="20" spans="1:13" ht="15" customHeight="1" x14ac:dyDescent="0.3">
      <c r="A20" s="21"/>
      <c r="B20" s="56"/>
      <c r="C20" s="58"/>
      <c r="D20" s="185"/>
      <c r="E20" s="185"/>
      <c r="F20" s="60"/>
      <c r="G20" s="59"/>
      <c r="H20" s="59"/>
      <c r="I20" s="59"/>
      <c r="J20" s="59"/>
      <c r="K20" s="59"/>
      <c r="L20" s="59"/>
      <c r="M20" s="59"/>
    </row>
    <row r="21" spans="1:13" ht="17.399999999999999" customHeight="1" x14ac:dyDescent="0.3">
      <c r="A21" s="21"/>
      <c r="B21" s="56"/>
      <c r="C21" s="61" t="s">
        <v>947</v>
      </c>
      <c r="D21" s="186" t="s">
        <v>292</v>
      </c>
      <c r="E21" s="186"/>
      <c r="F21" s="187"/>
      <c r="G21" s="76">
        <v>1</v>
      </c>
      <c r="H21" s="76">
        <v>2</v>
      </c>
      <c r="I21" s="76">
        <v>3</v>
      </c>
      <c r="J21" s="76">
        <v>4</v>
      </c>
      <c r="K21" s="73">
        <v>5</v>
      </c>
      <c r="L21" s="60"/>
      <c r="M21" s="60"/>
    </row>
    <row r="22" spans="1:13" ht="30" customHeight="1" x14ac:dyDescent="0.3">
      <c r="A22" s="21"/>
      <c r="B22" s="56"/>
      <c r="C22" s="63" t="s">
        <v>1281</v>
      </c>
      <c r="D22" s="188" t="s">
        <v>2343</v>
      </c>
      <c r="E22" s="188"/>
      <c r="F22" s="189"/>
      <c r="G22" s="74"/>
      <c r="H22" s="74"/>
      <c r="I22" s="74"/>
      <c r="J22" s="74"/>
      <c r="K22" s="72"/>
      <c r="L22" s="133"/>
      <c r="M22" s="133"/>
    </row>
    <row r="23" spans="1:13" ht="30" customHeight="1" x14ac:dyDescent="0.3">
      <c r="A23" s="21"/>
      <c r="B23" s="56"/>
      <c r="C23" s="63" t="s">
        <v>1281</v>
      </c>
      <c r="D23" s="189" t="s">
        <v>2328</v>
      </c>
      <c r="E23" s="190"/>
      <c r="F23" s="190"/>
      <c r="G23" s="75"/>
      <c r="H23" s="75"/>
      <c r="I23" s="75"/>
      <c r="J23" s="75"/>
      <c r="K23" s="71"/>
      <c r="L23" s="133"/>
      <c r="M23" s="133"/>
    </row>
    <row r="24" spans="1:13" ht="22.8" customHeight="1" x14ac:dyDescent="0.3">
      <c r="A24" s="21"/>
      <c r="B24" s="56"/>
      <c r="C24" s="56"/>
      <c r="D24" s="56"/>
      <c r="E24" s="56"/>
      <c r="F24" s="56"/>
      <c r="G24" s="56"/>
      <c r="H24" s="56"/>
      <c r="I24" s="56"/>
      <c r="J24" s="56"/>
      <c r="K24" s="56"/>
      <c r="L24" s="56"/>
      <c r="M24" s="56"/>
    </row>
    <row r="25" spans="1:13" ht="27" customHeight="1" x14ac:dyDescent="0.3">
      <c r="A25" s="21"/>
      <c r="B25" s="56"/>
      <c r="C25" s="185" t="s">
        <v>293</v>
      </c>
      <c r="D25" s="185"/>
      <c r="E25" s="185"/>
      <c r="F25" s="185"/>
      <c r="G25" s="56"/>
      <c r="H25" s="56" t="s">
        <v>27</v>
      </c>
      <c r="I25" s="56"/>
      <c r="J25" s="56"/>
      <c r="K25" s="56" t="s">
        <v>294</v>
      </c>
      <c r="L25" s="56"/>
      <c r="M25" s="56"/>
    </row>
    <row r="26" spans="1:13" ht="12.6" customHeight="1" x14ac:dyDescent="0.35">
      <c r="A26" s="21"/>
      <c r="B26" s="67"/>
      <c r="C26" s="67"/>
      <c r="D26" s="67"/>
      <c r="E26" s="67"/>
      <c r="F26" s="67"/>
      <c r="G26" s="67"/>
      <c r="H26" s="67"/>
      <c r="I26" s="67"/>
      <c r="J26" s="67"/>
      <c r="K26" s="67"/>
      <c r="L26" s="67"/>
      <c r="M26" s="54"/>
    </row>
    <row r="29" spans="1:13" ht="11.4" customHeight="1" x14ac:dyDescent="0.3">
      <c r="A29" s="21"/>
      <c r="B29" s="21"/>
      <c r="C29" s="21"/>
      <c r="D29" s="21"/>
      <c r="E29" s="21"/>
      <c r="F29" s="21"/>
      <c r="G29" s="21"/>
      <c r="H29" s="21"/>
      <c r="I29" s="21"/>
      <c r="J29" s="21"/>
      <c r="K29" s="21"/>
      <c r="L29" s="21"/>
      <c r="M29" s="21"/>
    </row>
    <row r="30" spans="1:13" ht="26.4" customHeight="1" x14ac:dyDescent="0.3">
      <c r="A30" s="21"/>
      <c r="B30" s="184" t="str">
        <f>Bracket!$C$1</f>
        <v>STAG GLOBAL CORPORATE CHAMPIONSHIP</v>
      </c>
      <c r="C30" s="184"/>
      <c r="D30" s="184"/>
      <c r="E30" s="184"/>
      <c r="F30" s="184"/>
      <c r="G30" s="184"/>
      <c r="H30" s="184"/>
      <c r="I30" s="184"/>
      <c r="J30" s="184"/>
      <c r="K30" s="184"/>
      <c r="L30" s="64"/>
      <c r="M30" s="64"/>
    </row>
    <row r="31" spans="1:13" ht="18" customHeight="1" x14ac:dyDescent="0.3">
      <c r="A31" s="21"/>
      <c r="B31" s="56" t="str">
        <f>REPLACE(Bracket!$C$2,1,9,"")</f>
        <v xml:space="preserve"> Men Doubles</v>
      </c>
      <c r="C31" s="62"/>
      <c r="D31" s="66"/>
      <c r="E31" s="66"/>
      <c r="F31" s="65" t="s">
        <v>2024</v>
      </c>
      <c r="G31" s="66"/>
      <c r="H31" s="66"/>
      <c r="I31" s="66" t="s">
        <v>72</v>
      </c>
      <c r="J31" s="65">
        <v>3</v>
      </c>
      <c r="K31" s="57"/>
      <c r="L31" s="57"/>
      <c r="M31" s="57"/>
    </row>
    <row r="32" spans="1:13" ht="15" customHeight="1" x14ac:dyDescent="0.3">
      <c r="A32" s="21"/>
      <c r="B32" s="56"/>
      <c r="C32" s="58"/>
      <c r="D32" s="185"/>
      <c r="E32" s="185"/>
      <c r="F32" s="60"/>
      <c r="G32" s="59"/>
      <c r="H32" s="59"/>
      <c r="I32" s="59"/>
      <c r="J32" s="59"/>
      <c r="K32" s="59"/>
      <c r="L32" s="59"/>
      <c r="M32" s="59"/>
    </row>
    <row r="33" spans="1:13" ht="17.399999999999999" customHeight="1" x14ac:dyDescent="0.3">
      <c r="A33" s="21"/>
      <c r="B33" s="56"/>
      <c r="C33" s="61" t="s">
        <v>947</v>
      </c>
      <c r="D33" s="186" t="s">
        <v>292</v>
      </c>
      <c r="E33" s="186"/>
      <c r="F33" s="187"/>
      <c r="G33" s="76">
        <v>1</v>
      </c>
      <c r="H33" s="76">
        <v>2</v>
      </c>
      <c r="I33" s="76">
        <v>3</v>
      </c>
      <c r="J33" s="76">
        <v>4</v>
      </c>
      <c r="K33" s="73">
        <v>5</v>
      </c>
      <c r="L33" s="60"/>
      <c r="M33" s="60"/>
    </row>
    <row r="34" spans="1:13" ht="30" customHeight="1" x14ac:dyDescent="0.3">
      <c r="A34" s="21"/>
      <c r="B34" s="56"/>
      <c r="C34" s="63" t="s">
        <v>1281</v>
      </c>
      <c r="D34" s="188" t="s">
        <v>2344</v>
      </c>
      <c r="E34" s="188"/>
      <c r="F34" s="189"/>
      <c r="G34" s="74"/>
      <c r="H34" s="74"/>
      <c r="I34" s="74"/>
      <c r="J34" s="74"/>
      <c r="K34" s="72"/>
      <c r="L34" s="133"/>
      <c r="M34" s="133"/>
    </row>
    <row r="35" spans="1:13" ht="30" customHeight="1" x14ac:dyDescent="0.3">
      <c r="A35" s="21"/>
      <c r="B35" s="56"/>
      <c r="C35" s="63" t="s">
        <v>1281</v>
      </c>
      <c r="D35" s="189" t="s">
        <v>2328</v>
      </c>
      <c r="E35" s="190"/>
      <c r="F35" s="190"/>
      <c r="G35" s="75"/>
      <c r="H35" s="75"/>
      <c r="I35" s="75"/>
      <c r="J35" s="75"/>
      <c r="K35" s="71"/>
      <c r="L35" s="133"/>
      <c r="M35" s="133"/>
    </row>
    <row r="36" spans="1:13" ht="22.8" customHeight="1" x14ac:dyDescent="0.3">
      <c r="A36" s="21"/>
      <c r="B36" s="56"/>
      <c r="C36" s="56"/>
      <c r="D36" s="56"/>
      <c r="E36" s="56"/>
      <c r="F36" s="56"/>
      <c r="G36" s="56"/>
      <c r="H36" s="56"/>
      <c r="I36" s="56"/>
      <c r="J36" s="56"/>
      <c r="K36" s="56"/>
      <c r="L36" s="56"/>
      <c r="M36" s="56"/>
    </row>
    <row r="37" spans="1:13" ht="27" customHeight="1" x14ac:dyDescent="0.3">
      <c r="A37" s="21"/>
      <c r="B37" s="56"/>
      <c r="C37" s="185" t="s">
        <v>293</v>
      </c>
      <c r="D37" s="185"/>
      <c r="E37" s="185"/>
      <c r="F37" s="185"/>
      <c r="G37" s="56"/>
      <c r="H37" s="56" t="s">
        <v>27</v>
      </c>
      <c r="I37" s="56"/>
      <c r="J37" s="56"/>
      <c r="K37" s="56" t="s">
        <v>294</v>
      </c>
      <c r="L37" s="56"/>
      <c r="M37" s="56"/>
    </row>
    <row r="38" spans="1:13" ht="12.6" customHeight="1" x14ac:dyDescent="0.35">
      <c r="A38" s="21"/>
      <c r="B38" s="67"/>
      <c r="C38" s="67"/>
      <c r="D38" s="67"/>
      <c r="E38" s="67"/>
      <c r="F38" s="67"/>
      <c r="G38" s="67"/>
      <c r="H38" s="67"/>
      <c r="I38" s="67"/>
      <c r="J38" s="67"/>
      <c r="K38" s="67"/>
      <c r="L38" s="67"/>
      <c r="M38" s="54"/>
    </row>
    <row r="41" spans="1:13" ht="11.4" customHeight="1" x14ac:dyDescent="0.3">
      <c r="A41" s="21"/>
      <c r="B41" s="21"/>
      <c r="C41" s="21"/>
      <c r="D41" s="21"/>
      <c r="E41" s="21"/>
      <c r="F41" s="21"/>
      <c r="G41" s="21"/>
      <c r="H41" s="21"/>
      <c r="I41" s="21"/>
      <c r="J41" s="21"/>
      <c r="K41" s="21"/>
      <c r="L41" s="21"/>
      <c r="M41" s="21"/>
    </row>
    <row r="42" spans="1:13" ht="26.4" customHeight="1" x14ac:dyDescent="0.3">
      <c r="A42" s="21"/>
      <c r="B42" s="184" t="str">
        <f>Bracket!$C$1</f>
        <v>STAG GLOBAL CORPORATE CHAMPIONSHIP</v>
      </c>
      <c r="C42" s="184"/>
      <c r="D42" s="184"/>
      <c r="E42" s="184"/>
      <c r="F42" s="184"/>
      <c r="G42" s="184"/>
      <c r="H42" s="184"/>
      <c r="I42" s="184"/>
      <c r="J42" s="184"/>
      <c r="K42" s="184"/>
      <c r="L42" s="64"/>
      <c r="M42" s="64"/>
    </row>
    <row r="43" spans="1:13" ht="18" customHeight="1" x14ac:dyDescent="0.3">
      <c r="A43" s="21"/>
      <c r="B43" s="56" t="str">
        <f>REPLACE(Bracket!$C$2,1,9,"")</f>
        <v xml:space="preserve"> Men Doubles</v>
      </c>
      <c r="C43" s="62"/>
      <c r="D43" s="66"/>
      <c r="E43" s="66"/>
      <c r="F43" s="65" t="s">
        <v>2027</v>
      </c>
      <c r="G43" s="66"/>
      <c r="H43" s="66"/>
      <c r="I43" s="66" t="s">
        <v>72</v>
      </c>
      <c r="J43" s="65">
        <v>4</v>
      </c>
      <c r="K43" s="57"/>
      <c r="L43" s="57"/>
      <c r="M43" s="57"/>
    </row>
    <row r="44" spans="1:13" ht="15" customHeight="1" x14ac:dyDescent="0.3">
      <c r="A44" s="21"/>
      <c r="B44" s="56"/>
      <c r="C44" s="58"/>
      <c r="D44" s="185"/>
      <c r="E44" s="185"/>
      <c r="F44" s="60"/>
      <c r="G44" s="59"/>
      <c r="H44" s="59"/>
      <c r="I44" s="59"/>
      <c r="J44" s="59"/>
      <c r="K44" s="59"/>
      <c r="L44" s="59"/>
      <c r="M44" s="59"/>
    </row>
    <row r="45" spans="1:13" ht="17.399999999999999" customHeight="1" x14ac:dyDescent="0.3">
      <c r="A45" s="21"/>
      <c r="B45" s="56"/>
      <c r="C45" s="61" t="s">
        <v>947</v>
      </c>
      <c r="D45" s="186" t="s">
        <v>292</v>
      </c>
      <c r="E45" s="186"/>
      <c r="F45" s="187"/>
      <c r="G45" s="76">
        <v>1</v>
      </c>
      <c r="H45" s="76">
        <v>2</v>
      </c>
      <c r="I45" s="76">
        <v>3</v>
      </c>
      <c r="J45" s="76">
        <v>4</v>
      </c>
      <c r="K45" s="73">
        <v>5</v>
      </c>
      <c r="L45" s="60"/>
      <c r="M45" s="60"/>
    </row>
    <row r="46" spans="1:13" ht="30" customHeight="1" x14ac:dyDescent="0.3">
      <c r="A46" s="21"/>
      <c r="B46" s="56"/>
      <c r="C46" s="63" t="s">
        <v>1281</v>
      </c>
      <c r="D46" s="188" t="s">
        <v>2345</v>
      </c>
      <c r="E46" s="188"/>
      <c r="F46" s="189"/>
      <c r="G46" s="74"/>
      <c r="H46" s="74"/>
      <c r="I46" s="74"/>
      <c r="J46" s="74"/>
      <c r="K46" s="72"/>
      <c r="L46" s="133"/>
      <c r="M46" s="133"/>
    </row>
    <row r="47" spans="1:13" ht="30" customHeight="1" x14ac:dyDescent="0.3">
      <c r="A47" s="21"/>
      <c r="B47" s="56"/>
      <c r="C47" s="63" t="s">
        <v>1281</v>
      </c>
      <c r="D47" s="189" t="s">
        <v>2346</v>
      </c>
      <c r="E47" s="190"/>
      <c r="F47" s="190"/>
      <c r="G47" s="75"/>
      <c r="H47" s="75"/>
      <c r="I47" s="75"/>
      <c r="J47" s="75"/>
      <c r="K47" s="71"/>
      <c r="L47" s="133"/>
      <c r="M47" s="133"/>
    </row>
    <row r="48" spans="1:13" ht="22.8" customHeight="1" x14ac:dyDescent="0.3">
      <c r="A48" s="21"/>
      <c r="B48" s="56"/>
      <c r="C48" s="56"/>
      <c r="D48" s="56"/>
      <c r="E48" s="56"/>
      <c r="F48" s="56"/>
      <c r="G48" s="56"/>
      <c r="H48" s="56"/>
      <c r="I48" s="56"/>
      <c r="J48" s="56"/>
      <c r="K48" s="56"/>
      <c r="L48" s="56"/>
      <c r="M48" s="56"/>
    </row>
    <row r="49" spans="1:13" ht="27" customHeight="1" x14ac:dyDescent="0.3">
      <c r="A49" s="21"/>
      <c r="B49" s="56"/>
      <c r="C49" s="185" t="s">
        <v>293</v>
      </c>
      <c r="D49" s="185"/>
      <c r="E49" s="185"/>
      <c r="F49" s="185"/>
      <c r="G49" s="56"/>
      <c r="H49" s="56" t="s">
        <v>27</v>
      </c>
      <c r="I49" s="56"/>
      <c r="J49" s="56"/>
      <c r="K49" s="56" t="s">
        <v>294</v>
      </c>
      <c r="L49" s="56"/>
      <c r="M49" s="56"/>
    </row>
    <row r="50" spans="1:13" ht="12.6" customHeight="1" x14ac:dyDescent="0.35">
      <c r="A50" s="21"/>
      <c r="B50" s="67"/>
      <c r="C50" s="67"/>
      <c r="D50" s="67"/>
      <c r="E50" s="67"/>
      <c r="F50" s="67"/>
      <c r="G50" s="67"/>
      <c r="H50" s="67"/>
      <c r="I50" s="67"/>
      <c r="J50" s="67"/>
      <c r="K50" s="67"/>
      <c r="L50" s="67"/>
      <c r="M50" s="54"/>
    </row>
    <row r="53" spans="1:13" ht="11.4" customHeight="1" x14ac:dyDescent="0.3">
      <c r="A53" s="21"/>
      <c r="B53" s="21"/>
      <c r="C53" s="21"/>
      <c r="D53" s="21"/>
      <c r="E53" s="21"/>
      <c r="F53" s="21"/>
      <c r="G53" s="21"/>
      <c r="H53" s="21"/>
      <c r="I53" s="21"/>
      <c r="J53" s="21"/>
      <c r="K53" s="21"/>
      <c r="L53" s="21"/>
      <c r="M53" s="21"/>
    </row>
    <row r="54" spans="1:13" ht="26.4" customHeight="1" x14ac:dyDescent="0.3">
      <c r="A54" s="21"/>
      <c r="B54" s="184" t="str">
        <f>Bracket!$C$1</f>
        <v>STAG GLOBAL CORPORATE CHAMPIONSHIP</v>
      </c>
      <c r="C54" s="184"/>
      <c r="D54" s="184"/>
      <c r="E54" s="184"/>
      <c r="F54" s="184"/>
      <c r="G54" s="184"/>
      <c r="H54" s="184"/>
      <c r="I54" s="184"/>
      <c r="J54" s="184"/>
      <c r="K54" s="184"/>
      <c r="L54" s="64"/>
      <c r="M54" s="64"/>
    </row>
    <row r="55" spans="1:13" ht="18" customHeight="1" x14ac:dyDescent="0.3">
      <c r="A55" s="21"/>
      <c r="B55" s="56" t="str">
        <f>REPLACE(Bracket!$C$2,1,9,"")</f>
        <v xml:space="preserve"> Men Doubles</v>
      </c>
      <c r="C55" s="62"/>
      <c r="D55" s="66"/>
      <c r="E55" s="66"/>
      <c r="F55" s="65" t="s">
        <v>2027</v>
      </c>
      <c r="G55" s="66"/>
      <c r="H55" s="66"/>
      <c r="I55" s="66" t="s">
        <v>72</v>
      </c>
      <c r="J55" s="65">
        <v>5</v>
      </c>
      <c r="K55" s="57"/>
      <c r="L55" s="57"/>
      <c r="M55" s="57"/>
    </row>
    <row r="56" spans="1:13" ht="15" customHeight="1" x14ac:dyDescent="0.3">
      <c r="A56" s="21"/>
      <c r="B56" s="56"/>
      <c r="C56" s="58"/>
      <c r="D56" s="185"/>
      <c r="E56" s="185"/>
      <c r="F56" s="60"/>
      <c r="G56" s="59"/>
      <c r="H56" s="59"/>
      <c r="I56" s="59"/>
      <c r="J56" s="59"/>
      <c r="K56" s="59"/>
      <c r="L56" s="59"/>
      <c r="M56" s="59"/>
    </row>
    <row r="57" spans="1:13" ht="17.399999999999999" customHeight="1" x14ac:dyDescent="0.3">
      <c r="A57" s="21"/>
      <c r="B57" s="56"/>
      <c r="C57" s="61" t="s">
        <v>947</v>
      </c>
      <c r="D57" s="186" t="s">
        <v>292</v>
      </c>
      <c r="E57" s="186"/>
      <c r="F57" s="187"/>
      <c r="G57" s="76">
        <v>1</v>
      </c>
      <c r="H57" s="76">
        <v>2</v>
      </c>
      <c r="I57" s="76">
        <v>3</v>
      </c>
      <c r="J57" s="76">
        <v>4</v>
      </c>
      <c r="K57" s="73">
        <v>5</v>
      </c>
      <c r="L57" s="60"/>
      <c r="M57" s="60"/>
    </row>
    <row r="58" spans="1:13" ht="30" customHeight="1" x14ac:dyDescent="0.3">
      <c r="A58" s="21"/>
      <c r="B58" s="56"/>
      <c r="C58" s="63" t="s">
        <v>1281</v>
      </c>
      <c r="D58" s="188" t="s">
        <v>2345</v>
      </c>
      <c r="E58" s="188"/>
      <c r="F58" s="189"/>
      <c r="G58" s="74"/>
      <c r="H58" s="74"/>
      <c r="I58" s="74"/>
      <c r="J58" s="74"/>
      <c r="K58" s="72"/>
      <c r="L58" s="133"/>
      <c r="M58" s="133"/>
    </row>
    <row r="59" spans="1:13" ht="30" customHeight="1" x14ac:dyDescent="0.3">
      <c r="A59" s="21"/>
      <c r="B59" s="56"/>
      <c r="C59" s="63" t="s">
        <v>1281</v>
      </c>
      <c r="D59" s="189" t="s">
        <v>2327</v>
      </c>
      <c r="E59" s="190"/>
      <c r="F59" s="190"/>
      <c r="G59" s="75"/>
      <c r="H59" s="75"/>
      <c r="I59" s="75"/>
      <c r="J59" s="75"/>
      <c r="K59" s="71"/>
      <c r="L59" s="133"/>
      <c r="M59" s="133"/>
    </row>
    <row r="60" spans="1:13" ht="22.8" customHeight="1" x14ac:dyDescent="0.3">
      <c r="A60" s="21"/>
      <c r="B60" s="56"/>
      <c r="C60" s="56"/>
      <c r="D60" s="56"/>
      <c r="E60" s="56"/>
      <c r="F60" s="56"/>
      <c r="G60" s="56"/>
      <c r="H60" s="56"/>
      <c r="I60" s="56"/>
      <c r="J60" s="56"/>
      <c r="K60" s="56"/>
      <c r="L60" s="56"/>
      <c r="M60" s="56"/>
    </row>
    <row r="61" spans="1:13" ht="27" customHeight="1" x14ac:dyDescent="0.3">
      <c r="A61" s="21"/>
      <c r="B61" s="56"/>
      <c r="C61" s="185" t="s">
        <v>293</v>
      </c>
      <c r="D61" s="185"/>
      <c r="E61" s="185"/>
      <c r="F61" s="185"/>
      <c r="G61" s="56"/>
      <c r="H61" s="56" t="s">
        <v>27</v>
      </c>
      <c r="I61" s="56"/>
      <c r="J61" s="56"/>
      <c r="K61" s="56" t="s">
        <v>294</v>
      </c>
      <c r="L61" s="56"/>
      <c r="M61" s="56"/>
    </row>
    <row r="62" spans="1:13" ht="12.6" customHeight="1" x14ac:dyDescent="0.35">
      <c r="A62" s="21"/>
      <c r="B62" s="67"/>
      <c r="C62" s="67"/>
      <c r="D62" s="67"/>
      <c r="E62" s="67"/>
      <c r="F62" s="67"/>
      <c r="G62" s="67"/>
      <c r="H62" s="67"/>
      <c r="I62" s="67"/>
      <c r="J62" s="67"/>
      <c r="K62" s="67"/>
      <c r="L62" s="67"/>
      <c r="M62" s="54"/>
    </row>
    <row r="65" spans="1:13" ht="11.4" customHeight="1" x14ac:dyDescent="0.3">
      <c r="A65" s="21"/>
      <c r="B65" s="21"/>
      <c r="C65" s="21"/>
      <c r="D65" s="21"/>
      <c r="E65" s="21"/>
      <c r="F65" s="21"/>
      <c r="G65" s="21"/>
      <c r="H65" s="21"/>
      <c r="I65" s="21"/>
      <c r="J65" s="21"/>
      <c r="K65" s="21"/>
      <c r="L65" s="21"/>
      <c r="M65" s="21"/>
    </row>
    <row r="66" spans="1:13" ht="26.4" customHeight="1" x14ac:dyDescent="0.3">
      <c r="A66" s="21"/>
      <c r="B66" s="184" t="str">
        <f>Bracket!$C$1</f>
        <v>STAG GLOBAL CORPORATE CHAMPIONSHIP</v>
      </c>
      <c r="C66" s="184"/>
      <c r="D66" s="184"/>
      <c r="E66" s="184"/>
      <c r="F66" s="184"/>
      <c r="G66" s="184"/>
      <c r="H66" s="184"/>
      <c r="I66" s="184"/>
      <c r="J66" s="184"/>
      <c r="K66" s="184"/>
      <c r="L66" s="64"/>
      <c r="M66" s="64"/>
    </row>
    <row r="67" spans="1:13" ht="18" customHeight="1" x14ac:dyDescent="0.3">
      <c r="A67" s="21"/>
      <c r="B67" s="56" t="str">
        <f>REPLACE(Bracket!$C$2,1,9,"")</f>
        <v xml:space="preserve"> Men Doubles</v>
      </c>
      <c r="C67" s="62"/>
      <c r="D67" s="66"/>
      <c r="E67" s="66"/>
      <c r="F67" s="65" t="s">
        <v>2027</v>
      </c>
      <c r="G67" s="66"/>
      <c r="H67" s="66"/>
      <c r="I67" s="66" t="s">
        <v>72</v>
      </c>
      <c r="J67" s="65">
        <v>6</v>
      </c>
      <c r="K67" s="57"/>
      <c r="L67" s="57"/>
      <c r="M67" s="57"/>
    </row>
    <row r="68" spans="1:13" ht="15" customHeight="1" x14ac:dyDescent="0.3">
      <c r="A68" s="21"/>
      <c r="B68" s="56"/>
      <c r="C68" s="58"/>
      <c r="D68" s="185"/>
      <c r="E68" s="185"/>
      <c r="F68" s="60"/>
      <c r="G68" s="59"/>
      <c r="H68" s="59"/>
      <c r="I68" s="59"/>
      <c r="J68" s="59"/>
      <c r="K68" s="59"/>
      <c r="L68" s="59"/>
      <c r="M68" s="59"/>
    </row>
    <row r="69" spans="1:13" ht="17.399999999999999" customHeight="1" x14ac:dyDescent="0.3">
      <c r="A69" s="21"/>
      <c r="B69" s="56"/>
      <c r="C69" s="61" t="s">
        <v>947</v>
      </c>
      <c r="D69" s="186" t="s">
        <v>292</v>
      </c>
      <c r="E69" s="186"/>
      <c r="F69" s="187"/>
      <c r="G69" s="76">
        <v>1</v>
      </c>
      <c r="H69" s="76">
        <v>2</v>
      </c>
      <c r="I69" s="76">
        <v>3</v>
      </c>
      <c r="J69" s="76">
        <v>4</v>
      </c>
      <c r="K69" s="73">
        <v>5</v>
      </c>
      <c r="L69" s="60"/>
      <c r="M69" s="60"/>
    </row>
    <row r="70" spans="1:13" ht="30" customHeight="1" x14ac:dyDescent="0.3">
      <c r="A70" s="21"/>
      <c r="B70" s="56"/>
      <c r="C70" s="63" t="s">
        <v>1281</v>
      </c>
      <c r="D70" s="188" t="s">
        <v>2346</v>
      </c>
      <c r="E70" s="188"/>
      <c r="F70" s="189"/>
      <c r="G70" s="74"/>
      <c r="H70" s="74"/>
      <c r="I70" s="74"/>
      <c r="J70" s="74"/>
      <c r="K70" s="72"/>
      <c r="L70" s="133"/>
      <c r="M70" s="133"/>
    </row>
    <row r="71" spans="1:13" ht="30" customHeight="1" x14ac:dyDescent="0.3">
      <c r="A71" s="21"/>
      <c r="B71" s="56"/>
      <c r="C71" s="63" t="s">
        <v>1281</v>
      </c>
      <c r="D71" s="189" t="s">
        <v>2327</v>
      </c>
      <c r="E71" s="190"/>
      <c r="F71" s="190"/>
      <c r="G71" s="75"/>
      <c r="H71" s="75"/>
      <c r="I71" s="75"/>
      <c r="J71" s="75"/>
      <c r="K71" s="71"/>
      <c r="L71" s="133"/>
      <c r="M71" s="133"/>
    </row>
    <row r="72" spans="1:13" ht="22.8" customHeight="1" x14ac:dyDescent="0.3">
      <c r="A72" s="21"/>
      <c r="B72" s="56"/>
      <c r="C72" s="56"/>
      <c r="D72" s="56"/>
      <c r="E72" s="56"/>
      <c r="F72" s="56"/>
      <c r="G72" s="56"/>
      <c r="H72" s="56"/>
      <c r="I72" s="56"/>
      <c r="J72" s="56"/>
      <c r="K72" s="56"/>
      <c r="L72" s="56"/>
      <c r="M72" s="56"/>
    </row>
    <row r="73" spans="1:13" ht="27" customHeight="1" x14ac:dyDescent="0.3">
      <c r="A73" s="21"/>
      <c r="B73" s="56"/>
      <c r="C73" s="185" t="s">
        <v>293</v>
      </c>
      <c r="D73" s="185"/>
      <c r="E73" s="185"/>
      <c r="F73" s="185"/>
      <c r="G73" s="56"/>
      <c r="H73" s="56" t="s">
        <v>27</v>
      </c>
      <c r="I73" s="56"/>
      <c r="J73" s="56"/>
      <c r="K73" s="56" t="s">
        <v>294</v>
      </c>
      <c r="L73" s="56"/>
      <c r="M73" s="56"/>
    </row>
    <row r="74" spans="1:13" ht="12.6" customHeight="1" x14ac:dyDescent="0.35">
      <c r="A74" s="21"/>
      <c r="B74" s="67"/>
      <c r="C74" s="67"/>
      <c r="D74" s="67"/>
      <c r="E74" s="67"/>
      <c r="F74" s="67"/>
      <c r="G74" s="67"/>
      <c r="H74" s="67"/>
      <c r="I74" s="67"/>
      <c r="J74" s="67"/>
      <c r="K74" s="67"/>
      <c r="L74" s="67"/>
      <c r="M74" s="54"/>
    </row>
    <row r="77" spans="1:13" ht="11.4" customHeight="1" x14ac:dyDescent="0.3">
      <c r="A77" s="21"/>
      <c r="B77" s="21"/>
      <c r="C77" s="21"/>
      <c r="D77" s="21"/>
      <c r="E77" s="21"/>
      <c r="F77" s="21"/>
      <c r="G77" s="21"/>
      <c r="H77" s="21"/>
      <c r="I77" s="21"/>
      <c r="J77" s="21"/>
      <c r="K77" s="21"/>
      <c r="L77" s="21"/>
      <c r="M77" s="21"/>
    </row>
    <row r="78" spans="1:13" ht="26.4" customHeight="1" x14ac:dyDescent="0.3">
      <c r="A78" s="21"/>
      <c r="B78" s="184" t="str">
        <f>Bracket!$C$1</f>
        <v>STAG GLOBAL CORPORATE CHAMPIONSHIP</v>
      </c>
      <c r="C78" s="184"/>
      <c r="D78" s="184"/>
      <c r="E78" s="184"/>
      <c r="F78" s="184"/>
      <c r="G78" s="184"/>
      <c r="H78" s="184"/>
      <c r="I78" s="184"/>
      <c r="J78" s="184"/>
      <c r="K78" s="184"/>
      <c r="L78" s="64"/>
      <c r="M78" s="64"/>
    </row>
    <row r="79" spans="1:13" ht="18" customHeight="1" x14ac:dyDescent="0.3">
      <c r="A79" s="21"/>
      <c r="B79" s="56" t="str">
        <f>REPLACE(Bracket!$C$2,1,9,"")</f>
        <v xml:space="preserve"> Men Doubles</v>
      </c>
      <c r="C79" s="62"/>
      <c r="D79" s="66"/>
      <c r="E79" s="66"/>
      <c r="F79" s="65" t="s">
        <v>2028</v>
      </c>
      <c r="G79" s="66"/>
      <c r="H79" s="66"/>
      <c r="I79" s="66" t="s">
        <v>72</v>
      </c>
      <c r="J79" s="65">
        <v>7</v>
      </c>
      <c r="K79" s="57"/>
      <c r="L79" s="57"/>
      <c r="M79" s="57"/>
    </row>
    <row r="80" spans="1:13" ht="15" customHeight="1" x14ac:dyDescent="0.3">
      <c r="A80" s="21"/>
      <c r="B80" s="56"/>
      <c r="C80" s="58"/>
      <c r="D80" s="185"/>
      <c r="E80" s="185"/>
      <c r="F80" s="60"/>
      <c r="G80" s="59"/>
      <c r="H80" s="59"/>
      <c r="I80" s="59"/>
      <c r="J80" s="59"/>
      <c r="K80" s="59"/>
      <c r="L80" s="59"/>
      <c r="M80" s="59"/>
    </row>
    <row r="81" spans="1:13" ht="17.399999999999999" customHeight="1" x14ac:dyDescent="0.3">
      <c r="A81" s="21"/>
      <c r="B81" s="56"/>
      <c r="C81" s="61" t="s">
        <v>947</v>
      </c>
      <c r="D81" s="186" t="s">
        <v>292</v>
      </c>
      <c r="E81" s="186"/>
      <c r="F81" s="187"/>
      <c r="G81" s="76">
        <v>1</v>
      </c>
      <c r="H81" s="76">
        <v>2</v>
      </c>
      <c r="I81" s="76">
        <v>3</v>
      </c>
      <c r="J81" s="76">
        <v>4</v>
      </c>
      <c r="K81" s="73">
        <v>5</v>
      </c>
      <c r="L81" s="60"/>
      <c r="M81" s="60"/>
    </row>
    <row r="82" spans="1:13" ht="30" customHeight="1" x14ac:dyDescent="0.3">
      <c r="A82" s="21"/>
      <c r="B82" s="56"/>
      <c r="C82" s="63" t="s">
        <v>1281</v>
      </c>
      <c r="D82" s="188" t="s">
        <v>2347</v>
      </c>
      <c r="E82" s="188"/>
      <c r="F82" s="189"/>
      <c r="G82" s="74"/>
      <c r="H82" s="74"/>
      <c r="I82" s="74"/>
      <c r="J82" s="74"/>
      <c r="K82" s="72"/>
      <c r="L82" s="133"/>
      <c r="M82" s="133"/>
    </row>
    <row r="83" spans="1:13" ht="30" customHeight="1" x14ac:dyDescent="0.3">
      <c r="A83" s="21"/>
      <c r="B83" s="56"/>
      <c r="C83" s="63" t="s">
        <v>1281</v>
      </c>
      <c r="D83" s="189" t="s">
        <v>2348</v>
      </c>
      <c r="E83" s="190"/>
      <c r="F83" s="190"/>
      <c r="G83" s="75"/>
      <c r="H83" s="75"/>
      <c r="I83" s="75"/>
      <c r="J83" s="75"/>
      <c r="K83" s="71"/>
      <c r="L83" s="133"/>
      <c r="M83" s="133"/>
    </row>
    <row r="84" spans="1:13" ht="22.8" customHeight="1" x14ac:dyDescent="0.3">
      <c r="A84" s="21"/>
      <c r="B84" s="56"/>
      <c r="C84" s="56"/>
      <c r="D84" s="56"/>
      <c r="E84" s="56"/>
      <c r="F84" s="56"/>
      <c r="G84" s="56"/>
      <c r="H84" s="56"/>
      <c r="I84" s="56"/>
      <c r="J84" s="56"/>
      <c r="K84" s="56"/>
      <c r="L84" s="56"/>
      <c r="M84" s="56"/>
    </row>
    <row r="85" spans="1:13" ht="27" customHeight="1" x14ac:dyDescent="0.3">
      <c r="A85" s="21"/>
      <c r="B85" s="56"/>
      <c r="C85" s="185" t="s">
        <v>293</v>
      </c>
      <c r="D85" s="185"/>
      <c r="E85" s="185"/>
      <c r="F85" s="185"/>
      <c r="G85" s="56"/>
      <c r="H85" s="56" t="s">
        <v>27</v>
      </c>
      <c r="I85" s="56"/>
      <c r="J85" s="56"/>
      <c r="K85" s="56" t="s">
        <v>294</v>
      </c>
      <c r="L85" s="56"/>
      <c r="M85" s="56"/>
    </row>
    <row r="86" spans="1:13" ht="12.6" customHeight="1" x14ac:dyDescent="0.35">
      <c r="A86" s="21"/>
      <c r="B86" s="67"/>
      <c r="C86" s="67"/>
      <c r="D86" s="67"/>
      <c r="E86" s="67"/>
      <c r="F86" s="67"/>
      <c r="G86" s="67"/>
      <c r="H86" s="67"/>
      <c r="I86" s="67"/>
      <c r="J86" s="67"/>
      <c r="K86" s="67"/>
      <c r="L86" s="67"/>
      <c r="M86" s="54"/>
    </row>
    <row r="89" spans="1:13" ht="11.4" customHeight="1" x14ac:dyDescent="0.3">
      <c r="A89" s="21"/>
      <c r="B89" s="21"/>
      <c r="C89" s="21"/>
      <c r="D89" s="21"/>
      <c r="E89" s="21"/>
      <c r="F89" s="21"/>
      <c r="G89" s="21"/>
      <c r="H89" s="21"/>
      <c r="I89" s="21"/>
      <c r="J89" s="21"/>
      <c r="K89" s="21"/>
      <c r="L89" s="21"/>
      <c r="M89" s="21"/>
    </row>
    <row r="90" spans="1:13" ht="26.4" customHeight="1" x14ac:dyDescent="0.3">
      <c r="A90" s="21"/>
      <c r="B90" s="184" t="str">
        <f>Bracket!$C$1</f>
        <v>STAG GLOBAL CORPORATE CHAMPIONSHIP</v>
      </c>
      <c r="C90" s="184"/>
      <c r="D90" s="184"/>
      <c r="E90" s="184"/>
      <c r="F90" s="184"/>
      <c r="G90" s="184"/>
      <c r="H90" s="184"/>
      <c r="I90" s="184"/>
      <c r="J90" s="184"/>
      <c r="K90" s="184"/>
      <c r="L90" s="64"/>
      <c r="M90" s="64"/>
    </row>
    <row r="91" spans="1:13" ht="18" customHeight="1" x14ac:dyDescent="0.3">
      <c r="A91" s="21"/>
      <c r="B91" s="56" t="str">
        <f>REPLACE(Bracket!$C$2,1,9,"")</f>
        <v xml:space="preserve"> Men Doubles</v>
      </c>
      <c r="C91" s="62"/>
      <c r="D91" s="66"/>
      <c r="E91" s="66"/>
      <c r="F91" s="65" t="s">
        <v>2028</v>
      </c>
      <c r="G91" s="66"/>
      <c r="H91" s="66"/>
      <c r="I91" s="66" t="s">
        <v>72</v>
      </c>
      <c r="J91" s="65">
        <v>8</v>
      </c>
      <c r="K91" s="57"/>
      <c r="L91" s="57"/>
      <c r="M91" s="57"/>
    </row>
    <row r="92" spans="1:13" ht="15" customHeight="1" x14ac:dyDescent="0.3">
      <c r="A92" s="21"/>
      <c r="B92" s="56"/>
      <c r="C92" s="58"/>
      <c r="D92" s="185"/>
      <c r="E92" s="185"/>
      <c r="F92" s="60"/>
      <c r="G92" s="59"/>
      <c r="H92" s="59"/>
      <c r="I92" s="59"/>
      <c r="J92" s="59"/>
      <c r="K92" s="59"/>
      <c r="L92" s="59"/>
      <c r="M92" s="59"/>
    </row>
    <row r="93" spans="1:13" ht="17.399999999999999" customHeight="1" x14ac:dyDescent="0.3">
      <c r="A93" s="21"/>
      <c r="B93" s="56"/>
      <c r="C93" s="61" t="s">
        <v>947</v>
      </c>
      <c r="D93" s="186" t="s">
        <v>292</v>
      </c>
      <c r="E93" s="186"/>
      <c r="F93" s="187"/>
      <c r="G93" s="76">
        <v>1</v>
      </c>
      <c r="H93" s="76">
        <v>2</v>
      </c>
      <c r="I93" s="76">
        <v>3</v>
      </c>
      <c r="J93" s="76">
        <v>4</v>
      </c>
      <c r="K93" s="73">
        <v>5</v>
      </c>
      <c r="L93" s="60"/>
      <c r="M93" s="60"/>
    </row>
    <row r="94" spans="1:13" ht="30" customHeight="1" x14ac:dyDescent="0.3">
      <c r="A94" s="21"/>
      <c r="B94" s="56"/>
      <c r="C94" s="63" t="s">
        <v>1281</v>
      </c>
      <c r="D94" s="188" t="s">
        <v>2347</v>
      </c>
      <c r="E94" s="188"/>
      <c r="F94" s="189"/>
      <c r="G94" s="74"/>
      <c r="H94" s="74"/>
      <c r="I94" s="74"/>
      <c r="J94" s="74"/>
      <c r="K94" s="72"/>
      <c r="L94" s="133"/>
      <c r="M94" s="133"/>
    </row>
    <row r="95" spans="1:13" ht="30" customHeight="1" x14ac:dyDescent="0.3">
      <c r="A95" s="21"/>
      <c r="B95" s="56"/>
      <c r="C95" s="63" t="s">
        <v>1281</v>
      </c>
      <c r="D95" s="189" t="s">
        <v>2349</v>
      </c>
      <c r="E95" s="190"/>
      <c r="F95" s="190"/>
      <c r="G95" s="75"/>
      <c r="H95" s="75"/>
      <c r="I95" s="75"/>
      <c r="J95" s="75"/>
      <c r="K95" s="71"/>
      <c r="L95" s="133"/>
      <c r="M95" s="133"/>
    </row>
    <row r="96" spans="1:13" ht="22.8" customHeight="1" x14ac:dyDescent="0.3">
      <c r="A96" s="21"/>
      <c r="B96" s="56"/>
      <c r="C96" s="56"/>
      <c r="D96" s="56"/>
      <c r="E96" s="56"/>
      <c r="F96" s="56"/>
      <c r="G96" s="56"/>
      <c r="H96" s="56"/>
      <c r="I96" s="56"/>
      <c r="J96" s="56"/>
      <c r="K96" s="56"/>
      <c r="L96" s="56"/>
      <c r="M96" s="56"/>
    </row>
    <row r="97" spans="1:13" ht="27" customHeight="1" x14ac:dyDescent="0.3">
      <c r="A97" s="21"/>
      <c r="B97" s="56"/>
      <c r="C97" s="185" t="s">
        <v>293</v>
      </c>
      <c r="D97" s="185"/>
      <c r="E97" s="185"/>
      <c r="F97" s="185"/>
      <c r="G97" s="56"/>
      <c r="H97" s="56" t="s">
        <v>27</v>
      </c>
      <c r="I97" s="56"/>
      <c r="J97" s="56"/>
      <c r="K97" s="56" t="s">
        <v>294</v>
      </c>
      <c r="L97" s="56"/>
      <c r="M97" s="56"/>
    </row>
    <row r="98" spans="1:13" ht="12.6" customHeight="1" x14ac:dyDescent="0.35">
      <c r="A98" s="21"/>
      <c r="B98" s="67"/>
      <c r="C98" s="67"/>
      <c r="D98" s="67"/>
      <c r="E98" s="67"/>
      <c r="F98" s="67"/>
      <c r="G98" s="67"/>
      <c r="H98" s="67"/>
      <c r="I98" s="67"/>
      <c r="J98" s="67"/>
      <c r="K98" s="67"/>
      <c r="L98" s="67"/>
      <c r="M98" s="54"/>
    </row>
    <row r="101" spans="1:13" ht="11.4" customHeight="1" x14ac:dyDescent="0.3">
      <c r="A101" s="21"/>
      <c r="B101" s="21"/>
      <c r="C101" s="21"/>
      <c r="D101" s="21"/>
      <c r="E101" s="21"/>
      <c r="F101" s="21"/>
      <c r="G101" s="21"/>
      <c r="H101" s="21"/>
      <c r="I101" s="21"/>
      <c r="J101" s="21"/>
      <c r="K101" s="21"/>
      <c r="L101" s="21"/>
      <c r="M101" s="21"/>
    </row>
    <row r="102" spans="1:13" ht="26.4" customHeight="1" x14ac:dyDescent="0.3">
      <c r="A102" s="21"/>
      <c r="B102" s="184" t="str">
        <f>Bracket!$C$1</f>
        <v>STAG GLOBAL CORPORATE CHAMPIONSHIP</v>
      </c>
      <c r="C102" s="184"/>
      <c r="D102" s="184"/>
      <c r="E102" s="184"/>
      <c r="F102" s="184"/>
      <c r="G102" s="184"/>
      <c r="H102" s="184"/>
      <c r="I102" s="184"/>
      <c r="J102" s="184"/>
      <c r="K102" s="184"/>
      <c r="L102" s="64"/>
      <c r="M102" s="64"/>
    </row>
    <row r="103" spans="1:13" ht="18" customHeight="1" x14ac:dyDescent="0.3">
      <c r="A103" s="21"/>
      <c r="B103" s="56" t="str">
        <f>REPLACE(Bracket!$C$2,1,9,"")</f>
        <v xml:space="preserve"> Men Doubles</v>
      </c>
      <c r="C103" s="62"/>
      <c r="D103" s="66"/>
      <c r="E103" s="66"/>
      <c r="F103" s="65" t="s">
        <v>2028</v>
      </c>
      <c r="G103" s="66"/>
      <c r="H103" s="66"/>
      <c r="I103" s="66" t="s">
        <v>72</v>
      </c>
      <c r="J103" s="65">
        <v>9</v>
      </c>
      <c r="K103" s="57"/>
      <c r="L103" s="57"/>
      <c r="M103" s="57"/>
    </row>
    <row r="104" spans="1:13" ht="15" customHeight="1" x14ac:dyDescent="0.3">
      <c r="A104" s="21"/>
      <c r="B104" s="56"/>
      <c r="C104" s="58"/>
      <c r="D104" s="185"/>
      <c r="E104" s="185"/>
      <c r="F104" s="60"/>
      <c r="G104" s="59"/>
      <c r="H104" s="59"/>
      <c r="I104" s="59"/>
      <c r="J104" s="59"/>
      <c r="K104" s="59"/>
      <c r="L104" s="59"/>
      <c r="M104" s="59"/>
    </row>
    <row r="105" spans="1:13" ht="17.399999999999999" customHeight="1" x14ac:dyDescent="0.3">
      <c r="A105" s="21"/>
      <c r="B105" s="56"/>
      <c r="C105" s="61" t="s">
        <v>947</v>
      </c>
      <c r="D105" s="186" t="s">
        <v>292</v>
      </c>
      <c r="E105" s="186"/>
      <c r="F105" s="187"/>
      <c r="G105" s="76">
        <v>1</v>
      </c>
      <c r="H105" s="76">
        <v>2</v>
      </c>
      <c r="I105" s="76">
        <v>3</v>
      </c>
      <c r="J105" s="76">
        <v>4</v>
      </c>
      <c r="K105" s="73">
        <v>5</v>
      </c>
      <c r="L105" s="60"/>
      <c r="M105" s="60"/>
    </row>
    <row r="106" spans="1:13" ht="30" customHeight="1" x14ac:dyDescent="0.3">
      <c r="A106" s="21"/>
      <c r="B106" s="56"/>
      <c r="C106" s="63" t="s">
        <v>1281</v>
      </c>
      <c r="D106" s="188" t="s">
        <v>2347</v>
      </c>
      <c r="E106" s="188"/>
      <c r="F106" s="189"/>
      <c r="G106" s="74"/>
      <c r="H106" s="74"/>
      <c r="I106" s="74"/>
      <c r="J106" s="74"/>
      <c r="K106" s="72"/>
      <c r="L106" s="133"/>
      <c r="M106" s="133"/>
    </row>
    <row r="107" spans="1:13" ht="30" customHeight="1" x14ac:dyDescent="0.3">
      <c r="A107" s="21"/>
      <c r="B107" s="56"/>
      <c r="C107" s="63" t="s">
        <v>1281</v>
      </c>
      <c r="D107" s="189" t="s">
        <v>2350</v>
      </c>
      <c r="E107" s="190"/>
      <c r="F107" s="190"/>
      <c r="G107" s="75"/>
      <c r="H107" s="75"/>
      <c r="I107" s="75"/>
      <c r="J107" s="75"/>
      <c r="K107" s="71"/>
      <c r="L107" s="133"/>
      <c r="M107" s="133"/>
    </row>
    <row r="108" spans="1:13" ht="22.8" customHeight="1" x14ac:dyDescent="0.3">
      <c r="A108" s="21"/>
      <c r="B108" s="56"/>
      <c r="C108" s="56"/>
      <c r="D108" s="56"/>
      <c r="E108" s="56"/>
      <c r="F108" s="56"/>
      <c r="G108" s="56"/>
      <c r="H108" s="56"/>
      <c r="I108" s="56"/>
      <c r="J108" s="56"/>
      <c r="K108" s="56"/>
      <c r="L108" s="56"/>
      <c r="M108" s="56"/>
    </row>
    <row r="109" spans="1:13" ht="27" customHeight="1" x14ac:dyDescent="0.3">
      <c r="A109" s="21"/>
      <c r="B109" s="56"/>
      <c r="C109" s="185" t="s">
        <v>293</v>
      </c>
      <c r="D109" s="185"/>
      <c r="E109" s="185"/>
      <c r="F109" s="185"/>
      <c r="G109" s="56"/>
      <c r="H109" s="56" t="s">
        <v>27</v>
      </c>
      <c r="I109" s="56"/>
      <c r="J109" s="56"/>
      <c r="K109" s="56" t="s">
        <v>294</v>
      </c>
      <c r="L109" s="56"/>
      <c r="M109" s="56"/>
    </row>
    <row r="110" spans="1:13" ht="12.6" customHeight="1" x14ac:dyDescent="0.35">
      <c r="A110" s="21"/>
      <c r="B110" s="67"/>
      <c r="C110" s="67"/>
      <c r="D110" s="67"/>
      <c r="E110" s="67"/>
      <c r="F110" s="67"/>
      <c r="G110" s="67"/>
      <c r="H110" s="67"/>
      <c r="I110" s="67"/>
      <c r="J110" s="67"/>
      <c r="K110" s="67"/>
      <c r="L110" s="67"/>
      <c r="M110" s="54"/>
    </row>
    <row r="113" spans="1:13" ht="11.4" customHeight="1" x14ac:dyDescent="0.3">
      <c r="A113" s="21"/>
      <c r="B113" s="21"/>
      <c r="C113" s="21"/>
      <c r="D113" s="21"/>
      <c r="E113" s="21"/>
      <c r="F113" s="21"/>
      <c r="G113" s="21"/>
      <c r="H113" s="21"/>
      <c r="I113" s="21"/>
      <c r="J113" s="21"/>
      <c r="K113" s="21"/>
      <c r="L113" s="21"/>
      <c r="M113" s="21"/>
    </row>
    <row r="114" spans="1:13" ht="26.4" customHeight="1" x14ac:dyDescent="0.3">
      <c r="A114" s="21"/>
      <c r="B114" s="184" t="str">
        <f>Bracket!$C$1</f>
        <v>STAG GLOBAL CORPORATE CHAMPIONSHIP</v>
      </c>
      <c r="C114" s="184"/>
      <c r="D114" s="184"/>
      <c r="E114" s="184"/>
      <c r="F114" s="184"/>
      <c r="G114" s="184"/>
      <c r="H114" s="184"/>
      <c r="I114" s="184"/>
      <c r="J114" s="184"/>
      <c r="K114" s="184"/>
      <c r="L114" s="64"/>
      <c r="M114" s="64"/>
    </row>
    <row r="115" spans="1:13" ht="18" customHeight="1" x14ac:dyDescent="0.3">
      <c r="A115" s="21"/>
      <c r="B115" s="56" t="str">
        <f>REPLACE(Bracket!$C$2,1,9,"")</f>
        <v xml:space="preserve"> Men Doubles</v>
      </c>
      <c r="C115" s="62"/>
      <c r="D115" s="66"/>
      <c r="E115" s="66"/>
      <c r="F115" s="65" t="s">
        <v>2028</v>
      </c>
      <c r="G115" s="66"/>
      <c r="H115" s="66"/>
      <c r="I115" s="66" t="s">
        <v>72</v>
      </c>
      <c r="J115" s="65">
        <v>10</v>
      </c>
      <c r="K115" s="57"/>
      <c r="L115" s="57"/>
      <c r="M115" s="57"/>
    </row>
    <row r="116" spans="1:13" ht="15" customHeight="1" x14ac:dyDescent="0.3">
      <c r="A116" s="21"/>
      <c r="B116" s="56"/>
      <c r="C116" s="58"/>
      <c r="D116" s="185"/>
      <c r="E116" s="185"/>
      <c r="F116" s="60"/>
      <c r="G116" s="59"/>
      <c r="H116" s="59"/>
      <c r="I116" s="59"/>
      <c r="J116" s="59"/>
      <c r="K116" s="59"/>
      <c r="L116" s="59"/>
      <c r="M116" s="59"/>
    </row>
    <row r="117" spans="1:13" ht="17.399999999999999" customHeight="1" x14ac:dyDescent="0.3">
      <c r="A117" s="21"/>
      <c r="B117" s="56"/>
      <c r="C117" s="61" t="s">
        <v>947</v>
      </c>
      <c r="D117" s="186" t="s">
        <v>292</v>
      </c>
      <c r="E117" s="186"/>
      <c r="F117" s="187"/>
      <c r="G117" s="76">
        <v>1</v>
      </c>
      <c r="H117" s="76">
        <v>2</v>
      </c>
      <c r="I117" s="76">
        <v>3</v>
      </c>
      <c r="J117" s="76">
        <v>4</v>
      </c>
      <c r="K117" s="73">
        <v>5</v>
      </c>
      <c r="L117" s="60"/>
      <c r="M117" s="60"/>
    </row>
    <row r="118" spans="1:13" ht="30" customHeight="1" x14ac:dyDescent="0.3">
      <c r="A118" s="21"/>
      <c r="B118" s="56"/>
      <c r="C118" s="63" t="s">
        <v>1281</v>
      </c>
      <c r="D118" s="188" t="s">
        <v>2348</v>
      </c>
      <c r="E118" s="188"/>
      <c r="F118" s="189"/>
      <c r="G118" s="74"/>
      <c r="H118" s="74"/>
      <c r="I118" s="74"/>
      <c r="J118" s="74"/>
      <c r="K118" s="72"/>
      <c r="L118" s="133"/>
      <c r="M118" s="133"/>
    </row>
    <row r="119" spans="1:13" ht="30" customHeight="1" x14ac:dyDescent="0.3">
      <c r="A119" s="21"/>
      <c r="B119" s="56"/>
      <c r="C119" s="63" t="s">
        <v>1281</v>
      </c>
      <c r="D119" s="189" t="s">
        <v>2349</v>
      </c>
      <c r="E119" s="190"/>
      <c r="F119" s="190"/>
      <c r="G119" s="75"/>
      <c r="H119" s="75"/>
      <c r="I119" s="75"/>
      <c r="J119" s="75"/>
      <c r="K119" s="71"/>
      <c r="L119" s="133"/>
      <c r="M119" s="133"/>
    </row>
    <row r="120" spans="1:13" ht="22.8" customHeight="1" x14ac:dyDescent="0.3">
      <c r="A120" s="21"/>
      <c r="B120" s="56"/>
      <c r="C120" s="56"/>
      <c r="D120" s="56"/>
      <c r="E120" s="56"/>
      <c r="F120" s="56"/>
      <c r="G120" s="56"/>
      <c r="H120" s="56"/>
      <c r="I120" s="56"/>
      <c r="J120" s="56"/>
      <c r="K120" s="56"/>
      <c r="L120" s="56"/>
      <c r="M120" s="56"/>
    </row>
    <row r="121" spans="1:13" ht="27" customHeight="1" x14ac:dyDescent="0.3">
      <c r="A121" s="21"/>
      <c r="B121" s="56"/>
      <c r="C121" s="185" t="s">
        <v>293</v>
      </c>
      <c r="D121" s="185"/>
      <c r="E121" s="185"/>
      <c r="F121" s="185"/>
      <c r="G121" s="56"/>
      <c r="H121" s="56" t="s">
        <v>27</v>
      </c>
      <c r="I121" s="56"/>
      <c r="J121" s="56"/>
      <c r="K121" s="56" t="s">
        <v>294</v>
      </c>
      <c r="L121" s="56"/>
      <c r="M121" s="56"/>
    </row>
    <row r="122" spans="1:13" ht="12.6" customHeight="1" x14ac:dyDescent="0.35">
      <c r="A122" s="21"/>
      <c r="B122" s="67"/>
      <c r="C122" s="67"/>
      <c r="D122" s="67"/>
      <c r="E122" s="67"/>
      <c r="F122" s="67"/>
      <c r="G122" s="67"/>
      <c r="H122" s="67"/>
      <c r="I122" s="67"/>
      <c r="J122" s="67"/>
      <c r="K122" s="67"/>
      <c r="L122" s="67"/>
      <c r="M122" s="54"/>
    </row>
    <row r="125" spans="1:13" ht="11.4" customHeight="1" x14ac:dyDescent="0.3">
      <c r="A125" s="21"/>
      <c r="B125" s="21"/>
      <c r="C125" s="21"/>
      <c r="D125" s="21"/>
      <c r="E125" s="21"/>
      <c r="F125" s="21"/>
      <c r="G125" s="21"/>
      <c r="H125" s="21"/>
      <c r="I125" s="21"/>
      <c r="J125" s="21"/>
      <c r="K125" s="21"/>
      <c r="L125" s="21"/>
      <c r="M125" s="21"/>
    </row>
    <row r="126" spans="1:13" ht="26.4" customHeight="1" x14ac:dyDescent="0.3">
      <c r="A126" s="21"/>
      <c r="B126" s="184" t="str">
        <f>Bracket!$C$1</f>
        <v>STAG GLOBAL CORPORATE CHAMPIONSHIP</v>
      </c>
      <c r="C126" s="184"/>
      <c r="D126" s="184"/>
      <c r="E126" s="184"/>
      <c r="F126" s="184"/>
      <c r="G126" s="184"/>
      <c r="H126" s="184"/>
      <c r="I126" s="184"/>
      <c r="J126" s="184"/>
      <c r="K126" s="184"/>
      <c r="L126" s="64"/>
      <c r="M126" s="64"/>
    </row>
    <row r="127" spans="1:13" ht="18" customHeight="1" x14ac:dyDescent="0.3">
      <c r="A127" s="21"/>
      <c r="B127" s="56" t="str">
        <f>REPLACE(Bracket!$C$2,1,9,"")</f>
        <v xml:space="preserve"> Men Doubles</v>
      </c>
      <c r="C127" s="62"/>
      <c r="D127" s="66"/>
      <c r="E127" s="66"/>
      <c r="F127" s="65" t="s">
        <v>2028</v>
      </c>
      <c r="G127" s="66"/>
      <c r="H127" s="66"/>
      <c r="I127" s="66" t="s">
        <v>72</v>
      </c>
      <c r="J127" s="65">
        <v>11</v>
      </c>
      <c r="K127" s="57"/>
      <c r="L127" s="57"/>
      <c r="M127" s="57"/>
    </row>
    <row r="128" spans="1:13" ht="15" customHeight="1" x14ac:dyDescent="0.3">
      <c r="A128" s="21"/>
      <c r="B128" s="56"/>
      <c r="C128" s="58"/>
      <c r="D128" s="185"/>
      <c r="E128" s="185"/>
      <c r="F128" s="60"/>
      <c r="G128" s="59"/>
      <c r="H128" s="59"/>
      <c r="I128" s="59"/>
      <c r="J128" s="59"/>
      <c r="K128" s="59"/>
      <c r="L128" s="59"/>
      <c r="M128" s="59"/>
    </row>
    <row r="129" spans="1:13" ht="17.399999999999999" customHeight="1" x14ac:dyDescent="0.3">
      <c r="A129" s="21"/>
      <c r="B129" s="56"/>
      <c r="C129" s="61" t="s">
        <v>947</v>
      </c>
      <c r="D129" s="186" t="s">
        <v>292</v>
      </c>
      <c r="E129" s="186"/>
      <c r="F129" s="187"/>
      <c r="G129" s="76">
        <v>1</v>
      </c>
      <c r="H129" s="76">
        <v>2</v>
      </c>
      <c r="I129" s="76">
        <v>3</v>
      </c>
      <c r="J129" s="76">
        <v>4</v>
      </c>
      <c r="K129" s="73">
        <v>5</v>
      </c>
      <c r="L129" s="60"/>
      <c r="M129" s="60"/>
    </row>
    <row r="130" spans="1:13" ht="30" customHeight="1" x14ac:dyDescent="0.3">
      <c r="A130" s="21"/>
      <c r="B130" s="56"/>
      <c r="C130" s="63" t="s">
        <v>1281</v>
      </c>
      <c r="D130" s="188" t="s">
        <v>2348</v>
      </c>
      <c r="E130" s="188"/>
      <c r="F130" s="189"/>
      <c r="G130" s="74"/>
      <c r="H130" s="74"/>
      <c r="I130" s="74"/>
      <c r="J130" s="74"/>
      <c r="K130" s="72"/>
      <c r="L130" s="133"/>
      <c r="M130" s="133"/>
    </row>
    <row r="131" spans="1:13" ht="30" customHeight="1" x14ac:dyDescent="0.3">
      <c r="A131" s="21"/>
      <c r="B131" s="56"/>
      <c r="C131" s="63" t="s">
        <v>1281</v>
      </c>
      <c r="D131" s="189" t="s">
        <v>2350</v>
      </c>
      <c r="E131" s="190"/>
      <c r="F131" s="190"/>
      <c r="G131" s="75"/>
      <c r="H131" s="75"/>
      <c r="I131" s="75"/>
      <c r="J131" s="75"/>
      <c r="K131" s="71"/>
      <c r="L131" s="133"/>
      <c r="M131" s="133"/>
    </row>
    <row r="132" spans="1:13" ht="22.8" customHeight="1" x14ac:dyDescent="0.3">
      <c r="A132" s="21"/>
      <c r="B132" s="56"/>
      <c r="C132" s="56"/>
      <c r="D132" s="56"/>
      <c r="E132" s="56"/>
      <c r="F132" s="56"/>
      <c r="G132" s="56"/>
      <c r="H132" s="56"/>
      <c r="I132" s="56"/>
      <c r="J132" s="56"/>
      <c r="K132" s="56"/>
      <c r="L132" s="56"/>
      <c r="M132" s="56"/>
    </row>
    <row r="133" spans="1:13" ht="27" customHeight="1" x14ac:dyDescent="0.3">
      <c r="A133" s="21"/>
      <c r="B133" s="56"/>
      <c r="C133" s="185" t="s">
        <v>293</v>
      </c>
      <c r="D133" s="185"/>
      <c r="E133" s="185"/>
      <c r="F133" s="185"/>
      <c r="G133" s="56"/>
      <c r="H133" s="56" t="s">
        <v>27</v>
      </c>
      <c r="I133" s="56"/>
      <c r="J133" s="56"/>
      <c r="K133" s="56" t="s">
        <v>294</v>
      </c>
      <c r="L133" s="56"/>
      <c r="M133" s="56"/>
    </row>
    <row r="134" spans="1:13" ht="12.6" customHeight="1" x14ac:dyDescent="0.35">
      <c r="A134" s="21"/>
      <c r="B134" s="67"/>
      <c r="C134" s="67"/>
      <c r="D134" s="67"/>
      <c r="E134" s="67"/>
      <c r="F134" s="67"/>
      <c r="G134" s="67"/>
      <c r="H134" s="67"/>
      <c r="I134" s="67"/>
      <c r="J134" s="67"/>
      <c r="K134" s="67"/>
      <c r="L134" s="67"/>
      <c r="M134" s="54"/>
    </row>
    <row r="137" spans="1:13" ht="11.4" customHeight="1" x14ac:dyDescent="0.3">
      <c r="A137" s="21"/>
      <c r="B137" s="21"/>
      <c r="C137" s="21"/>
      <c r="D137" s="21"/>
      <c r="E137" s="21"/>
      <c r="F137" s="21"/>
      <c r="G137" s="21"/>
      <c r="H137" s="21"/>
      <c r="I137" s="21"/>
      <c r="J137" s="21"/>
      <c r="K137" s="21"/>
      <c r="L137" s="21"/>
      <c r="M137" s="21"/>
    </row>
    <row r="138" spans="1:13" ht="26.4" customHeight="1" x14ac:dyDescent="0.3">
      <c r="A138" s="21"/>
      <c r="B138" s="184" t="str">
        <f>Bracket!$C$1</f>
        <v>STAG GLOBAL CORPORATE CHAMPIONSHIP</v>
      </c>
      <c r="C138" s="184"/>
      <c r="D138" s="184"/>
      <c r="E138" s="184"/>
      <c r="F138" s="184"/>
      <c r="G138" s="184"/>
      <c r="H138" s="184"/>
      <c r="I138" s="184"/>
      <c r="J138" s="184"/>
      <c r="K138" s="184"/>
      <c r="L138" s="64"/>
      <c r="M138" s="64"/>
    </row>
    <row r="139" spans="1:13" ht="18" customHeight="1" x14ac:dyDescent="0.3">
      <c r="A139" s="21"/>
      <c r="B139" s="56" t="str">
        <f>REPLACE(Bracket!$C$2,1,9,"")</f>
        <v xml:space="preserve"> Men Doubles</v>
      </c>
      <c r="C139" s="62"/>
      <c r="D139" s="66"/>
      <c r="E139" s="66"/>
      <c r="F139" s="65" t="s">
        <v>2028</v>
      </c>
      <c r="G139" s="66"/>
      <c r="H139" s="66"/>
      <c r="I139" s="66" t="s">
        <v>72</v>
      </c>
      <c r="J139" s="65">
        <v>12</v>
      </c>
      <c r="K139" s="57"/>
      <c r="L139" s="57"/>
      <c r="M139" s="57"/>
    </row>
    <row r="140" spans="1:13" ht="15" customHeight="1" x14ac:dyDescent="0.3">
      <c r="A140" s="21"/>
      <c r="B140" s="56"/>
      <c r="C140" s="58"/>
      <c r="D140" s="185"/>
      <c r="E140" s="185"/>
      <c r="F140" s="60"/>
      <c r="G140" s="59"/>
      <c r="H140" s="59"/>
      <c r="I140" s="59"/>
      <c r="J140" s="59"/>
      <c r="K140" s="59"/>
      <c r="L140" s="59"/>
      <c r="M140" s="59"/>
    </row>
    <row r="141" spans="1:13" ht="17.399999999999999" customHeight="1" x14ac:dyDescent="0.3">
      <c r="A141" s="21"/>
      <c r="B141" s="56"/>
      <c r="C141" s="61" t="s">
        <v>947</v>
      </c>
      <c r="D141" s="186" t="s">
        <v>292</v>
      </c>
      <c r="E141" s="186"/>
      <c r="F141" s="187"/>
      <c r="G141" s="76">
        <v>1</v>
      </c>
      <c r="H141" s="76">
        <v>2</v>
      </c>
      <c r="I141" s="76">
        <v>3</v>
      </c>
      <c r="J141" s="76">
        <v>4</v>
      </c>
      <c r="K141" s="73">
        <v>5</v>
      </c>
      <c r="L141" s="60"/>
      <c r="M141" s="60"/>
    </row>
    <row r="142" spans="1:13" ht="30" customHeight="1" x14ac:dyDescent="0.3">
      <c r="A142" s="21"/>
      <c r="B142" s="56"/>
      <c r="C142" s="63" t="s">
        <v>1281</v>
      </c>
      <c r="D142" s="188" t="s">
        <v>2349</v>
      </c>
      <c r="E142" s="188"/>
      <c r="F142" s="189"/>
      <c r="G142" s="74"/>
      <c r="H142" s="74"/>
      <c r="I142" s="74"/>
      <c r="J142" s="74"/>
      <c r="K142" s="72"/>
      <c r="L142" s="133"/>
      <c r="M142" s="133"/>
    </row>
    <row r="143" spans="1:13" ht="30" customHeight="1" x14ac:dyDescent="0.3">
      <c r="A143" s="21"/>
      <c r="B143" s="56"/>
      <c r="C143" s="63" t="s">
        <v>1281</v>
      </c>
      <c r="D143" s="189" t="s">
        <v>2350</v>
      </c>
      <c r="E143" s="190"/>
      <c r="F143" s="190"/>
      <c r="G143" s="75"/>
      <c r="H143" s="75"/>
      <c r="I143" s="75"/>
      <c r="J143" s="75"/>
      <c r="K143" s="71"/>
      <c r="L143" s="133"/>
      <c r="M143" s="133"/>
    </row>
    <row r="144" spans="1:13" ht="22.8" customHeight="1" x14ac:dyDescent="0.3">
      <c r="A144" s="21"/>
      <c r="B144" s="56"/>
      <c r="C144" s="56"/>
      <c r="D144" s="56"/>
      <c r="E144" s="56"/>
      <c r="F144" s="56"/>
      <c r="G144" s="56"/>
      <c r="H144" s="56"/>
      <c r="I144" s="56"/>
      <c r="J144" s="56"/>
      <c r="K144" s="56"/>
      <c r="L144" s="56"/>
      <c r="M144" s="56"/>
    </row>
    <row r="145" spans="1:13" ht="27" customHeight="1" x14ac:dyDescent="0.3">
      <c r="A145" s="21"/>
      <c r="B145" s="56"/>
      <c r="C145" s="185" t="s">
        <v>293</v>
      </c>
      <c r="D145" s="185"/>
      <c r="E145" s="185"/>
      <c r="F145" s="185"/>
      <c r="G145" s="56"/>
      <c r="H145" s="56" t="s">
        <v>27</v>
      </c>
      <c r="I145" s="56"/>
      <c r="J145" s="56"/>
      <c r="K145" s="56" t="s">
        <v>294</v>
      </c>
      <c r="L145" s="56"/>
      <c r="M145" s="56"/>
    </row>
    <row r="146" spans="1:13" ht="12.6" customHeight="1" x14ac:dyDescent="0.35">
      <c r="A146" s="21"/>
      <c r="B146" s="67"/>
      <c r="C146" s="67"/>
      <c r="D146" s="67"/>
      <c r="E146" s="67"/>
      <c r="F146" s="67"/>
      <c r="G146" s="67"/>
      <c r="H146" s="67"/>
      <c r="I146" s="67"/>
      <c r="J146" s="67"/>
      <c r="K146" s="67"/>
      <c r="L146" s="67"/>
      <c r="M146" s="54"/>
    </row>
    <row r="149" spans="1:13" ht="11.4" customHeight="1" x14ac:dyDescent="0.3">
      <c r="A149" s="21"/>
      <c r="B149" s="21"/>
      <c r="C149" s="21"/>
      <c r="D149" s="21"/>
      <c r="E149" s="21"/>
      <c r="F149" s="21"/>
      <c r="G149" s="21"/>
      <c r="H149" s="21"/>
      <c r="I149" s="21"/>
      <c r="J149" s="21"/>
      <c r="K149" s="21"/>
      <c r="L149" s="21"/>
      <c r="M149" s="21"/>
    </row>
    <row r="150" spans="1:13" ht="26.4" customHeight="1" x14ac:dyDescent="0.3">
      <c r="A150" s="21"/>
      <c r="B150" s="184" t="str">
        <f>Bracket!$C$1</f>
        <v>STAG GLOBAL CORPORATE CHAMPIONSHIP</v>
      </c>
      <c r="C150" s="184"/>
      <c r="D150" s="184"/>
      <c r="E150" s="184"/>
      <c r="F150" s="184"/>
      <c r="G150" s="184"/>
      <c r="H150" s="184"/>
      <c r="I150" s="184"/>
      <c r="J150" s="184"/>
      <c r="K150" s="184"/>
      <c r="L150" s="64"/>
      <c r="M150" s="64"/>
    </row>
    <row r="151" spans="1:13" ht="18" customHeight="1" x14ac:dyDescent="0.3">
      <c r="A151" s="21"/>
      <c r="B151" s="56" t="str">
        <f>REPLACE(Bracket!$C$2,1,9,"")</f>
        <v xml:space="preserve"> Men Doubles</v>
      </c>
      <c r="C151" s="62"/>
      <c r="D151" s="66"/>
      <c r="E151" s="66"/>
      <c r="F151" s="65" t="s">
        <v>2029</v>
      </c>
      <c r="G151" s="66"/>
      <c r="H151" s="66"/>
      <c r="I151" s="66" t="s">
        <v>72</v>
      </c>
      <c r="J151" s="65">
        <v>13</v>
      </c>
      <c r="K151" s="57"/>
      <c r="L151" s="57"/>
      <c r="M151" s="57"/>
    </row>
    <row r="152" spans="1:13" ht="15" customHeight="1" x14ac:dyDescent="0.3">
      <c r="A152" s="21"/>
      <c r="B152" s="56"/>
      <c r="C152" s="58"/>
      <c r="D152" s="185"/>
      <c r="E152" s="185"/>
      <c r="F152" s="60"/>
      <c r="G152" s="59"/>
      <c r="H152" s="59"/>
      <c r="I152" s="59"/>
      <c r="J152" s="59"/>
      <c r="K152" s="59"/>
      <c r="L152" s="59"/>
      <c r="M152" s="59"/>
    </row>
    <row r="153" spans="1:13" ht="17.399999999999999" customHeight="1" x14ac:dyDescent="0.3">
      <c r="A153" s="21"/>
      <c r="B153" s="56"/>
      <c r="C153" s="61" t="s">
        <v>947</v>
      </c>
      <c r="D153" s="186" t="s">
        <v>292</v>
      </c>
      <c r="E153" s="186"/>
      <c r="F153" s="187"/>
      <c r="G153" s="76">
        <v>1</v>
      </c>
      <c r="H153" s="76">
        <v>2</v>
      </c>
      <c r="I153" s="76">
        <v>3</v>
      </c>
      <c r="J153" s="76">
        <v>4</v>
      </c>
      <c r="K153" s="73">
        <v>5</v>
      </c>
      <c r="L153" s="60"/>
      <c r="M153" s="60"/>
    </row>
    <row r="154" spans="1:13" ht="30" customHeight="1" x14ac:dyDescent="0.3">
      <c r="A154" s="21"/>
      <c r="B154" s="56"/>
      <c r="C154" s="63" t="s">
        <v>1281</v>
      </c>
      <c r="D154" s="188" t="s">
        <v>2351</v>
      </c>
      <c r="E154" s="188"/>
      <c r="F154" s="189"/>
      <c r="G154" s="74"/>
      <c r="H154" s="74"/>
      <c r="I154" s="74"/>
      <c r="J154" s="74"/>
      <c r="K154" s="72"/>
      <c r="L154" s="133"/>
      <c r="M154" s="133"/>
    </row>
    <row r="155" spans="1:13" ht="30" customHeight="1" x14ac:dyDescent="0.3">
      <c r="A155" s="21"/>
      <c r="B155" s="56"/>
      <c r="C155" s="63" t="s">
        <v>1281</v>
      </c>
      <c r="D155" s="189" t="s">
        <v>2352</v>
      </c>
      <c r="E155" s="190"/>
      <c r="F155" s="190"/>
      <c r="G155" s="75"/>
      <c r="H155" s="75"/>
      <c r="I155" s="75"/>
      <c r="J155" s="75"/>
      <c r="K155" s="71"/>
      <c r="L155" s="133"/>
      <c r="M155" s="133"/>
    </row>
    <row r="156" spans="1:13" ht="22.8" customHeight="1" x14ac:dyDescent="0.3">
      <c r="A156" s="21"/>
      <c r="B156" s="56"/>
      <c r="C156" s="56"/>
      <c r="D156" s="56"/>
      <c r="E156" s="56"/>
      <c r="F156" s="56"/>
      <c r="G156" s="56"/>
      <c r="H156" s="56"/>
      <c r="I156" s="56"/>
      <c r="J156" s="56"/>
      <c r="K156" s="56"/>
      <c r="L156" s="56"/>
      <c r="M156" s="56"/>
    </row>
    <row r="157" spans="1:13" ht="27" customHeight="1" x14ac:dyDescent="0.3">
      <c r="A157" s="21"/>
      <c r="B157" s="56"/>
      <c r="C157" s="185" t="s">
        <v>293</v>
      </c>
      <c r="D157" s="185"/>
      <c r="E157" s="185"/>
      <c r="F157" s="185"/>
      <c r="G157" s="56"/>
      <c r="H157" s="56" t="s">
        <v>27</v>
      </c>
      <c r="I157" s="56"/>
      <c r="J157" s="56"/>
      <c r="K157" s="56" t="s">
        <v>294</v>
      </c>
      <c r="L157" s="56"/>
      <c r="M157" s="56"/>
    </row>
    <row r="158" spans="1:13" ht="12.6" customHeight="1" x14ac:dyDescent="0.35">
      <c r="A158" s="21"/>
      <c r="B158" s="67"/>
      <c r="C158" s="67"/>
      <c r="D158" s="67"/>
      <c r="E158" s="67"/>
      <c r="F158" s="67"/>
      <c r="G158" s="67"/>
      <c r="H158" s="67"/>
      <c r="I158" s="67"/>
      <c r="J158" s="67"/>
      <c r="K158" s="67"/>
      <c r="L158" s="67"/>
      <c r="M158" s="54"/>
    </row>
    <row r="161" spans="1:13" ht="11.4" customHeight="1" x14ac:dyDescent="0.3">
      <c r="A161" s="21"/>
      <c r="B161" s="21"/>
      <c r="C161" s="21"/>
      <c r="D161" s="21"/>
      <c r="E161" s="21"/>
      <c r="F161" s="21"/>
      <c r="G161" s="21"/>
      <c r="H161" s="21"/>
      <c r="I161" s="21"/>
      <c r="J161" s="21"/>
      <c r="K161" s="21"/>
      <c r="L161" s="21"/>
      <c r="M161" s="21"/>
    </row>
    <row r="162" spans="1:13" ht="26.4" customHeight="1" x14ac:dyDescent="0.3">
      <c r="A162" s="21"/>
      <c r="B162" s="184" t="str">
        <f>Bracket!$C$1</f>
        <v>STAG GLOBAL CORPORATE CHAMPIONSHIP</v>
      </c>
      <c r="C162" s="184"/>
      <c r="D162" s="184"/>
      <c r="E162" s="184"/>
      <c r="F162" s="184"/>
      <c r="G162" s="184"/>
      <c r="H162" s="184"/>
      <c r="I162" s="184"/>
      <c r="J162" s="184"/>
      <c r="K162" s="184"/>
      <c r="L162" s="64"/>
      <c r="M162" s="64"/>
    </row>
    <row r="163" spans="1:13" ht="18" customHeight="1" x14ac:dyDescent="0.3">
      <c r="A163" s="21"/>
      <c r="B163" s="56" t="str">
        <f>REPLACE(Bracket!$C$2,1,9,"")</f>
        <v xml:space="preserve"> Men Doubles</v>
      </c>
      <c r="C163" s="62"/>
      <c r="D163" s="66"/>
      <c r="E163" s="66"/>
      <c r="F163" s="65" t="s">
        <v>2029</v>
      </c>
      <c r="G163" s="66"/>
      <c r="H163" s="66"/>
      <c r="I163" s="66" t="s">
        <v>72</v>
      </c>
      <c r="J163" s="65">
        <v>14</v>
      </c>
      <c r="K163" s="57"/>
      <c r="L163" s="57"/>
      <c r="M163" s="57"/>
    </row>
    <row r="164" spans="1:13" ht="15" customHeight="1" x14ac:dyDescent="0.3">
      <c r="A164" s="21"/>
      <c r="B164" s="56"/>
      <c r="C164" s="58"/>
      <c r="D164" s="185"/>
      <c r="E164" s="185"/>
      <c r="F164" s="60"/>
      <c r="G164" s="59"/>
      <c r="H164" s="59"/>
      <c r="I164" s="59"/>
      <c r="J164" s="59"/>
      <c r="K164" s="59"/>
      <c r="L164" s="59"/>
      <c r="M164" s="59"/>
    </row>
    <row r="165" spans="1:13" ht="17.399999999999999" customHeight="1" x14ac:dyDescent="0.3">
      <c r="A165" s="21"/>
      <c r="B165" s="56"/>
      <c r="C165" s="61" t="s">
        <v>947</v>
      </c>
      <c r="D165" s="186" t="s">
        <v>292</v>
      </c>
      <c r="E165" s="186"/>
      <c r="F165" s="187"/>
      <c r="G165" s="76">
        <v>1</v>
      </c>
      <c r="H165" s="76">
        <v>2</v>
      </c>
      <c r="I165" s="76">
        <v>3</v>
      </c>
      <c r="J165" s="76">
        <v>4</v>
      </c>
      <c r="K165" s="73">
        <v>5</v>
      </c>
      <c r="L165" s="60"/>
      <c r="M165" s="60"/>
    </row>
    <row r="166" spans="1:13" ht="30" customHeight="1" x14ac:dyDescent="0.3">
      <c r="A166" s="21"/>
      <c r="B166" s="56"/>
      <c r="C166" s="63" t="s">
        <v>1281</v>
      </c>
      <c r="D166" s="188" t="s">
        <v>2351</v>
      </c>
      <c r="E166" s="188"/>
      <c r="F166" s="189"/>
      <c r="G166" s="74"/>
      <c r="H166" s="74"/>
      <c r="I166" s="74"/>
      <c r="J166" s="74"/>
      <c r="K166" s="72"/>
      <c r="L166" s="133"/>
      <c r="M166" s="133"/>
    </row>
    <row r="167" spans="1:13" ht="30" customHeight="1" x14ac:dyDescent="0.3">
      <c r="A167" s="21"/>
      <c r="B167" s="56"/>
      <c r="C167" s="63" t="s">
        <v>1281</v>
      </c>
      <c r="D167" s="189" t="s">
        <v>2353</v>
      </c>
      <c r="E167" s="190"/>
      <c r="F167" s="190"/>
      <c r="G167" s="75"/>
      <c r="H167" s="75"/>
      <c r="I167" s="75"/>
      <c r="J167" s="75"/>
      <c r="K167" s="71"/>
      <c r="L167" s="133"/>
      <c r="M167" s="133"/>
    </row>
    <row r="168" spans="1:13" ht="22.8" customHeight="1" x14ac:dyDescent="0.3">
      <c r="A168" s="21"/>
      <c r="B168" s="56"/>
      <c r="C168" s="56"/>
      <c r="D168" s="56"/>
      <c r="E168" s="56"/>
      <c r="F168" s="56"/>
      <c r="G168" s="56"/>
      <c r="H168" s="56"/>
      <c r="I168" s="56"/>
      <c r="J168" s="56"/>
      <c r="K168" s="56"/>
      <c r="L168" s="56"/>
      <c r="M168" s="56"/>
    </row>
    <row r="169" spans="1:13" ht="27" customHeight="1" x14ac:dyDescent="0.3">
      <c r="A169" s="21"/>
      <c r="B169" s="56"/>
      <c r="C169" s="185" t="s">
        <v>293</v>
      </c>
      <c r="D169" s="185"/>
      <c r="E169" s="185"/>
      <c r="F169" s="185"/>
      <c r="G169" s="56"/>
      <c r="H169" s="56" t="s">
        <v>27</v>
      </c>
      <c r="I169" s="56"/>
      <c r="J169" s="56"/>
      <c r="K169" s="56" t="s">
        <v>294</v>
      </c>
      <c r="L169" s="56"/>
      <c r="M169" s="56"/>
    </row>
    <row r="170" spans="1:13" ht="12.6" customHeight="1" x14ac:dyDescent="0.35">
      <c r="A170" s="21"/>
      <c r="B170" s="67"/>
      <c r="C170" s="67"/>
      <c r="D170" s="67"/>
      <c r="E170" s="67"/>
      <c r="F170" s="67"/>
      <c r="G170" s="67"/>
      <c r="H170" s="67"/>
      <c r="I170" s="67"/>
      <c r="J170" s="67"/>
      <c r="K170" s="67"/>
      <c r="L170" s="67"/>
      <c r="M170" s="54"/>
    </row>
    <row r="173" spans="1:13" ht="11.4" customHeight="1" x14ac:dyDescent="0.3">
      <c r="A173" s="21"/>
      <c r="B173" s="21"/>
      <c r="C173" s="21"/>
      <c r="D173" s="21"/>
      <c r="E173" s="21"/>
      <c r="F173" s="21"/>
      <c r="G173" s="21"/>
      <c r="H173" s="21"/>
      <c r="I173" s="21"/>
      <c r="J173" s="21"/>
      <c r="K173" s="21"/>
      <c r="L173" s="21"/>
      <c r="M173" s="21"/>
    </row>
    <row r="174" spans="1:13" ht="26.4" customHeight="1" x14ac:dyDescent="0.3">
      <c r="A174" s="21"/>
      <c r="B174" s="184" t="str">
        <f>Bracket!$C$1</f>
        <v>STAG GLOBAL CORPORATE CHAMPIONSHIP</v>
      </c>
      <c r="C174" s="184"/>
      <c r="D174" s="184"/>
      <c r="E174" s="184"/>
      <c r="F174" s="184"/>
      <c r="G174" s="184"/>
      <c r="H174" s="184"/>
      <c r="I174" s="184"/>
      <c r="J174" s="184"/>
      <c r="K174" s="184"/>
      <c r="L174" s="64"/>
      <c r="M174" s="64"/>
    </row>
    <row r="175" spans="1:13" ht="18" customHeight="1" x14ac:dyDescent="0.3">
      <c r="A175" s="21"/>
      <c r="B175" s="56" t="str">
        <f>REPLACE(Bracket!$C$2,1,9,"")</f>
        <v xml:space="preserve"> Men Doubles</v>
      </c>
      <c r="C175" s="62"/>
      <c r="D175" s="66"/>
      <c r="E175" s="66"/>
      <c r="F175" s="65" t="s">
        <v>2029</v>
      </c>
      <c r="G175" s="66"/>
      <c r="H175" s="66"/>
      <c r="I175" s="66" t="s">
        <v>72</v>
      </c>
      <c r="J175" s="65">
        <v>15</v>
      </c>
      <c r="K175" s="57"/>
      <c r="L175" s="57"/>
      <c r="M175" s="57"/>
    </row>
    <row r="176" spans="1:13" ht="15" customHeight="1" x14ac:dyDescent="0.3">
      <c r="A176" s="21"/>
      <c r="B176" s="56"/>
      <c r="C176" s="58"/>
      <c r="D176" s="185"/>
      <c r="E176" s="185"/>
      <c r="F176" s="60"/>
      <c r="G176" s="59"/>
      <c r="H176" s="59"/>
      <c r="I176" s="59"/>
      <c r="J176" s="59"/>
      <c r="K176" s="59"/>
      <c r="L176" s="59"/>
      <c r="M176" s="59"/>
    </row>
    <row r="177" spans="1:13" ht="17.399999999999999" customHeight="1" x14ac:dyDescent="0.3">
      <c r="A177" s="21"/>
      <c r="B177" s="56"/>
      <c r="C177" s="61" t="s">
        <v>947</v>
      </c>
      <c r="D177" s="186" t="s">
        <v>292</v>
      </c>
      <c r="E177" s="186"/>
      <c r="F177" s="187"/>
      <c r="G177" s="76">
        <v>1</v>
      </c>
      <c r="H177" s="76">
        <v>2</v>
      </c>
      <c r="I177" s="76">
        <v>3</v>
      </c>
      <c r="J177" s="76">
        <v>4</v>
      </c>
      <c r="K177" s="73">
        <v>5</v>
      </c>
      <c r="L177" s="60"/>
      <c r="M177" s="60"/>
    </row>
    <row r="178" spans="1:13" ht="30" customHeight="1" x14ac:dyDescent="0.3">
      <c r="A178" s="21"/>
      <c r="B178" s="56"/>
      <c r="C178" s="63" t="s">
        <v>1281</v>
      </c>
      <c r="D178" s="188" t="s">
        <v>2351</v>
      </c>
      <c r="E178" s="188"/>
      <c r="F178" s="189"/>
      <c r="G178" s="74"/>
      <c r="H178" s="74"/>
      <c r="I178" s="74"/>
      <c r="J178" s="74"/>
      <c r="K178" s="72"/>
      <c r="L178" s="133"/>
      <c r="M178" s="133"/>
    </row>
    <row r="179" spans="1:13" ht="30" customHeight="1" x14ac:dyDescent="0.3">
      <c r="A179" s="21"/>
      <c r="B179" s="56"/>
      <c r="C179" s="63" t="s">
        <v>1281</v>
      </c>
      <c r="D179" s="189" t="s">
        <v>2354</v>
      </c>
      <c r="E179" s="190"/>
      <c r="F179" s="190"/>
      <c r="G179" s="75"/>
      <c r="H179" s="75"/>
      <c r="I179" s="75"/>
      <c r="J179" s="75"/>
      <c r="K179" s="71"/>
      <c r="L179" s="133"/>
      <c r="M179" s="133"/>
    </row>
    <row r="180" spans="1:13" ht="22.8" customHeight="1" x14ac:dyDescent="0.3">
      <c r="A180" s="21"/>
      <c r="B180" s="56"/>
      <c r="C180" s="56"/>
      <c r="D180" s="56"/>
      <c r="E180" s="56"/>
      <c r="F180" s="56"/>
      <c r="G180" s="56"/>
      <c r="H180" s="56"/>
      <c r="I180" s="56"/>
      <c r="J180" s="56"/>
      <c r="K180" s="56"/>
      <c r="L180" s="56"/>
      <c r="M180" s="56"/>
    </row>
    <row r="181" spans="1:13" ht="27" customHeight="1" x14ac:dyDescent="0.3">
      <c r="A181" s="21"/>
      <c r="B181" s="56"/>
      <c r="C181" s="185" t="s">
        <v>293</v>
      </c>
      <c r="D181" s="185"/>
      <c r="E181" s="185"/>
      <c r="F181" s="185"/>
      <c r="G181" s="56"/>
      <c r="H181" s="56" t="s">
        <v>27</v>
      </c>
      <c r="I181" s="56"/>
      <c r="J181" s="56"/>
      <c r="K181" s="56" t="s">
        <v>294</v>
      </c>
      <c r="L181" s="56"/>
      <c r="M181" s="56"/>
    </row>
    <row r="182" spans="1:13" ht="12.6" customHeight="1" x14ac:dyDescent="0.35">
      <c r="A182" s="21"/>
      <c r="B182" s="67"/>
      <c r="C182" s="67"/>
      <c r="D182" s="67"/>
      <c r="E182" s="67"/>
      <c r="F182" s="67"/>
      <c r="G182" s="67"/>
      <c r="H182" s="67"/>
      <c r="I182" s="67"/>
      <c r="J182" s="67"/>
      <c r="K182" s="67"/>
      <c r="L182" s="67"/>
      <c r="M182" s="54"/>
    </row>
    <row r="185" spans="1:13" ht="11.4" customHeight="1" x14ac:dyDescent="0.3">
      <c r="A185" s="21"/>
      <c r="B185" s="21"/>
      <c r="C185" s="21"/>
      <c r="D185" s="21"/>
      <c r="E185" s="21"/>
      <c r="F185" s="21"/>
      <c r="G185" s="21"/>
      <c r="H185" s="21"/>
      <c r="I185" s="21"/>
      <c r="J185" s="21"/>
      <c r="K185" s="21"/>
      <c r="L185" s="21"/>
      <c r="M185" s="21"/>
    </row>
    <row r="186" spans="1:13" ht="26.4" customHeight="1" x14ac:dyDescent="0.3">
      <c r="A186" s="21"/>
      <c r="B186" s="184" t="str">
        <f>Bracket!$C$1</f>
        <v>STAG GLOBAL CORPORATE CHAMPIONSHIP</v>
      </c>
      <c r="C186" s="184"/>
      <c r="D186" s="184"/>
      <c r="E186" s="184"/>
      <c r="F186" s="184"/>
      <c r="G186" s="184"/>
      <c r="H186" s="184"/>
      <c r="I186" s="184"/>
      <c r="J186" s="184"/>
      <c r="K186" s="184"/>
      <c r="L186" s="64"/>
      <c r="M186" s="64"/>
    </row>
    <row r="187" spans="1:13" ht="18" customHeight="1" x14ac:dyDescent="0.3">
      <c r="A187" s="21"/>
      <c r="B187" s="56" t="str">
        <f>REPLACE(Bracket!$C$2,1,9,"")</f>
        <v xml:space="preserve"> Men Doubles</v>
      </c>
      <c r="C187" s="62"/>
      <c r="D187" s="66"/>
      <c r="E187" s="66"/>
      <c r="F187" s="65" t="s">
        <v>2029</v>
      </c>
      <c r="G187" s="66"/>
      <c r="H187" s="66"/>
      <c r="I187" s="66" t="s">
        <v>72</v>
      </c>
      <c r="J187" s="65">
        <v>16</v>
      </c>
      <c r="K187" s="57"/>
      <c r="L187" s="57"/>
      <c r="M187" s="57"/>
    </row>
    <row r="188" spans="1:13" ht="15" customHeight="1" x14ac:dyDescent="0.3">
      <c r="A188" s="21"/>
      <c r="B188" s="56"/>
      <c r="C188" s="58"/>
      <c r="D188" s="185"/>
      <c r="E188" s="185"/>
      <c r="F188" s="60"/>
      <c r="G188" s="59"/>
      <c r="H188" s="59"/>
      <c r="I188" s="59"/>
      <c r="J188" s="59"/>
      <c r="K188" s="59"/>
      <c r="L188" s="59"/>
      <c r="M188" s="59"/>
    </row>
    <row r="189" spans="1:13" ht="17.399999999999999" customHeight="1" x14ac:dyDescent="0.3">
      <c r="A189" s="21"/>
      <c r="B189" s="56"/>
      <c r="C189" s="61" t="s">
        <v>947</v>
      </c>
      <c r="D189" s="186" t="s">
        <v>292</v>
      </c>
      <c r="E189" s="186"/>
      <c r="F189" s="187"/>
      <c r="G189" s="76">
        <v>1</v>
      </c>
      <c r="H189" s="76">
        <v>2</v>
      </c>
      <c r="I189" s="76">
        <v>3</v>
      </c>
      <c r="J189" s="76">
        <v>4</v>
      </c>
      <c r="K189" s="73">
        <v>5</v>
      </c>
      <c r="L189" s="60"/>
      <c r="M189" s="60"/>
    </row>
    <row r="190" spans="1:13" ht="30" customHeight="1" x14ac:dyDescent="0.3">
      <c r="A190" s="21"/>
      <c r="B190" s="56"/>
      <c r="C190" s="63" t="s">
        <v>1281</v>
      </c>
      <c r="D190" s="188" t="s">
        <v>2352</v>
      </c>
      <c r="E190" s="188"/>
      <c r="F190" s="189"/>
      <c r="G190" s="74"/>
      <c r="H190" s="74"/>
      <c r="I190" s="74"/>
      <c r="J190" s="74"/>
      <c r="K190" s="72"/>
      <c r="L190" s="133"/>
      <c r="M190" s="133"/>
    </row>
    <row r="191" spans="1:13" ht="30" customHeight="1" x14ac:dyDescent="0.3">
      <c r="A191" s="21"/>
      <c r="B191" s="56"/>
      <c r="C191" s="63" t="s">
        <v>1281</v>
      </c>
      <c r="D191" s="189" t="s">
        <v>2353</v>
      </c>
      <c r="E191" s="190"/>
      <c r="F191" s="190"/>
      <c r="G191" s="75"/>
      <c r="H191" s="75"/>
      <c r="I191" s="75"/>
      <c r="J191" s="75"/>
      <c r="K191" s="71"/>
      <c r="L191" s="133"/>
      <c r="M191" s="133"/>
    </row>
    <row r="192" spans="1:13" ht="22.8" customHeight="1" x14ac:dyDescent="0.3">
      <c r="A192" s="21"/>
      <c r="B192" s="56"/>
      <c r="C192" s="56"/>
      <c r="D192" s="56"/>
      <c r="E192" s="56"/>
      <c r="F192" s="56"/>
      <c r="G192" s="56"/>
      <c r="H192" s="56"/>
      <c r="I192" s="56"/>
      <c r="J192" s="56"/>
      <c r="K192" s="56"/>
      <c r="L192" s="56"/>
      <c r="M192" s="56"/>
    </row>
    <row r="193" spans="1:13" ht="27" customHeight="1" x14ac:dyDescent="0.3">
      <c r="A193" s="21"/>
      <c r="B193" s="56"/>
      <c r="C193" s="185" t="s">
        <v>293</v>
      </c>
      <c r="D193" s="185"/>
      <c r="E193" s="185"/>
      <c r="F193" s="185"/>
      <c r="G193" s="56"/>
      <c r="H193" s="56" t="s">
        <v>27</v>
      </c>
      <c r="I193" s="56"/>
      <c r="J193" s="56"/>
      <c r="K193" s="56" t="s">
        <v>294</v>
      </c>
      <c r="L193" s="56"/>
      <c r="M193" s="56"/>
    </row>
    <row r="194" spans="1:13" ht="12.6" customHeight="1" x14ac:dyDescent="0.35">
      <c r="A194" s="21"/>
      <c r="B194" s="67"/>
      <c r="C194" s="67"/>
      <c r="D194" s="67"/>
      <c r="E194" s="67"/>
      <c r="F194" s="67"/>
      <c r="G194" s="67"/>
      <c r="H194" s="67"/>
      <c r="I194" s="67"/>
      <c r="J194" s="67"/>
      <c r="K194" s="67"/>
      <c r="L194" s="67"/>
      <c r="M194" s="54"/>
    </row>
    <row r="197" spans="1:13" ht="11.4" customHeight="1" x14ac:dyDescent="0.3">
      <c r="A197" s="21"/>
      <c r="B197" s="21"/>
      <c r="C197" s="21"/>
      <c r="D197" s="21"/>
      <c r="E197" s="21"/>
      <c r="F197" s="21"/>
      <c r="G197" s="21"/>
      <c r="H197" s="21"/>
      <c r="I197" s="21"/>
      <c r="J197" s="21"/>
      <c r="K197" s="21"/>
      <c r="L197" s="21"/>
      <c r="M197" s="21"/>
    </row>
    <row r="198" spans="1:13" ht="26.4" customHeight="1" x14ac:dyDescent="0.3">
      <c r="A198" s="21"/>
      <c r="B198" s="184" t="str">
        <f>Bracket!$C$1</f>
        <v>STAG GLOBAL CORPORATE CHAMPIONSHIP</v>
      </c>
      <c r="C198" s="184"/>
      <c r="D198" s="184"/>
      <c r="E198" s="184"/>
      <c r="F198" s="184"/>
      <c r="G198" s="184"/>
      <c r="H198" s="184"/>
      <c r="I198" s="184"/>
      <c r="J198" s="184"/>
      <c r="K198" s="184"/>
      <c r="L198" s="64"/>
      <c r="M198" s="64"/>
    </row>
    <row r="199" spans="1:13" ht="18" customHeight="1" x14ac:dyDescent="0.3">
      <c r="A199" s="21"/>
      <c r="B199" s="56" t="str">
        <f>REPLACE(Bracket!$C$2,1,9,"")</f>
        <v xml:space="preserve"> Men Doubles</v>
      </c>
      <c r="C199" s="62"/>
      <c r="D199" s="66"/>
      <c r="E199" s="66"/>
      <c r="F199" s="65" t="s">
        <v>2029</v>
      </c>
      <c r="G199" s="66"/>
      <c r="H199" s="66"/>
      <c r="I199" s="66" t="s">
        <v>72</v>
      </c>
      <c r="J199" s="65">
        <v>17</v>
      </c>
      <c r="K199" s="57"/>
      <c r="L199" s="57"/>
      <c r="M199" s="57"/>
    </row>
    <row r="200" spans="1:13" ht="15" customHeight="1" x14ac:dyDescent="0.3">
      <c r="A200" s="21"/>
      <c r="B200" s="56"/>
      <c r="C200" s="58"/>
      <c r="D200" s="185"/>
      <c r="E200" s="185"/>
      <c r="F200" s="60"/>
      <c r="G200" s="59"/>
      <c r="H200" s="59"/>
      <c r="I200" s="59"/>
      <c r="J200" s="59"/>
      <c r="K200" s="59"/>
      <c r="L200" s="59"/>
      <c r="M200" s="59"/>
    </row>
    <row r="201" spans="1:13" ht="17.399999999999999" customHeight="1" x14ac:dyDescent="0.3">
      <c r="A201" s="21"/>
      <c r="B201" s="56"/>
      <c r="C201" s="61" t="s">
        <v>947</v>
      </c>
      <c r="D201" s="186" t="s">
        <v>292</v>
      </c>
      <c r="E201" s="186"/>
      <c r="F201" s="187"/>
      <c r="G201" s="76">
        <v>1</v>
      </c>
      <c r="H201" s="76">
        <v>2</v>
      </c>
      <c r="I201" s="76">
        <v>3</v>
      </c>
      <c r="J201" s="76">
        <v>4</v>
      </c>
      <c r="K201" s="73">
        <v>5</v>
      </c>
      <c r="L201" s="60"/>
      <c r="M201" s="60"/>
    </row>
    <row r="202" spans="1:13" ht="30" customHeight="1" x14ac:dyDescent="0.3">
      <c r="A202" s="21"/>
      <c r="B202" s="56"/>
      <c r="C202" s="63" t="s">
        <v>1281</v>
      </c>
      <c r="D202" s="188" t="s">
        <v>2352</v>
      </c>
      <c r="E202" s="188"/>
      <c r="F202" s="189"/>
      <c r="G202" s="74"/>
      <c r="H202" s="74"/>
      <c r="I202" s="74"/>
      <c r="J202" s="74"/>
      <c r="K202" s="72"/>
      <c r="L202" s="133"/>
      <c r="M202" s="133"/>
    </row>
    <row r="203" spans="1:13" ht="30" customHeight="1" x14ac:dyDescent="0.3">
      <c r="A203" s="21"/>
      <c r="B203" s="56"/>
      <c r="C203" s="63" t="s">
        <v>1281</v>
      </c>
      <c r="D203" s="189" t="s">
        <v>2354</v>
      </c>
      <c r="E203" s="190"/>
      <c r="F203" s="190"/>
      <c r="G203" s="75"/>
      <c r="H203" s="75"/>
      <c r="I203" s="75"/>
      <c r="J203" s="75"/>
      <c r="K203" s="71"/>
      <c r="L203" s="133"/>
      <c r="M203" s="133"/>
    </row>
    <row r="204" spans="1:13" ht="22.8" customHeight="1" x14ac:dyDescent="0.3">
      <c r="A204" s="21"/>
      <c r="B204" s="56"/>
      <c r="C204" s="56"/>
      <c r="D204" s="56"/>
      <c r="E204" s="56"/>
      <c r="F204" s="56"/>
      <c r="G204" s="56"/>
      <c r="H204" s="56"/>
      <c r="I204" s="56"/>
      <c r="J204" s="56"/>
      <c r="K204" s="56"/>
      <c r="L204" s="56"/>
      <c r="M204" s="56"/>
    </row>
    <row r="205" spans="1:13" ht="27" customHeight="1" x14ac:dyDescent="0.3">
      <c r="A205" s="21"/>
      <c r="B205" s="56"/>
      <c r="C205" s="185" t="s">
        <v>293</v>
      </c>
      <c r="D205" s="185"/>
      <c r="E205" s="185"/>
      <c r="F205" s="185"/>
      <c r="G205" s="56"/>
      <c r="H205" s="56" t="s">
        <v>27</v>
      </c>
      <c r="I205" s="56"/>
      <c r="J205" s="56"/>
      <c r="K205" s="56" t="s">
        <v>294</v>
      </c>
      <c r="L205" s="56"/>
      <c r="M205" s="56"/>
    </row>
    <row r="206" spans="1:13" ht="12.6" customHeight="1" x14ac:dyDescent="0.35">
      <c r="A206" s="21"/>
      <c r="B206" s="67"/>
      <c r="C206" s="67"/>
      <c r="D206" s="67"/>
      <c r="E206" s="67"/>
      <c r="F206" s="67"/>
      <c r="G206" s="67"/>
      <c r="H206" s="67"/>
      <c r="I206" s="67"/>
      <c r="J206" s="67"/>
      <c r="K206" s="67"/>
      <c r="L206" s="67"/>
      <c r="M206" s="54"/>
    </row>
    <row r="209" spans="1:13" ht="11.4" customHeight="1" x14ac:dyDescent="0.3">
      <c r="A209" s="21"/>
      <c r="B209" s="21"/>
      <c r="C209" s="21"/>
      <c r="D209" s="21"/>
      <c r="E209" s="21"/>
      <c r="F209" s="21"/>
      <c r="G209" s="21"/>
      <c r="H209" s="21"/>
      <c r="I209" s="21"/>
      <c r="J209" s="21"/>
      <c r="K209" s="21"/>
      <c r="L209" s="21"/>
      <c r="M209" s="21"/>
    </row>
    <row r="210" spans="1:13" ht="26.4" customHeight="1" x14ac:dyDescent="0.3">
      <c r="A210" s="21"/>
      <c r="B210" s="184" t="str">
        <f>Bracket!$C$1</f>
        <v>STAG GLOBAL CORPORATE CHAMPIONSHIP</v>
      </c>
      <c r="C210" s="184"/>
      <c r="D210" s="184"/>
      <c r="E210" s="184"/>
      <c r="F210" s="184"/>
      <c r="G210" s="184"/>
      <c r="H210" s="184"/>
      <c r="I210" s="184"/>
      <c r="J210" s="184"/>
      <c r="K210" s="184"/>
      <c r="L210" s="64"/>
      <c r="M210" s="64"/>
    </row>
    <row r="211" spans="1:13" ht="18" customHeight="1" x14ac:dyDescent="0.3">
      <c r="A211" s="21"/>
      <c r="B211" s="56" t="str">
        <f>REPLACE(Bracket!$C$2,1,9,"")</f>
        <v xml:space="preserve"> Men Doubles</v>
      </c>
      <c r="C211" s="62"/>
      <c r="D211" s="66"/>
      <c r="E211" s="66"/>
      <c r="F211" s="65" t="s">
        <v>2029</v>
      </c>
      <c r="G211" s="66"/>
      <c r="H211" s="66"/>
      <c r="I211" s="66" t="s">
        <v>72</v>
      </c>
      <c r="J211" s="65">
        <v>18</v>
      </c>
      <c r="K211" s="57"/>
      <c r="L211" s="57"/>
      <c r="M211" s="57"/>
    </row>
    <row r="212" spans="1:13" ht="15" customHeight="1" x14ac:dyDescent="0.3">
      <c r="A212" s="21"/>
      <c r="B212" s="56"/>
      <c r="C212" s="58"/>
      <c r="D212" s="185"/>
      <c r="E212" s="185"/>
      <c r="F212" s="60"/>
      <c r="G212" s="59"/>
      <c r="H212" s="59"/>
      <c r="I212" s="59"/>
      <c r="J212" s="59"/>
      <c r="K212" s="59"/>
      <c r="L212" s="59"/>
      <c r="M212" s="59"/>
    </row>
    <row r="213" spans="1:13" ht="17.399999999999999" customHeight="1" x14ac:dyDescent="0.3">
      <c r="A213" s="21"/>
      <c r="B213" s="56"/>
      <c r="C213" s="61" t="s">
        <v>947</v>
      </c>
      <c r="D213" s="186" t="s">
        <v>292</v>
      </c>
      <c r="E213" s="186"/>
      <c r="F213" s="187"/>
      <c r="G213" s="76">
        <v>1</v>
      </c>
      <c r="H213" s="76">
        <v>2</v>
      </c>
      <c r="I213" s="76">
        <v>3</v>
      </c>
      <c r="J213" s="76">
        <v>4</v>
      </c>
      <c r="K213" s="73">
        <v>5</v>
      </c>
      <c r="L213" s="60"/>
      <c r="M213" s="60"/>
    </row>
    <row r="214" spans="1:13" ht="30" customHeight="1" x14ac:dyDescent="0.3">
      <c r="A214" s="21"/>
      <c r="B214" s="56"/>
      <c r="C214" s="63" t="s">
        <v>1281</v>
      </c>
      <c r="D214" s="188" t="s">
        <v>2353</v>
      </c>
      <c r="E214" s="188"/>
      <c r="F214" s="189"/>
      <c r="G214" s="74"/>
      <c r="H214" s="74"/>
      <c r="I214" s="74"/>
      <c r="J214" s="74"/>
      <c r="K214" s="72"/>
      <c r="L214" s="133"/>
      <c r="M214" s="133"/>
    </row>
    <row r="215" spans="1:13" ht="30" customHeight="1" x14ac:dyDescent="0.3">
      <c r="A215" s="21"/>
      <c r="B215" s="56"/>
      <c r="C215" s="63" t="s">
        <v>1281</v>
      </c>
      <c r="D215" s="189" t="s">
        <v>2354</v>
      </c>
      <c r="E215" s="190"/>
      <c r="F215" s="190"/>
      <c r="G215" s="75"/>
      <c r="H215" s="75"/>
      <c r="I215" s="75"/>
      <c r="J215" s="75"/>
      <c r="K215" s="71"/>
      <c r="L215" s="133"/>
      <c r="M215" s="133"/>
    </row>
    <row r="216" spans="1:13" ht="22.8" customHeight="1" x14ac:dyDescent="0.3">
      <c r="A216" s="21"/>
      <c r="B216" s="56"/>
      <c r="C216" s="56"/>
      <c r="D216" s="56"/>
      <c r="E216" s="56"/>
      <c r="F216" s="56"/>
      <c r="G216" s="56"/>
      <c r="H216" s="56"/>
      <c r="I216" s="56"/>
      <c r="J216" s="56"/>
      <c r="K216" s="56"/>
      <c r="L216" s="56"/>
      <c r="M216" s="56"/>
    </row>
    <row r="217" spans="1:13" ht="27" customHeight="1" x14ac:dyDescent="0.3">
      <c r="A217" s="21"/>
      <c r="B217" s="56"/>
      <c r="C217" s="185" t="s">
        <v>293</v>
      </c>
      <c r="D217" s="185"/>
      <c r="E217" s="185"/>
      <c r="F217" s="185"/>
      <c r="G217" s="56"/>
      <c r="H217" s="56" t="s">
        <v>27</v>
      </c>
      <c r="I217" s="56"/>
      <c r="J217" s="56"/>
      <c r="K217" s="56" t="s">
        <v>294</v>
      </c>
      <c r="L217" s="56"/>
      <c r="M217" s="56"/>
    </row>
    <row r="218" spans="1:13" ht="12.6" customHeight="1" x14ac:dyDescent="0.35">
      <c r="A218" s="21"/>
      <c r="B218" s="67"/>
      <c r="C218" s="67"/>
      <c r="D218" s="67"/>
      <c r="E218" s="67"/>
      <c r="F218" s="67"/>
      <c r="G218" s="67"/>
      <c r="H218" s="67"/>
      <c r="I218" s="67"/>
      <c r="J218" s="67"/>
      <c r="K218" s="67"/>
      <c r="L218" s="67"/>
      <c r="M218" s="54"/>
    </row>
    <row r="221" spans="1:13" ht="11.4" customHeight="1" x14ac:dyDescent="0.3">
      <c r="A221" s="21"/>
      <c r="B221" s="21"/>
      <c r="C221" s="21"/>
      <c r="D221" s="21"/>
      <c r="E221" s="21"/>
      <c r="F221" s="21"/>
      <c r="G221" s="21"/>
      <c r="H221" s="21"/>
      <c r="I221" s="21"/>
      <c r="J221" s="21"/>
      <c r="K221" s="21"/>
      <c r="L221" s="21"/>
      <c r="M221" s="21"/>
    </row>
    <row r="222" spans="1:13" ht="26.4" customHeight="1" x14ac:dyDescent="0.3">
      <c r="A222" s="21"/>
      <c r="B222" s="184" t="str">
        <f>Bracket!$C$1</f>
        <v>STAG GLOBAL CORPORATE CHAMPIONSHIP</v>
      </c>
      <c r="C222" s="184"/>
      <c r="D222" s="184"/>
      <c r="E222" s="184"/>
      <c r="F222" s="184"/>
      <c r="G222" s="184"/>
      <c r="H222" s="184"/>
      <c r="I222" s="184"/>
      <c r="J222" s="184"/>
      <c r="K222" s="184"/>
      <c r="L222" s="64"/>
      <c r="M222" s="64"/>
    </row>
    <row r="223" spans="1:13" ht="18" customHeight="1" x14ac:dyDescent="0.3">
      <c r="A223" s="21"/>
      <c r="B223" s="56" t="str">
        <f>REPLACE(Bracket!$C$2,1,9,"")</f>
        <v xml:space="preserve"> Men Doubles</v>
      </c>
      <c r="C223" s="62"/>
      <c r="D223" s="66"/>
      <c r="E223" s="66"/>
      <c r="F223" s="65" t="s">
        <v>1973</v>
      </c>
      <c r="G223" s="66"/>
      <c r="H223" s="66"/>
      <c r="I223" s="66" t="s">
        <v>72</v>
      </c>
      <c r="J223" s="65">
        <v>19</v>
      </c>
      <c r="K223" s="57"/>
      <c r="L223" s="57"/>
      <c r="M223" s="57"/>
    </row>
    <row r="224" spans="1:13" ht="15" customHeight="1" x14ac:dyDescent="0.3">
      <c r="A224" s="21"/>
      <c r="B224" s="56"/>
      <c r="C224" s="58"/>
      <c r="D224" s="185"/>
      <c r="E224" s="185"/>
      <c r="F224" s="60"/>
      <c r="G224" s="59"/>
      <c r="H224" s="59"/>
      <c r="I224" s="59"/>
      <c r="J224" s="59"/>
      <c r="K224" s="59"/>
      <c r="L224" s="59"/>
      <c r="M224" s="59"/>
    </row>
    <row r="225" spans="1:13" ht="17.399999999999999" customHeight="1" x14ac:dyDescent="0.3">
      <c r="A225" s="21"/>
      <c r="B225" s="56"/>
      <c r="C225" s="61" t="s">
        <v>947</v>
      </c>
      <c r="D225" s="186" t="s">
        <v>292</v>
      </c>
      <c r="E225" s="186"/>
      <c r="F225" s="187"/>
      <c r="G225" s="76">
        <v>1</v>
      </c>
      <c r="H225" s="76">
        <v>2</v>
      </c>
      <c r="I225" s="76">
        <v>3</v>
      </c>
      <c r="J225" s="76">
        <v>4</v>
      </c>
      <c r="K225" s="73">
        <v>5</v>
      </c>
      <c r="L225" s="60"/>
      <c r="M225" s="60"/>
    </row>
    <row r="226" spans="1:13" ht="30" customHeight="1" x14ac:dyDescent="0.3">
      <c r="A226" s="21"/>
      <c r="B226" s="56"/>
      <c r="C226" s="63">
        <v>1</v>
      </c>
      <c r="D226" s="188" t="s">
        <v>2041</v>
      </c>
      <c r="E226" s="188"/>
      <c r="F226" s="189"/>
      <c r="G226" s="74"/>
      <c r="H226" s="74"/>
      <c r="I226" s="74"/>
      <c r="J226" s="74"/>
      <c r="K226" s="72"/>
      <c r="L226" s="133"/>
      <c r="M226" s="133"/>
    </row>
    <row r="227" spans="1:13" ht="30" customHeight="1" x14ac:dyDescent="0.3">
      <c r="A227" s="21"/>
      <c r="B227" s="56"/>
      <c r="C227" s="63">
        <v>2</v>
      </c>
      <c r="D227" s="189" t="s">
        <v>2359</v>
      </c>
      <c r="E227" s="190"/>
      <c r="F227" s="190"/>
      <c r="G227" s="75"/>
      <c r="H227" s="75"/>
      <c r="I227" s="75"/>
      <c r="J227" s="75"/>
      <c r="K227" s="71"/>
      <c r="L227" s="133"/>
      <c r="M227" s="133"/>
    </row>
    <row r="228" spans="1:13" ht="22.8" customHeight="1" x14ac:dyDescent="0.3">
      <c r="A228" s="21"/>
      <c r="B228" s="56"/>
      <c r="C228" s="56"/>
      <c r="D228" s="56"/>
      <c r="E228" s="56"/>
      <c r="F228" s="56"/>
      <c r="G228" s="56"/>
      <c r="H228" s="56"/>
      <c r="I228" s="56"/>
      <c r="J228" s="56"/>
      <c r="K228" s="56"/>
      <c r="L228" s="56"/>
      <c r="M228" s="56"/>
    </row>
    <row r="229" spans="1:13" ht="27" customHeight="1" x14ac:dyDescent="0.3">
      <c r="A229" s="21"/>
      <c r="B229" s="56"/>
      <c r="C229" s="185" t="s">
        <v>293</v>
      </c>
      <c r="D229" s="185"/>
      <c r="E229" s="185"/>
      <c r="F229" s="185"/>
      <c r="G229" s="56"/>
      <c r="H229" s="56" t="s">
        <v>27</v>
      </c>
      <c r="I229" s="56"/>
      <c r="J229" s="56"/>
      <c r="K229" s="56" t="s">
        <v>294</v>
      </c>
      <c r="L229" s="56"/>
      <c r="M229" s="56"/>
    </row>
    <row r="230" spans="1:13" ht="12.6" customHeight="1" x14ac:dyDescent="0.35">
      <c r="A230" s="21"/>
      <c r="B230" s="67"/>
      <c r="C230" s="67"/>
      <c r="D230" s="67"/>
      <c r="E230" s="67"/>
      <c r="F230" s="67"/>
      <c r="G230" s="67"/>
      <c r="H230" s="67"/>
      <c r="I230" s="67"/>
      <c r="J230" s="67"/>
      <c r="K230" s="67"/>
      <c r="L230" s="67"/>
      <c r="M230" s="54"/>
    </row>
    <row r="233" spans="1:13" ht="11.4" customHeight="1" x14ac:dyDescent="0.3">
      <c r="A233" s="21"/>
      <c r="B233" s="21"/>
      <c r="C233" s="21"/>
      <c r="D233" s="21"/>
      <c r="E233" s="21"/>
      <c r="F233" s="21"/>
      <c r="G233" s="21"/>
      <c r="H233" s="21"/>
      <c r="I233" s="21"/>
      <c r="J233" s="21"/>
      <c r="K233" s="21"/>
      <c r="L233" s="21"/>
      <c r="M233" s="21"/>
    </row>
    <row r="234" spans="1:13" ht="26.4" customHeight="1" x14ac:dyDescent="0.3">
      <c r="A234" s="21"/>
      <c r="B234" s="184" t="str">
        <f>Bracket!$C$1</f>
        <v>STAG GLOBAL CORPORATE CHAMPIONSHIP</v>
      </c>
      <c r="C234" s="184"/>
      <c r="D234" s="184"/>
      <c r="E234" s="184"/>
      <c r="F234" s="184"/>
      <c r="G234" s="184"/>
      <c r="H234" s="184"/>
      <c r="I234" s="184"/>
      <c r="J234" s="184"/>
      <c r="K234" s="184"/>
      <c r="L234" s="64"/>
      <c r="M234" s="64"/>
    </row>
    <row r="235" spans="1:13" ht="18" customHeight="1" x14ac:dyDescent="0.3">
      <c r="A235" s="21"/>
      <c r="B235" s="56" t="str">
        <f>REPLACE(Bracket!$C$2,1,9,"")</f>
        <v xml:space="preserve"> Men Doubles</v>
      </c>
      <c r="C235" s="62"/>
      <c r="D235" s="66"/>
      <c r="E235" s="66"/>
      <c r="F235" s="65" t="s">
        <v>1974</v>
      </c>
      <c r="G235" s="66"/>
      <c r="H235" s="66"/>
      <c r="I235" s="66" t="s">
        <v>72</v>
      </c>
      <c r="J235" s="65">
        <v>20</v>
      </c>
      <c r="K235" s="57"/>
      <c r="L235" s="57"/>
      <c r="M235" s="57"/>
    </row>
    <row r="236" spans="1:13" ht="15" customHeight="1" x14ac:dyDescent="0.3">
      <c r="A236" s="21"/>
      <c r="B236" s="56"/>
      <c r="C236" s="58"/>
      <c r="D236" s="185"/>
      <c r="E236" s="185"/>
      <c r="F236" s="60"/>
      <c r="G236" s="59"/>
      <c r="H236" s="59"/>
      <c r="I236" s="59"/>
      <c r="J236" s="59"/>
      <c r="K236" s="59"/>
      <c r="L236" s="59"/>
      <c r="M236" s="59"/>
    </row>
    <row r="237" spans="1:13" ht="17.399999999999999" customHeight="1" x14ac:dyDescent="0.3">
      <c r="A237" s="21"/>
      <c r="B237" s="56"/>
      <c r="C237" s="61" t="s">
        <v>947</v>
      </c>
      <c r="D237" s="186" t="s">
        <v>292</v>
      </c>
      <c r="E237" s="186"/>
      <c r="F237" s="187"/>
      <c r="G237" s="76">
        <v>1</v>
      </c>
      <c r="H237" s="76">
        <v>2</v>
      </c>
      <c r="I237" s="76">
        <v>3</v>
      </c>
      <c r="J237" s="76">
        <v>4</v>
      </c>
      <c r="K237" s="73">
        <v>5</v>
      </c>
      <c r="L237" s="60"/>
      <c r="M237" s="60"/>
    </row>
    <row r="238" spans="1:13" ht="30" customHeight="1" x14ac:dyDescent="0.3">
      <c r="A238" s="21"/>
      <c r="B238" s="56"/>
      <c r="C238" s="63">
        <v>3</v>
      </c>
      <c r="D238" s="188" t="s">
        <v>2356</v>
      </c>
      <c r="E238" s="188"/>
      <c r="F238" s="189"/>
      <c r="G238" s="74"/>
      <c r="H238" s="74"/>
      <c r="I238" s="74"/>
      <c r="J238" s="74"/>
      <c r="K238" s="72"/>
      <c r="L238" s="133"/>
      <c r="M238" s="133"/>
    </row>
    <row r="239" spans="1:13" ht="30" customHeight="1" x14ac:dyDescent="0.3">
      <c r="A239" s="21"/>
      <c r="B239" s="56"/>
      <c r="C239" s="63">
        <v>4</v>
      </c>
      <c r="D239" s="189" t="s">
        <v>2044</v>
      </c>
      <c r="E239" s="190"/>
      <c r="F239" s="190"/>
      <c r="G239" s="75"/>
      <c r="H239" s="75"/>
      <c r="I239" s="75"/>
      <c r="J239" s="75"/>
      <c r="K239" s="71"/>
      <c r="L239" s="133"/>
      <c r="M239" s="133"/>
    </row>
    <row r="240" spans="1:13" ht="22.8" customHeight="1" x14ac:dyDescent="0.3">
      <c r="A240" s="21"/>
      <c r="B240" s="56"/>
      <c r="C240" s="56"/>
      <c r="D240" s="56"/>
      <c r="E240" s="56"/>
      <c r="F240" s="56"/>
      <c r="G240" s="56"/>
      <c r="H240" s="56"/>
      <c r="I240" s="56"/>
      <c r="J240" s="56"/>
      <c r="K240" s="56"/>
      <c r="L240" s="56"/>
      <c r="M240" s="56"/>
    </row>
    <row r="241" spans="1:13" ht="27" customHeight="1" x14ac:dyDescent="0.3">
      <c r="A241" s="21"/>
      <c r="B241" s="56"/>
      <c r="C241" s="185" t="s">
        <v>293</v>
      </c>
      <c r="D241" s="185"/>
      <c r="E241" s="185"/>
      <c r="F241" s="185"/>
      <c r="G241" s="56"/>
      <c r="H241" s="56" t="s">
        <v>27</v>
      </c>
      <c r="I241" s="56"/>
      <c r="J241" s="56"/>
      <c r="K241" s="56" t="s">
        <v>294</v>
      </c>
      <c r="L241" s="56"/>
      <c r="M241" s="56"/>
    </row>
    <row r="242" spans="1:13" ht="12.6" customHeight="1" x14ac:dyDescent="0.35">
      <c r="A242" s="21"/>
      <c r="B242" s="67"/>
      <c r="C242" s="67"/>
      <c r="D242" s="67"/>
      <c r="E242" s="67"/>
      <c r="F242" s="67"/>
      <c r="G242" s="67"/>
      <c r="H242" s="67"/>
      <c r="I242" s="67"/>
      <c r="J242" s="67"/>
      <c r="K242" s="67"/>
      <c r="L242" s="67"/>
      <c r="M242" s="54"/>
    </row>
    <row r="245" spans="1:13" ht="11.4" customHeight="1" x14ac:dyDescent="0.3">
      <c r="A245" s="21"/>
      <c r="B245" s="21"/>
      <c r="C245" s="21"/>
      <c r="D245" s="21"/>
      <c r="E245" s="21"/>
      <c r="F245" s="21"/>
      <c r="G245" s="21"/>
      <c r="H245" s="21"/>
      <c r="I245" s="21"/>
      <c r="J245" s="21"/>
      <c r="K245" s="21"/>
      <c r="L245" s="21"/>
      <c r="M245" s="21"/>
    </row>
    <row r="246" spans="1:13" ht="26.4" customHeight="1" x14ac:dyDescent="0.3">
      <c r="A246" s="21"/>
      <c r="B246" s="184" t="str">
        <f>Bracket!$C$1</f>
        <v>STAG GLOBAL CORPORATE CHAMPIONSHIP</v>
      </c>
      <c r="C246" s="184"/>
      <c r="D246" s="184"/>
      <c r="E246" s="184"/>
      <c r="F246" s="184"/>
      <c r="G246" s="184"/>
      <c r="H246" s="184"/>
      <c r="I246" s="184"/>
      <c r="J246" s="184"/>
      <c r="K246" s="184"/>
      <c r="L246" s="64"/>
      <c r="M246" s="64"/>
    </row>
    <row r="247" spans="1:13" ht="18" customHeight="1" x14ac:dyDescent="0.3">
      <c r="A247" s="21"/>
      <c r="B247" s="56" t="str">
        <f>REPLACE(Bracket!$C$2,1,9,"")</f>
        <v xml:space="preserve"> Men Doubles</v>
      </c>
      <c r="C247" s="62"/>
      <c r="D247" s="66"/>
      <c r="E247" s="66"/>
      <c r="F247" s="65" t="s">
        <v>1975</v>
      </c>
      <c r="G247" s="66"/>
      <c r="H247" s="66"/>
      <c r="I247" s="66" t="s">
        <v>72</v>
      </c>
      <c r="J247" s="65">
        <v>21</v>
      </c>
      <c r="K247" s="57"/>
      <c r="L247" s="57"/>
      <c r="M247" s="57"/>
    </row>
    <row r="248" spans="1:13" ht="15" customHeight="1" x14ac:dyDescent="0.3">
      <c r="A248" s="21"/>
      <c r="B248" s="56"/>
      <c r="C248" s="58"/>
      <c r="D248" s="185"/>
      <c r="E248" s="185"/>
      <c r="F248" s="60"/>
      <c r="G248" s="59"/>
      <c r="H248" s="59"/>
      <c r="I248" s="59"/>
      <c r="J248" s="59"/>
      <c r="K248" s="59"/>
      <c r="L248" s="59"/>
      <c r="M248" s="59"/>
    </row>
    <row r="249" spans="1:13" ht="17.399999999999999" customHeight="1" x14ac:dyDescent="0.3">
      <c r="A249" s="21"/>
      <c r="B249" s="56"/>
      <c r="C249" s="61" t="s">
        <v>947</v>
      </c>
      <c r="D249" s="186" t="s">
        <v>292</v>
      </c>
      <c r="E249" s="186"/>
      <c r="F249" s="187"/>
      <c r="G249" s="76">
        <v>1</v>
      </c>
      <c r="H249" s="76">
        <v>2</v>
      </c>
      <c r="I249" s="76">
        <v>3</v>
      </c>
      <c r="J249" s="76">
        <v>4</v>
      </c>
      <c r="K249" s="73">
        <v>5</v>
      </c>
      <c r="L249" s="60"/>
      <c r="M249" s="60"/>
    </row>
    <row r="250" spans="1:13" ht="30" customHeight="1" x14ac:dyDescent="0.3">
      <c r="A250" s="21"/>
      <c r="B250" s="56"/>
      <c r="C250" s="63">
        <v>5</v>
      </c>
      <c r="D250" s="188" t="s">
        <v>2043</v>
      </c>
      <c r="E250" s="188"/>
      <c r="F250" s="189"/>
      <c r="G250" s="74"/>
      <c r="H250" s="74"/>
      <c r="I250" s="74"/>
      <c r="J250" s="74"/>
      <c r="K250" s="72"/>
      <c r="L250" s="133"/>
      <c r="M250" s="133"/>
    </row>
    <row r="251" spans="1:13" ht="30" customHeight="1" x14ac:dyDescent="0.3">
      <c r="A251" s="21"/>
      <c r="B251" s="56"/>
      <c r="C251" s="63">
        <v>6</v>
      </c>
      <c r="D251" s="189" t="s">
        <v>2357</v>
      </c>
      <c r="E251" s="190"/>
      <c r="F251" s="190"/>
      <c r="G251" s="75"/>
      <c r="H251" s="75"/>
      <c r="I251" s="75"/>
      <c r="J251" s="75"/>
      <c r="K251" s="71"/>
      <c r="L251" s="133"/>
      <c r="M251" s="133"/>
    </row>
    <row r="252" spans="1:13" ht="22.8" customHeight="1" x14ac:dyDescent="0.3">
      <c r="A252" s="21"/>
      <c r="B252" s="56"/>
      <c r="C252" s="56"/>
      <c r="D252" s="56"/>
      <c r="E252" s="56"/>
      <c r="F252" s="56"/>
      <c r="G252" s="56"/>
      <c r="H252" s="56"/>
      <c r="I252" s="56"/>
      <c r="J252" s="56"/>
      <c r="K252" s="56"/>
      <c r="L252" s="56"/>
      <c r="M252" s="56"/>
    </row>
    <row r="253" spans="1:13" ht="27" customHeight="1" x14ac:dyDescent="0.3">
      <c r="A253" s="21"/>
      <c r="B253" s="56"/>
      <c r="C253" s="185" t="s">
        <v>293</v>
      </c>
      <c r="D253" s="185"/>
      <c r="E253" s="185"/>
      <c r="F253" s="185"/>
      <c r="G253" s="56"/>
      <c r="H253" s="56" t="s">
        <v>27</v>
      </c>
      <c r="I253" s="56"/>
      <c r="J253" s="56"/>
      <c r="K253" s="56" t="s">
        <v>294</v>
      </c>
      <c r="L253" s="56"/>
      <c r="M253" s="56"/>
    </row>
    <row r="254" spans="1:13" ht="12.6" customHeight="1" x14ac:dyDescent="0.35">
      <c r="A254" s="21"/>
      <c r="B254" s="67"/>
      <c r="C254" s="67"/>
      <c r="D254" s="67"/>
      <c r="E254" s="67"/>
      <c r="F254" s="67"/>
      <c r="G254" s="67"/>
      <c r="H254" s="67"/>
      <c r="I254" s="67"/>
      <c r="J254" s="67"/>
      <c r="K254" s="67"/>
      <c r="L254" s="67"/>
      <c r="M254" s="54"/>
    </row>
    <row r="257" spans="1:13" ht="11.4" customHeight="1" x14ac:dyDescent="0.3">
      <c r="A257" s="21"/>
      <c r="B257" s="21"/>
      <c r="C257" s="21"/>
      <c r="D257" s="21"/>
      <c r="E257" s="21"/>
      <c r="F257" s="21"/>
      <c r="G257" s="21"/>
      <c r="H257" s="21"/>
      <c r="I257" s="21"/>
      <c r="J257" s="21"/>
      <c r="K257" s="21"/>
      <c r="L257" s="21"/>
      <c r="M257" s="21"/>
    </row>
    <row r="258" spans="1:13" ht="26.4" customHeight="1" x14ac:dyDescent="0.3">
      <c r="A258" s="21"/>
      <c r="B258" s="184" t="str">
        <f>Bracket!$C$1</f>
        <v>STAG GLOBAL CORPORATE CHAMPIONSHIP</v>
      </c>
      <c r="C258" s="184"/>
      <c r="D258" s="184"/>
      <c r="E258" s="184"/>
      <c r="F258" s="184"/>
      <c r="G258" s="184"/>
      <c r="H258" s="184"/>
      <c r="I258" s="184"/>
      <c r="J258" s="184"/>
      <c r="K258" s="184"/>
      <c r="L258" s="64"/>
      <c r="M258" s="64"/>
    </row>
    <row r="259" spans="1:13" ht="18" customHeight="1" x14ac:dyDescent="0.3">
      <c r="A259" s="21"/>
      <c r="B259" s="56" t="str">
        <f>REPLACE(Bracket!$C$2,1,9,"")</f>
        <v xml:space="preserve"> Men Doubles</v>
      </c>
      <c r="C259" s="62"/>
      <c r="D259" s="66"/>
      <c r="E259" s="66"/>
      <c r="F259" s="65" t="s">
        <v>1976</v>
      </c>
      <c r="G259" s="66"/>
      <c r="H259" s="66"/>
      <c r="I259" s="66" t="s">
        <v>72</v>
      </c>
      <c r="J259" s="65">
        <v>22</v>
      </c>
      <c r="K259" s="57"/>
      <c r="L259" s="57"/>
      <c r="M259" s="57"/>
    </row>
    <row r="260" spans="1:13" ht="15" customHeight="1" x14ac:dyDescent="0.3">
      <c r="A260" s="21"/>
      <c r="B260" s="56"/>
      <c r="C260" s="58"/>
      <c r="D260" s="185"/>
      <c r="E260" s="185"/>
      <c r="F260" s="60"/>
      <c r="G260" s="59"/>
      <c r="H260" s="59"/>
      <c r="I260" s="59"/>
      <c r="J260" s="59"/>
      <c r="K260" s="59"/>
      <c r="L260" s="59"/>
      <c r="M260" s="59"/>
    </row>
    <row r="261" spans="1:13" ht="17.399999999999999" customHeight="1" x14ac:dyDescent="0.3">
      <c r="A261" s="21"/>
      <c r="B261" s="56"/>
      <c r="C261" s="61" t="s">
        <v>947</v>
      </c>
      <c r="D261" s="186" t="s">
        <v>292</v>
      </c>
      <c r="E261" s="186"/>
      <c r="F261" s="187"/>
      <c r="G261" s="76">
        <v>1</v>
      </c>
      <c r="H261" s="76">
        <v>2</v>
      </c>
      <c r="I261" s="76">
        <v>3</v>
      </c>
      <c r="J261" s="76">
        <v>4</v>
      </c>
      <c r="K261" s="73">
        <v>5</v>
      </c>
      <c r="L261" s="60"/>
      <c r="M261" s="60"/>
    </row>
    <row r="262" spans="1:13" ht="30" customHeight="1" x14ac:dyDescent="0.3">
      <c r="A262" s="21"/>
      <c r="B262" s="56"/>
      <c r="C262" s="63">
        <v>7</v>
      </c>
      <c r="D262" s="188" t="s">
        <v>2358</v>
      </c>
      <c r="E262" s="188"/>
      <c r="F262" s="189"/>
      <c r="G262" s="74"/>
      <c r="H262" s="74"/>
      <c r="I262" s="74"/>
      <c r="J262" s="74"/>
      <c r="K262" s="72"/>
      <c r="L262" s="133"/>
      <c r="M262" s="133"/>
    </row>
    <row r="263" spans="1:13" ht="30" customHeight="1" x14ac:dyDescent="0.3">
      <c r="A263" s="21"/>
      <c r="B263" s="56"/>
      <c r="C263" s="63">
        <v>8</v>
      </c>
      <c r="D263" s="189" t="s">
        <v>2042</v>
      </c>
      <c r="E263" s="190"/>
      <c r="F263" s="190"/>
      <c r="G263" s="75"/>
      <c r="H263" s="75"/>
      <c r="I263" s="75"/>
      <c r="J263" s="75"/>
      <c r="K263" s="71"/>
      <c r="L263" s="133"/>
      <c r="M263" s="133"/>
    </row>
    <row r="264" spans="1:13" ht="22.8" customHeight="1" x14ac:dyDescent="0.3">
      <c r="A264" s="21"/>
      <c r="B264" s="56"/>
      <c r="C264" s="56"/>
      <c r="D264" s="56"/>
      <c r="E264" s="56"/>
      <c r="F264" s="56"/>
      <c r="G264" s="56"/>
      <c r="H264" s="56"/>
      <c r="I264" s="56"/>
      <c r="J264" s="56"/>
      <c r="K264" s="56"/>
      <c r="L264" s="56"/>
      <c r="M264" s="56"/>
    </row>
    <row r="265" spans="1:13" ht="27" customHeight="1" x14ac:dyDescent="0.3">
      <c r="A265" s="21"/>
      <c r="B265" s="56"/>
      <c r="C265" s="185" t="s">
        <v>293</v>
      </c>
      <c r="D265" s="185"/>
      <c r="E265" s="185"/>
      <c r="F265" s="185"/>
      <c r="G265" s="56"/>
      <c r="H265" s="56" t="s">
        <v>27</v>
      </c>
      <c r="I265" s="56"/>
      <c r="J265" s="56"/>
      <c r="K265" s="56" t="s">
        <v>294</v>
      </c>
      <c r="L265" s="56"/>
      <c r="M265" s="56"/>
    </row>
    <row r="266" spans="1:13" ht="12.6" customHeight="1" x14ac:dyDescent="0.35">
      <c r="A266" s="21"/>
      <c r="B266" s="67"/>
      <c r="C266" s="67"/>
      <c r="D266" s="67"/>
      <c r="E266" s="67"/>
      <c r="F266" s="67"/>
      <c r="G266" s="67"/>
      <c r="H266" s="67"/>
      <c r="I266" s="67"/>
      <c r="J266" s="67"/>
      <c r="K266" s="67"/>
      <c r="L266" s="67"/>
      <c r="M266" s="54"/>
    </row>
    <row r="269" spans="1:13" ht="11.4" customHeight="1" x14ac:dyDescent="0.3">
      <c r="A269" s="21"/>
      <c r="B269" s="21"/>
      <c r="C269" s="21"/>
      <c r="D269" s="21"/>
      <c r="E269" s="21"/>
      <c r="F269" s="21"/>
      <c r="G269" s="21"/>
      <c r="H269" s="21"/>
      <c r="I269" s="21"/>
      <c r="J269" s="21"/>
      <c r="K269" s="21"/>
      <c r="L269" s="21"/>
      <c r="M269" s="21"/>
    </row>
    <row r="270" spans="1:13" ht="26.4" customHeight="1" x14ac:dyDescent="0.3">
      <c r="A270" s="21"/>
      <c r="B270" s="184" t="str">
        <f>Bracket!$C$1</f>
        <v>STAG GLOBAL CORPORATE CHAMPIONSHIP</v>
      </c>
      <c r="C270" s="184"/>
      <c r="D270" s="184"/>
      <c r="E270" s="184"/>
      <c r="F270" s="184"/>
      <c r="G270" s="184"/>
      <c r="H270" s="184"/>
      <c r="I270" s="184"/>
      <c r="J270" s="184"/>
      <c r="K270" s="184"/>
      <c r="L270" s="64"/>
      <c r="M270" s="64"/>
    </row>
    <row r="271" spans="1:13" ht="18" customHeight="1" x14ac:dyDescent="0.3">
      <c r="A271" s="21"/>
      <c r="B271" s="56" t="str">
        <f>REPLACE(Bracket!$C$2,1,9,"")</f>
        <v xml:space="preserve"> Men Doubles</v>
      </c>
      <c r="C271" s="62"/>
      <c r="D271" s="66"/>
      <c r="E271" s="66"/>
      <c r="F271" s="65" t="s">
        <v>1977</v>
      </c>
      <c r="G271" s="66"/>
      <c r="H271" s="66"/>
      <c r="I271" s="66" t="s">
        <v>72</v>
      </c>
      <c r="J271" s="65">
        <v>23</v>
      </c>
      <c r="K271" s="57"/>
      <c r="L271" s="57"/>
      <c r="M271" s="57"/>
    </row>
    <row r="272" spans="1:13" ht="15" customHeight="1" x14ac:dyDescent="0.3">
      <c r="A272" s="21"/>
      <c r="B272" s="56"/>
      <c r="C272" s="58"/>
      <c r="D272" s="185"/>
      <c r="E272" s="185"/>
      <c r="F272" s="60"/>
      <c r="G272" s="59"/>
      <c r="H272" s="59"/>
      <c r="I272" s="59"/>
      <c r="J272" s="59"/>
      <c r="K272" s="59"/>
      <c r="L272" s="59"/>
      <c r="M272" s="59"/>
    </row>
    <row r="273" spans="1:13" ht="17.399999999999999" customHeight="1" x14ac:dyDescent="0.3">
      <c r="A273" s="21"/>
      <c r="B273" s="56"/>
      <c r="C273" s="61" t="s">
        <v>947</v>
      </c>
      <c r="D273" s="186" t="s">
        <v>292</v>
      </c>
      <c r="E273" s="186"/>
      <c r="F273" s="187"/>
      <c r="G273" s="76">
        <v>1</v>
      </c>
      <c r="H273" s="76">
        <v>2</v>
      </c>
      <c r="I273" s="76">
        <v>3</v>
      </c>
      <c r="J273" s="76">
        <v>4</v>
      </c>
      <c r="K273" s="73">
        <v>5</v>
      </c>
      <c r="L273" s="60"/>
      <c r="M273" s="60"/>
    </row>
    <row r="274" spans="1:13" ht="30" customHeight="1" x14ac:dyDescent="0.3">
      <c r="A274" s="21"/>
      <c r="B274" s="56"/>
      <c r="C274" s="63" t="s">
        <v>1281</v>
      </c>
      <c r="D274" s="188">
        <v>0</v>
      </c>
      <c r="E274" s="188"/>
      <c r="F274" s="189"/>
      <c r="G274" s="74"/>
      <c r="H274" s="74"/>
      <c r="I274" s="74"/>
      <c r="J274" s="74"/>
      <c r="K274" s="72"/>
      <c r="L274" s="133"/>
      <c r="M274" s="133"/>
    </row>
    <row r="275" spans="1:13" ht="30" customHeight="1" x14ac:dyDescent="0.3">
      <c r="A275" s="21"/>
      <c r="B275" s="56"/>
      <c r="C275" s="63" t="s">
        <v>1281</v>
      </c>
      <c r="D275" s="189">
        <v>0</v>
      </c>
      <c r="E275" s="190"/>
      <c r="F275" s="190"/>
      <c r="G275" s="75"/>
      <c r="H275" s="75"/>
      <c r="I275" s="75"/>
      <c r="J275" s="75"/>
      <c r="K275" s="71"/>
      <c r="L275" s="133"/>
      <c r="M275" s="133"/>
    </row>
    <row r="276" spans="1:13" ht="22.8" customHeight="1" x14ac:dyDescent="0.3">
      <c r="A276" s="21"/>
      <c r="B276" s="56"/>
      <c r="C276" s="56"/>
      <c r="D276" s="56"/>
      <c r="E276" s="56"/>
      <c r="F276" s="56"/>
      <c r="G276" s="56"/>
      <c r="H276" s="56"/>
      <c r="I276" s="56"/>
      <c r="J276" s="56"/>
      <c r="K276" s="56"/>
      <c r="L276" s="56"/>
      <c r="M276" s="56"/>
    </row>
    <row r="277" spans="1:13" ht="27" customHeight="1" x14ac:dyDescent="0.3">
      <c r="A277" s="21"/>
      <c r="B277" s="56"/>
      <c r="C277" s="185" t="s">
        <v>293</v>
      </c>
      <c r="D277" s="185"/>
      <c r="E277" s="185"/>
      <c r="F277" s="185"/>
      <c r="G277" s="56"/>
      <c r="H277" s="56" t="s">
        <v>27</v>
      </c>
      <c r="I277" s="56"/>
      <c r="J277" s="56"/>
      <c r="K277" s="56" t="s">
        <v>294</v>
      </c>
      <c r="L277" s="56"/>
      <c r="M277" s="56"/>
    </row>
    <row r="278" spans="1:13" ht="12.6" customHeight="1" x14ac:dyDescent="0.35">
      <c r="A278" s="21"/>
      <c r="B278" s="67"/>
      <c r="C278" s="67"/>
      <c r="D278" s="67"/>
      <c r="E278" s="67"/>
      <c r="F278" s="67"/>
      <c r="G278" s="67"/>
      <c r="H278" s="67"/>
      <c r="I278" s="67"/>
      <c r="J278" s="67"/>
      <c r="K278" s="67"/>
      <c r="L278" s="67"/>
      <c r="M278" s="54"/>
    </row>
    <row r="281" spans="1:13" ht="11.4" customHeight="1" x14ac:dyDescent="0.3">
      <c r="A281" s="21"/>
      <c r="B281" s="21"/>
      <c r="C281" s="21"/>
      <c r="D281" s="21"/>
      <c r="E281" s="21"/>
      <c r="F281" s="21"/>
      <c r="G281" s="21"/>
      <c r="H281" s="21"/>
      <c r="I281" s="21"/>
      <c r="J281" s="21"/>
      <c r="K281" s="21"/>
      <c r="L281" s="21"/>
      <c r="M281" s="21"/>
    </row>
    <row r="282" spans="1:13" ht="26.4" customHeight="1" x14ac:dyDescent="0.3">
      <c r="A282" s="21"/>
      <c r="B282" s="184" t="str">
        <f>Bracket!$C$1</f>
        <v>STAG GLOBAL CORPORATE CHAMPIONSHIP</v>
      </c>
      <c r="C282" s="184"/>
      <c r="D282" s="184"/>
      <c r="E282" s="184"/>
      <c r="F282" s="184"/>
      <c r="G282" s="184"/>
      <c r="H282" s="184"/>
      <c r="I282" s="184"/>
      <c r="J282" s="184"/>
      <c r="K282" s="184"/>
      <c r="L282" s="64"/>
      <c r="M282" s="64"/>
    </row>
    <row r="283" spans="1:13" ht="18" customHeight="1" x14ac:dyDescent="0.3">
      <c r="A283" s="21"/>
      <c r="B283" s="56" t="str">
        <f>REPLACE(Bracket!$C$2,1,9,"")</f>
        <v xml:space="preserve"> Men Doubles</v>
      </c>
      <c r="C283" s="62"/>
      <c r="D283" s="66"/>
      <c r="E283" s="66"/>
      <c r="F283" s="65" t="s">
        <v>1978</v>
      </c>
      <c r="G283" s="66"/>
      <c r="H283" s="66"/>
      <c r="I283" s="66" t="s">
        <v>72</v>
      </c>
      <c r="J283" s="65">
        <v>24</v>
      </c>
      <c r="K283" s="57"/>
      <c r="L283" s="57"/>
      <c r="M283" s="57"/>
    </row>
    <row r="284" spans="1:13" ht="15" customHeight="1" x14ac:dyDescent="0.3">
      <c r="A284" s="21"/>
      <c r="B284" s="56"/>
      <c r="C284" s="58"/>
      <c r="D284" s="185"/>
      <c r="E284" s="185"/>
      <c r="F284" s="60"/>
      <c r="G284" s="59"/>
      <c r="H284" s="59"/>
      <c r="I284" s="59"/>
      <c r="J284" s="59"/>
      <c r="K284" s="59"/>
      <c r="L284" s="59"/>
      <c r="M284" s="59"/>
    </row>
    <row r="285" spans="1:13" ht="17.399999999999999" customHeight="1" x14ac:dyDescent="0.3">
      <c r="A285" s="21"/>
      <c r="B285" s="56"/>
      <c r="C285" s="61" t="s">
        <v>947</v>
      </c>
      <c r="D285" s="186" t="s">
        <v>292</v>
      </c>
      <c r="E285" s="186"/>
      <c r="F285" s="187"/>
      <c r="G285" s="76">
        <v>1</v>
      </c>
      <c r="H285" s="76">
        <v>2</v>
      </c>
      <c r="I285" s="76">
        <v>3</v>
      </c>
      <c r="J285" s="76">
        <v>4</v>
      </c>
      <c r="K285" s="73">
        <v>5</v>
      </c>
      <c r="L285" s="60"/>
      <c r="M285" s="60"/>
    </row>
    <row r="286" spans="1:13" ht="30" customHeight="1" x14ac:dyDescent="0.3">
      <c r="A286" s="21"/>
      <c r="B286" s="56"/>
      <c r="C286" s="63" t="s">
        <v>1281</v>
      </c>
      <c r="D286" s="188">
        <v>0</v>
      </c>
      <c r="E286" s="188"/>
      <c r="F286" s="189"/>
      <c r="G286" s="74"/>
      <c r="H286" s="74"/>
      <c r="I286" s="74"/>
      <c r="J286" s="74"/>
      <c r="K286" s="72"/>
      <c r="L286" s="133"/>
      <c r="M286" s="133"/>
    </row>
    <row r="287" spans="1:13" ht="30" customHeight="1" x14ac:dyDescent="0.3">
      <c r="A287" s="21"/>
      <c r="B287" s="56"/>
      <c r="C287" s="63" t="s">
        <v>1281</v>
      </c>
      <c r="D287" s="189">
        <v>0</v>
      </c>
      <c r="E287" s="190"/>
      <c r="F287" s="190"/>
      <c r="G287" s="75"/>
      <c r="H287" s="75"/>
      <c r="I287" s="75"/>
      <c r="J287" s="75"/>
      <c r="K287" s="71"/>
      <c r="L287" s="133"/>
      <c r="M287" s="133"/>
    </row>
    <row r="288" spans="1:13" ht="22.8" customHeight="1" x14ac:dyDescent="0.3">
      <c r="A288" s="21"/>
      <c r="B288" s="56"/>
      <c r="C288" s="56"/>
      <c r="D288" s="56"/>
      <c r="E288" s="56"/>
      <c r="F288" s="56"/>
      <c r="G288" s="56"/>
      <c r="H288" s="56"/>
      <c r="I288" s="56"/>
      <c r="J288" s="56"/>
      <c r="K288" s="56"/>
      <c r="L288" s="56"/>
      <c r="M288" s="56"/>
    </row>
    <row r="289" spans="1:13" ht="27" customHeight="1" x14ac:dyDescent="0.3">
      <c r="A289" s="21"/>
      <c r="B289" s="56"/>
      <c r="C289" s="185" t="s">
        <v>293</v>
      </c>
      <c r="D289" s="185"/>
      <c r="E289" s="185"/>
      <c r="F289" s="185"/>
      <c r="G289" s="56"/>
      <c r="H289" s="56" t="s">
        <v>27</v>
      </c>
      <c r="I289" s="56"/>
      <c r="J289" s="56"/>
      <c r="K289" s="56" t="s">
        <v>294</v>
      </c>
      <c r="L289" s="56"/>
      <c r="M289" s="56"/>
    </row>
    <row r="290" spans="1:13" ht="12.6" customHeight="1" x14ac:dyDescent="0.35">
      <c r="A290" s="21"/>
      <c r="B290" s="67"/>
      <c r="C290" s="67"/>
      <c r="D290" s="67"/>
      <c r="E290" s="67"/>
      <c r="F290" s="67"/>
      <c r="G290" s="67"/>
      <c r="H290" s="67"/>
      <c r="I290" s="67"/>
      <c r="J290" s="67"/>
      <c r="K290" s="67"/>
      <c r="L290" s="67"/>
      <c r="M290" s="54"/>
    </row>
    <row r="293" spans="1:13" ht="11.4" customHeight="1" x14ac:dyDescent="0.3">
      <c r="A293" s="21"/>
      <c r="B293" s="21"/>
      <c r="C293" s="21"/>
      <c r="D293" s="21"/>
      <c r="E293" s="21"/>
      <c r="F293" s="21"/>
      <c r="G293" s="21"/>
      <c r="H293" s="21"/>
      <c r="I293" s="21"/>
      <c r="J293" s="21"/>
      <c r="K293" s="21"/>
      <c r="L293" s="21"/>
      <c r="M293" s="21"/>
    </row>
    <row r="294" spans="1:13" ht="26.4" customHeight="1" x14ac:dyDescent="0.3">
      <c r="A294" s="21"/>
      <c r="B294" s="184" t="str">
        <f>Bracket!$C$1</f>
        <v>STAG GLOBAL CORPORATE CHAMPIONSHIP</v>
      </c>
      <c r="C294" s="184"/>
      <c r="D294" s="184"/>
      <c r="E294" s="184"/>
      <c r="F294" s="184"/>
      <c r="G294" s="184"/>
      <c r="H294" s="184"/>
      <c r="I294" s="184"/>
      <c r="J294" s="184"/>
      <c r="K294" s="184"/>
      <c r="L294" s="64"/>
      <c r="M294" s="64"/>
    </row>
    <row r="295" spans="1:13" ht="18" customHeight="1" x14ac:dyDescent="0.3">
      <c r="A295" s="21"/>
      <c r="B295" s="56" t="str">
        <f>REPLACE(Bracket!$C$2,1,9,"")</f>
        <v xml:space="preserve"> Men Doubles</v>
      </c>
      <c r="C295" s="62"/>
      <c r="D295" s="66"/>
      <c r="E295" s="66"/>
      <c r="F295" s="65" t="s">
        <v>1979</v>
      </c>
      <c r="G295" s="66"/>
      <c r="H295" s="66"/>
      <c r="I295" s="66" t="s">
        <v>72</v>
      </c>
      <c r="J295" s="65">
        <v>25</v>
      </c>
      <c r="K295" s="57"/>
      <c r="L295" s="57"/>
      <c r="M295" s="57"/>
    </row>
    <row r="296" spans="1:13" ht="15" customHeight="1" x14ac:dyDescent="0.3">
      <c r="A296" s="21"/>
      <c r="B296" s="56"/>
      <c r="C296" s="58"/>
      <c r="D296" s="185"/>
      <c r="E296" s="185"/>
      <c r="F296" s="60"/>
      <c r="G296" s="59"/>
      <c r="H296" s="59"/>
      <c r="I296" s="59"/>
      <c r="J296" s="59"/>
      <c r="K296" s="59"/>
      <c r="L296" s="59"/>
      <c r="M296" s="59"/>
    </row>
    <row r="297" spans="1:13" ht="17.399999999999999" customHeight="1" x14ac:dyDescent="0.3">
      <c r="A297" s="21"/>
      <c r="B297" s="56"/>
      <c r="C297" s="61" t="s">
        <v>947</v>
      </c>
      <c r="D297" s="186" t="s">
        <v>292</v>
      </c>
      <c r="E297" s="186"/>
      <c r="F297" s="187"/>
      <c r="G297" s="76">
        <v>1</v>
      </c>
      <c r="H297" s="76">
        <v>2</v>
      </c>
      <c r="I297" s="76">
        <v>3</v>
      </c>
      <c r="J297" s="76">
        <v>4</v>
      </c>
      <c r="K297" s="73">
        <v>5</v>
      </c>
      <c r="L297" s="60"/>
      <c r="M297" s="60"/>
    </row>
    <row r="298" spans="1:13" ht="30" customHeight="1" x14ac:dyDescent="0.3">
      <c r="A298" s="21"/>
      <c r="B298" s="56"/>
      <c r="C298" s="63" t="s">
        <v>1281</v>
      </c>
      <c r="D298" s="188">
        <v>0</v>
      </c>
      <c r="E298" s="188"/>
      <c r="F298" s="189"/>
      <c r="G298" s="74"/>
      <c r="H298" s="74"/>
      <c r="I298" s="74"/>
      <c r="J298" s="74"/>
      <c r="K298" s="72"/>
      <c r="L298" s="133"/>
      <c r="M298" s="133"/>
    </row>
    <row r="299" spans="1:13" ht="30" customHeight="1" x14ac:dyDescent="0.3">
      <c r="A299" s="21"/>
      <c r="B299" s="56"/>
      <c r="C299" s="63" t="s">
        <v>1281</v>
      </c>
      <c r="D299" s="189">
        <v>0</v>
      </c>
      <c r="E299" s="190"/>
      <c r="F299" s="190"/>
      <c r="G299" s="75"/>
      <c r="H299" s="75"/>
      <c r="I299" s="75"/>
      <c r="J299" s="75"/>
      <c r="K299" s="71"/>
      <c r="L299" s="133"/>
      <c r="M299" s="133"/>
    </row>
    <row r="300" spans="1:13" ht="22.8" customHeight="1" x14ac:dyDescent="0.3">
      <c r="A300" s="21"/>
      <c r="B300" s="56"/>
      <c r="C300" s="56"/>
      <c r="D300" s="56"/>
      <c r="E300" s="56"/>
      <c r="F300" s="56"/>
      <c r="G300" s="56"/>
      <c r="H300" s="56"/>
      <c r="I300" s="56"/>
      <c r="J300" s="56"/>
      <c r="K300" s="56"/>
      <c r="L300" s="56"/>
      <c r="M300" s="56"/>
    </row>
    <row r="301" spans="1:13" ht="27" customHeight="1" x14ac:dyDescent="0.3">
      <c r="A301" s="21"/>
      <c r="B301" s="56"/>
      <c r="C301" s="185" t="s">
        <v>293</v>
      </c>
      <c r="D301" s="185"/>
      <c r="E301" s="185"/>
      <c r="F301" s="185"/>
      <c r="G301" s="56"/>
      <c r="H301" s="56" t="s">
        <v>27</v>
      </c>
      <c r="I301" s="56"/>
      <c r="J301" s="56"/>
      <c r="K301" s="56" t="s">
        <v>294</v>
      </c>
      <c r="L301" s="56"/>
      <c r="M301" s="56"/>
    </row>
    <row r="302" spans="1:13" ht="12.6" customHeight="1" x14ac:dyDescent="0.35">
      <c r="A302" s="21"/>
      <c r="B302" s="67"/>
      <c r="C302" s="67"/>
      <c r="D302" s="67"/>
      <c r="E302" s="67"/>
      <c r="F302" s="67"/>
      <c r="G302" s="67"/>
      <c r="H302" s="67"/>
      <c r="I302" s="67"/>
      <c r="J302" s="67"/>
      <c r="K302" s="67"/>
      <c r="L302" s="67"/>
      <c r="M302" s="54"/>
    </row>
    <row r="305" spans="1:13" ht="11.4" customHeight="1" x14ac:dyDescent="0.3">
      <c r="A305" s="21"/>
      <c r="B305" s="21"/>
      <c r="C305" s="21"/>
      <c r="D305" s="21"/>
      <c r="E305" s="21"/>
      <c r="F305" s="21"/>
      <c r="G305" s="21"/>
      <c r="H305" s="21"/>
      <c r="I305" s="21"/>
      <c r="J305" s="21"/>
      <c r="K305" s="21"/>
      <c r="L305" s="21"/>
      <c r="M305" s="21"/>
    </row>
    <row r="306" spans="1:13" ht="26.4" customHeight="1" x14ac:dyDescent="0.3">
      <c r="A306" s="21"/>
      <c r="B306" s="184" t="str">
        <f>Bracket!$C$1</f>
        <v>STAG GLOBAL CORPORATE CHAMPIONSHIP</v>
      </c>
      <c r="C306" s="184"/>
      <c r="D306" s="184"/>
      <c r="E306" s="184"/>
      <c r="F306" s="184"/>
      <c r="G306" s="184"/>
      <c r="H306" s="184"/>
      <c r="I306" s="184"/>
      <c r="J306" s="184"/>
      <c r="K306" s="184"/>
      <c r="L306" s="64"/>
      <c r="M306" s="64"/>
    </row>
    <row r="307" spans="1:13" ht="18" customHeight="1" x14ac:dyDescent="0.3">
      <c r="A307" s="21"/>
      <c r="B307" s="56" t="str">
        <f>REPLACE(Bracket!$C$2,1,9,"")</f>
        <v xml:space="preserve"> Men Doubles</v>
      </c>
      <c r="C307" s="62"/>
      <c r="D307" s="66"/>
      <c r="E307" s="66"/>
      <c r="F307" s="65" t="s">
        <v>1980</v>
      </c>
      <c r="G307" s="66"/>
      <c r="H307" s="66"/>
      <c r="I307" s="66" t="s">
        <v>72</v>
      </c>
      <c r="J307" s="65">
        <v>26</v>
      </c>
      <c r="K307" s="57"/>
      <c r="L307" s="57"/>
      <c r="M307" s="57"/>
    </row>
    <row r="308" spans="1:13" ht="15" customHeight="1" x14ac:dyDescent="0.3">
      <c r="A308" s="21"/>
      <c r="B308" s="56"/>
      <c r="C308" s="58"/>
      <c r="D308" s="185"/>
      <c r="E308" s="185"/>
      <c r="F308" s="60"/>
      <c r="G308" s="59"/>
      <c r="H308" s="59"/>
      <c r="I308" s="59"/>
      <c r="J308" s="59"/>
      <c r="K308" s="59"/>
      <c r="L308" s="59"/>
      <c r="M308" s="59"/>
    </row>
    <row r="309" spans="1:13" ht="17.399999999999999" customHeight="1" x14ac:dyDescent="0.3">
      <c r="A309" s="21"/>
      <c r="B309" s="56"/>
      <c r="C309" s="61" t="s">
        <v>947</v>
      </c>
      <c r="D309" s="186" t="s">
        <v>292</v>
      </c>
      <c r="E309" s="186"/>
      <c r="F309" s="187"/>
      <c r="G309" s="76">
        <v>1</v>
      </c>
      <c r="H309" s="76">
        <v>2</v>
      </c>
      <c r="I309" s="76">
        <v>3</v>
      </c>
      <c r="J309" s="76">
        <v>4</v>
      </c>
      <c r="K309" s="73">
        <v>5</v>
      </c>
      <c r="L309" s="60"/>
      <c r="M309" s="60"/>
    </row>
    <row r="310" spans="1:13" ht="30" customHeight="1" x14ac:dyDescent="0.3">
      <c r="A310" s="21"/>
      <c r="B310" s="56"/>
      <c r="C310" s="63" t="s">
        <v>1281</v>
      </c>
      <c r="D310" s="188">
        <v>0</v>
      </c>
      <c r="E310" s="188"/>
      <c r="F310" s="189"/>
      <c r="G310" s="74"/>
      <c r="H310" s="74"/>
      <c r="I310" s="74"/>
      <c r="J310" s="74"/>
      <c r="K310" s="72"/>
      <c r="L310" s="133"/>
      <c r="M310" s="133"/>
    </row>
    <row r="311" spans="1:13" ht="30" customHeight="1" x14ac:dyDescent="0.3">
      <c r="A311" s="21"/>
      <c r="B311" s="56"/>
      <c r="C311" s="63" t="s">
        <v>1281</v>
      </c>
      <c r="D311" s="189">
        <v>0</v>
      </c>
      <c r="E311" s="190"/>
      <c r="F311" s="190"/>
      <c r="G311" s="75"/>
      <c r="H311" s="75"/>
      <c r="I311" s="75"/>
      <c r="J311" s="75"/>
      <c r="K311" s="71"/>
      <c r="L311" s="133"/>
      <c r="M311" s="133"/>
    </row>
    <row r="312" spans="1:13" ht="22.8" customHeight="1" x14ac:dyDescent="0.3">
      <c r="A312" s="21"/>
      <c r="B312" s="56"/>
      <c r="C312" s="56"/>
      <c r="D312" s="56"/>
      <c r="E312" s="56"/>
      <c r="F312" s="56"/>
      <c r="G312" s="56"/>
      <c r="H312" s="56"/>
      <c r="I312" s="56"/>
      <c r="J312" s="56"/>
      <c r="K312" s="56"/>
      <c r="L312" s="56"/>
      <c r="M312" s="56"/>
    </row>
    <row r="313" spans="1:13" ht="27" customHeight="1" x14ac:dyDescent="0.3">
      <c r="A313" s="21"/>
      <c r="B313" s="56"/>
      <c r="C313" s="185" t="s">
        <v>293</v>
      </c>
      <c r="D313" s="185"/>
      <c r="E313" s="185"/>
      <c r="F313" s="185"/>
      <c r="G313" s="56"/>
      <c r="H313" s="56" t="s">
        <v>27</v>
      </c>
      <c r="I313" s="56"/>
      <c r="J313" s="56"/>
      <c r="K313" s="56" t="s">
        <v>294</v>
      </c>
      <c r="L313" s="56"/>
      <c r="M313" s="56"/>
    </row>
    <row r="314" spans="1:13" ht="12.6" customHeight="1" x14ac:dyDescent="0.35">
      <c r="A314" s="21"/>
      <c r="B314" s="67"/>
      <c r="C314" s="67"/>
      <c r="D314" s="67"/>
      <c r="E314" s="67"/>
      <c r="F314" s="67"/>
      <c r="G314" s="67"/>
      <c r="H314" s="67"/>
      <c r="I314" s="67"/>
      <c r="J314" s="67"/>
      <c r="K314" s="67"/>
      <c r="L314" s="67"/>
      <c r="M314" s="54"/>
    </row>
    <row r="317" spans="1:13" ht="11.4" customHeight="1" x14ac:dyDescent="0.3">
      <c r="A317" s="21"/>
      <c r="B317" s="21"/>
      <c r="C317" s="21"/>
      <c r="D317" s="21"/>
      <c r="E317" s="21"/>
      <c r="F317" s="21"/>
      <c r="G317" s="21"/>
      <c r="H317" s="21"/>
      <c r="I317" s="21"/>
      <c r="J317" s="21"/>
      <c r="K317" s="21"/>
      <c r="L317" s="21"/>
      <c r="M317" s="21"/>
    </row>
    <row r="318" spans="1:13" ht="26.4" customHeight="1" x14ac:dyDescent="0.3">
      <c r="A318" s="21"/>
      <c r="B318" s="184" t="str">
        <f>Bracket!$C$1</f>
        <v>STAG GLOBAL CORPORATE CHAMPIONSHIP</v>
      </c>
      <c r="C318" s="184"/>
      <c r="D318" s="184"/>
      <c r="E318" s="184"/>
      <c r="F318" s="184"/>
      <c r="G318" s="184"/>
      <c r="H318" s="184"/>
      <c r="I318" s="184"/>
      <c r="J318" s="184"/>
      <c r="K318" s="184"/>
      <c r="L318" s="64"/>
      <c r="M318" s="64"/>
    </row>
    <row r="319" spans="1:13" ht="18" customHeight="1" x14ac:dyDescent="0.3">
      <c r="A319" s="21"/>
      <c r="B319" s="56" t="str">
        <f>REPLACE(Bracket!$C$2,1,9,"")</f>
        <v xml:space="preserve"> Men Doubles</v>
      </c>
      <c r="C319" s="62"/>
      <c r="D319" s="66"/>
      <c r="E319" s="66"/>
      <c r="F319" s="65" t="s">
        <v>1981</v>
      </c>
      <c r="G319" s="66"/>
      <c r="H319" s="66"/>
      <c r="I319" s="66" t="s">
        <v>72</v>
      </c>
      <c r="J319" s="65">
        <v>27</v>
      </c>
      <c r="K319" s="57"/>
      <c r="L319" s="57"/>
      <c r="M319" s="57"/>
    </row>
    <row r="320" spans="1:13" ht="15" customHeight="1" x14ac:dyDescent="0.3">
      <c r="A320" s="21"/>
      <c r="B320" s="56"/>
      <c r="C320" s="58"/>
      <c r="D320" s="185"/>
      <c r="E320" s="185"/>
      <c r="F320" s="60"/>
      <c r="G320" s="59"/>
      <c r="H320" s="59"/>
      <c r="I320" s="59"/>
      <c r="J320" s="59"/>
      <c r="K320" s="59"/>
      <c r="L320" s="59"/>
      <c r="M320" s="59"/>
    </row>
    <row r="321" spans="1:13" ht="17.399999999999999" customHeight="1" x14ac:dyDescent="0.3">
      <c r="A321" s="21"/>
      <c r="B321" s="56"/>
      <c r="C321" s="61" t="s">
        <v>947</v>
      </c>
      <c r="D321" s="186" t="s">
        <v>292</v>
      </c>
      <c r="E321" s="186"/>
      <c r="F321" s="187"/>
      <c r="G321" s="76">
        <v>1</v>
      </c>
      <c r="H321" s="76">
        <v>2</v>
      </c>
      <c r="I321" s="76">
        <v>3</v>
      </c>
      <c r="J321" s="76">
        <v>4</v>
      </c>
      <c r="K321" s="73">
        <v>5</v>
      </c>
      <c r="L321" s="60"/>
      <c r="M321" s="60"/>
    </row>
    <row r="322" spans="1:13" ht="30" customHeight="1" x14ac:dyDescent="0.3">
      <c r="A322" s="21"/>
      <c r="B322" s="56"/>
      <c r="C322" s="63" t="s">
        <v>1281</v>
      </c>
      <c r="D322" s="188">
        <v>0</v>
      </c>
      <c r="E322" s="188"/>
      <c r="F322" s="189"/>
      <c r="G322" s="74"/>
      <c r="H322" s="74"/>
      <c r="I322" s="74"/>
      <c r="J322" s="74"/>
      <c r="K322" s="72"/>
      <c r="L322" s="133"/>
      <c r="M322" s="133"/>
    </row>
    <row r="323" spans="1:13" ht="30" customHeight="1" x14ac:dyDescent="0.3">
      <c r="A323" s="21"/>
      <c r="B323" s="56"/>
      <c r="C323" s="63" t="s">
        <v>1281</v>
      </c>
      <c r="D323" s="189">
        <v>0</v>
      </c>
      <c r="E323" s="190"/>
      <c r="F323" s="190"/>
      <c r="G323" s="75"/>
      <c r="H323" s="75"/>
      <c r="I323" s="75"/>
      <c r="J323" s="75"/>
      <c r="K323" s="71"/>
      <c r="L323" s="133"/>
      <c r="M323" s="133"/>
    </row>
    <row r="324" spans="1:13" ht="22.8" customHeight="1" x14ac:dyDescent="0.3">
      <c r="A324" s="21"/>
      <c r="B324" s="56"/>
      <c r="C324" s="56"/>
      <c r="D324" s="56"/>
      <c r="E324" s="56"/>
      <c r="F324" s="56"/>
      <c r="G324" s="56"/>
      <c r="H324" s="56"/>
      <c r="I324" s="56"/>
      <c r="J324" s="56"/>
      <c r="K324" s="56"/>
      <c r="L324" s="56"/>
      <c r="M324" s="56"/>
    </row>
    <row r="325" spans="1:13" ht="27" customHeight="1" x14ac:dyDescent="0.3">
      <c r="A325" s="21"/>
      <c r="B325" s="56"/>
      <c r="C325" s="185" t="s">
        <v>293</v>
      </c>
      <c r="D325" s="185"/>
      <c r="E325" s="185"/>
      <c r="F325" s="185"/>
      <c r="G325" s="56"/>
      <c r="H325" s="56" t="s">
        <v>27</v>
      </c>
      <c r="I325" s="56"/>
      <c r="J325" s="56"/>
      <c r="K325" s="56" t="s">
        <v>294</v>
      </c>
      <c r="L325" s="56"/>
      <c r="M325" s="56"/>
    </row>
    <row r="326" spans="1:13" ht="12.6" customHeight="1" x14ac:dyDescent="0.35">
      <c r="A326" s="21"/>
      <c r="B326" s="67"/>
      <c r="C326" s="67"/>
      <c r="D326" s="67"/>
      <c r="E326" s="67"/>
      <c r="F326" s="67"/>
      <c r="G326" s="67"/>
      <c r="H326" s="67"/>
      <c r="I326" s="67"/>
      <c r="J326" s="67"/>
      <c r="K326" s="67"/>
      <c r="L326" s="67"/>
      <c r="M326" s="54"/>
    </row>
    <row r="329" spans="1:13" ht="11.4" customHeight="1" x14ac:dyDescent="0.3">
      <c r="A329" s="21"/>
      <c r="B329" s="21"/>
      <c r="C329" s="21"/>
      <c r="D329" s="21"/>
      <c r="E329" s="21"/>
      <c r="F329" s="21"/>
      <c r="G329" s="21"/>
      <c r="H329" s="21"/>
      <c r="I329" s="21"/>
      <c r="J329" s="21"/>
      <c r="K329" s="21"/>
      <c r="L329" s="21"/>
      <c r="M329" s="21"/>
    </row>
    <row r="330" spans="1:13" ht="26.4" customHeight="1" x14ac:dyDescent="0.3">
      <c r="A330" s="21"/>
      <c r="B330" s="184" t="str">
        <f>Bracket!$C$1</f>
        <v>STAG GLOBAL CORPORATE CHAMPIONSHIP</v>
      </c>
      <c r="C330" s="184"/>
      <c r="D330" s="184"/>
      <c r="E330" s="184"/>
      <c r="F330" s="184"/>
      <c r="G330" s="184"/>
      <c r="H330" s="184"/>
      <c r="I330" s="184"/>
      <c r="J330" s="184"/>
      <c r="K330" s="184"/>
      <c r="L330" s="64"/>
      <c r="M330" s="64"/>
    </row>
    <row r="331" spans="1:13" ht="18" customHeight="1" x14ac:dyDescent="0.3">
      <c r="A331" s="21"/>
      <c r="B331" s="56" t="str">
        <f>REPLACE(Bracket!$C$2,1,9,"")</f>
        <v xml:space="preserve"> Men Doubles</v>
      </c>
      <c r="C331" s="62"/>
      <c r="D331" s="66"/>
      <c r="E331" s="66"/>
      <c r="F331" s="65" t="s">
        <v>1982</v>
      </c>
      <c r="G331" s="66"/>
      <c r="H331" s="66"/>
      <c r="I331" s="66" t="s">
        <v>72</v>
      </c>
      <c r="J331" s="65">
        <v>28</v>
      </c>
      <c r="K331" s="57"/>
      <c r="L331" s="57"/>
      <c r="M331" s="57"/>
    </row>
    <row r="332" spans="1:13" ht="15" customHeight="1" x14ac:dyDescent="0.3">
      <c r="A332" s="21"/>
      <c r="B332" s="56"/>
      <c r="C332" s="58"/>
      <c r="D332" s="185"/>
      <c r="E332" s="185"/>
      <c r="F332" s="60"/>
      <c r="G332" s="59"/>
      <c r="H332" s="59"/>
      <c r="I332" s="59"/>
      <c r="J332" s="59"/>
      <c r="K332" s="59"/>
      <c r="L332" s="59"/>
      <c r="M332" s="59"/>
    </row>
    <row r="333" spans="1:13" ht="17.399999999999999" customHeight="1" x14ac:dyDescent="0.3">
      <c r="A333" s="21"/>
      <c r="B333" s="56"/>
      <c r="C333" s="61" t="s">
        <v>947</v>
      </c>
      <c r="D333" s="186" t="s">
        <v>292</v>
      </c>
      <c r="E333" s="186"/>
      <c r="F333" s="187"/>
      <c r="G333" s="76">
        <v>1</v>
      </c>
      <c r="H333" s="76">
        <v>2</v>
      </c>
      <c r="I333" s="76">
        <v>3</v>
      </c>
      <c r="J333" s="76">
        <v>4</v>
      </c>
      <c r="K333" s="73">
        <v>5</v>
      </c>
      <c r="L333" s="60"/>
      <c r="M333" s="60"/>
    </row>
    <row r="334" spans="1:13" ht="30" customHeight="1" x14ac:dyDescent="0.3">
      <c r="A334" s="21"/>
      <c r="B334" s="56"/>
      <c r="C334" s="63" t="s">
        <v>1281</v>
      </c>
      <c r="D334" s="188">
        <v>0</v>
      </c>
      <c r="E334" s="188"/>
      <c r="F334" s="189"/>
      <c r="G334" s="74"/>
      <c r="H334" s="74"/>
      <c r="I334" s="74"/>
      <c r="J334" s="74"/>
      <c r="K334" s="72"/>
      <c r="L334" s="133"/>
      <c r="M334" s="133"/>
    </row>
    <row r="335" spans="1:13" ht="30" customHeight="1" x14ac:dyDescent="0.3">
      <c r="A335" s="21"/>
      <c r="B335" s="56"/>
      <c r="C335" s="63" t="s">
        <v>1281</v>
      </c>
      <c r="D335" s="189">
        <v>0</v>
      </c>
      <c r="E335" s="190"/>
      <c r="F335" s="190"/>
      <c r="G335" s="75"/>
      <c r="H335" s="75"/>
      <c r="I335" s="75"/>
      <c r="J335" s="75"/>
      <c r="K335" s="71"/>
      <c r="L335" s="133"/>
      <c r="M335" s="133"/>
    </row>
    <row r="336" spans="1:13" ht="22.8" customHeight="1" x14ac:dyDescent="0.3">
      <c r="A336" s="21"/>
      <c r="B336" s="56"/>
      <c r="C336" s="56"/>
      <c r="D336" s="56"/>
      <c r="E336" s="56"/>
      <c r="F336" s="56"/>
      <c r="G336" s="56"/>
      <c r="H336" s="56"/>
      <c r="I336" s="56"/>
      <c r="J336" s="56"/>
      <c r="K336" s="56"/>
      <c r="L336" s="56"/>
      <c r="M336" s="56"/>
    </row>
    <row r="337" spans="1:13" ht="27" customHeight="1" x14ac:dyDescent="0.3">
      <c r="A337" s="21"/>
      <c r="B337" s="56"/>
      <c r="C337" s="185" t="s">
        <v>293</v>
      </c>
      <c r="D337" s="185"/>
      <c r="E337" s="185"/>
      <c r="F337" s="185"/>
      <c r="G337" s="56"/>
      <c r="H337" s="56" t="s">
        <v>27</v>
      </c>
      <c r="I337" s="56"/>
      <c r="J337" s="56"/>
      <c r="K337" s="56" t="s">
        <v>294</v>
      </c>
      <c r="L337" s="56"/>
      <c r="M337" s="56"/>
    </row>
    <row r="338" spans="1:13" ht="12.6" customHeight="1" x14ac:dyDescent="0.35">
      <c r="A338" s="21"/>
      <c r="B338" s="67"/>
      <c r="C338" s="67"/>
      <c r="D338" s="67"/>
      <c r="E338" s="67"/>
      <c r="F338" s="67"/>
      <c r="G338" s="67"/>
      <c r="H338" s="67"/>
      <c r="I338" s="67"/>
      <c r="J338" s="67"/>
      <c r="K338" s="67"/>
      <c r="L338" s="67"/>
      <c r="M338" s="54"/>
    </row>
    <row r="341" spans="1:13" ht="11.4" customHeight="1" x14ac:dyDescent="0.3">
      <c r="A341" s="21"/>
      <c r="B341" s="21"/>
      <c r="C341" s="21"/>
      <c r="D341" s="21"/>
      <c r="E341" s="21"/>
      <c r="F341" s="21"/>
      <c r="G341" s="21"/>
      <c r="H341" s="21"/>
      <c r="I341" s="21"/>
      <c r="J341" s="21"/>
      <c r="K341" s="21"/>
      <c r="L341" s="21"/>
      <c r="M341" s="21"/>
    </row>
    <row r="342" spans="1:13" ht="26.4" customHeight="1" x14ac:dyDescent="0.3">
      <c r="A342" s="21"/>
      <c r="B342" s="184" t="str">
        <f>Bracket!$C$1</f>
        <v>STAG GLOBAL CORPORATE CHAMPIONSHIP</v>
      </c>
      <c r="C342" s="184"/>
      <c r="D342" s="184"/>
      <c r="E342" s="184"/>
      <c r="F342" s="184"/>
      <c r="G342" s="184"/>
      <c r="H342" s="184"/>
      <c r="I342" s="184"/>
      <c r="J342" s="184"/>
      <c r="K342" s="184"/>
      <c r="L342" s="64"/>
      <c r="M342" s="64"/>
    </row>
    <row r="343" spans="1:13" ht="18" customHeight="1" x14ac:dyDescent="0.3">
      <c r="A343" s="21"/>
      <c r="B343" s="56" t="str">
        <f>REPLACE(Bracket!$C$2,1,9,"")</f>
        <v xml:space="preserve"> Men Doubles</v>
      </c>
      <c r="C343" s="62"/>
      <c r="D343" s="66"/>
      <c r="E343" s="66"/>
      <c r="F343" s="65" t="s">
        <v>1983</v>
      </c>
      <c r="G343" s="66"/>
      <c r="H343" s="66"/>
      <c r="I343" s="66" t="s">
        <v>72</v>
      </c>
      <c r="J343" s="65">
        <v>29</v>
      </c>
      <c r="K343" s="57"/>
      <c r="L343" s="57"/>
      <c r="M343" s="57"/>
    </row>
    <row r="344" spans="1:13" ht="15" customHeight="1" x14ac:dyDescent="0.3">
      <c r="A344" s="21"/>
      <c r="B344" s="56"/>
      <c r="C344" s="58"/>
      <c r="D344" s="185"/>
      <c r="E344" s="185"/>
      <c r="F344" s="60"/>
      <c r="G344" s="59"/>
      <c r="H344" s="59"/>
      <c r="I344" s="59"/>
      <c r="J344" s="59"/>
      <c r="K344" s="59"/>
      <c r="L344" s="59"/>
      <c r="M344" s="59"/>
    </row>
    <row r="345" spans="1:13" ht="17.399999999999999" customHeight="1" x14ac:dyDescent="0.3">
      <c r="A345" s="21"/>
      <c r="B345" s="56"/>
      <c r="C345" s="61" t="s">
        <v>947</v>
      </c>
      <c r="D345" s="186" t="s">
        <v>292</v>
      </c>
      <c r="E345" s="186"/>
      <c r="F345" s="187"/>
      <c r="G345" s="76">
        <v>1</v>
      </c>
      <c r="H345" s="76">
        <v>2</v>
      </c>
      <c r="I345" s="76">
        <v>3</v>
      </c>
      <c r="J345" s="76">
        <v>4</v>
      </c>
      <c r="K345" s="73">
        <v>5</v>
      </c>
      <c r="L345" s="60"/>
      <c r="M345" s="60"/>
    </row>
    <row r="346" spans="1:13" ht="30" customHeight="1" x14ac:dyDescent="0.3">
      <c r="A346" s="21"/>
      <c r="B346" s="56"/>
      <c r="C346" s="63" t="s">
        <v>1281</v>
      </c>
      <c r="D346" s="188">
        <v>0</v>
      </c>
      <c r="E346" s="188"/>
      <c r="F346" s="189"/>
      <c r="G346" s="74"/>
      <c r="H346" s="74"/>
      <c r="I346" s="74"/>
      <c r="J346" s="74"/>
      <c r="K346" s="72"/>
      <c r="L346" s="133"/>
      <c r="M346" s="133"/>
    </row>
    <row r="347" spans="1:13" ht="30" customHeight="1" x14ac:dyDescent="0.3">
      <c r="A347" s="21"/>
      <c r="B347" s="56"/>
      <c r="C347" s="63" t="s">
        <v>1281</v>
      </c>
      <c r="D347" s="189">
        <v>0</v>
      </c>
      <c r="E347" s="190"/>
      <c r="F347" s="190"/>
      <c r="G347" s="75"/>
      <c r="H347" s="75"/>
      <c r="I347" s="75"/>
      <c r="J347" s="75"/>
      <c r="K347" s="71"/>
      <c r="L347" s="133"/>
      <c r="M347" s="133"/>
    </row>
    <row r="348" spans="1:13" ht="22.8" customHeight="1" x14ac:dyDescent="0.3">
      <c r="A348" s="21"/>
      <c r="B348" s="56"/>
      <c r="C348" s="56"/>
      <c r="D348" s="56"/>
      <c r="E348" s="56"/>
      <c r="F348" s="56"/>
      <c r="G348" s="56"/>
      <c r="H348" s="56"/>
      <c r="I348" s="56"/>
      <c r="J348" s="56"/>
      <c r="K348" s="56"/>
      <c r="L348" s="56"/>
      <c r="M348" s="56"/>
    </row>
    <row r="349" spans="1:13" ht="27" customHeight="1" x14ac:dyDescent="0.3">
      <c r="A349" s="21"/>
      <c r="B349" s="56"/>
      <c r="C349" s="185" t="s">
        <v>293</v>
      </c>
      <c r="D349" s="185"/>
      <c r="E349" s="185"/>
      <c r="F349" s="185"/>
      <c r="G349" s="56"/>
      <c r="H349" s="56" t="s">
        <v>27</v>
      </c>
      <c r="I349" s="56"/>
      <c r="J349" s="56"/>
      <c r="K349" s="56" t="s">
        <v>294</v>
      </c>
      <c r="L349" s="56"/>
      <c r="M349" s="56"/>
    </row>
    <row r="350" spans="1:13" ht="12.6" customHeight="1" x14ac:dyDescent="0.35">
      <c r="A350" s="21"/>
      <c r="B350" s="67"/>
      <c r="C350" s="67"/>
      <c r="D350" s="67"/>
      <c r="E350" s="67"/>
      <c r="F350" s="67"/>
      <c r="G350" s="67"/>
      <c r="H350" s="67"/>
      <c r="I350" s="67"/>
      <c r="J350" s="67"/>
      <c r="K350" s="67"/>
      <c r="L350" s="67"/>
      <c r="M350" s="54"/>
    </row>
    <row r="353" spans="1:13" ht="11.4" customHeight="1" x14ac:dyDescent="0.3">
      <c r="A353" s="21"/>
      <c r="B353" s="21"/>
      <c r="C353" s="21"/>
      <c r="D353" s="21"/>
      <c r="E353" s="21"/>
      <c r="F353" s="21"/>
      <c r="G353" s="21"/>
      <c r="H353" s="21"/>
      <c r="I353" s="21"/>
      <c r="J353" s="21"/>
      <c r="K353" s="21"/>
      <c r="L353" s="21"/>
      <c r="M353" s="21"/>
    </row>
    <row r="354" spans="1:13" ht="26.4" customHeight="1" x14ac:dyDescent="0.3">
      <c r="A354" s="21"/>
      <c r="B354" s="184" t="str">
        <f>Bracket!$C$1</f>
        <v>STAG GLOBAL CORPORATE CHAMPIONSHIP</v>
      </c>
      <c r="C354" s="184"/>
      <c r="D354" s="184"/>
      <c r="E354" s="184"/>
      <c r="F354" s="184"/>
      <c r="G354" s="184"/>
      <c r="H354" s="184"/>
      <c r="I354" s="184"/>
      <c r="J354" s="184"/>
      <c r="K354" s="184"/>
      <c r="L354" s="64"/>
      <c r="M354" s="64"/>
    </row>
    <row r="355" spans="1:13" ht="18" customHeight="1" x14ac:dyDescent="0.3">
      <c r="A355" s="21"/>
      <c r="B355" s="56" t="str">
        <f>REPLACE(Bracket!$C$2,1,9,"")</f>
        <v xml:space="preserve"> Men Doubles</v>
      </c>
      <c r="C355" s="62"/>
      <c r="D355" s="66"/>
      <c r="E355" s="66"/>
      <c r="F355" s="65" t="s">
        <v>1984</v>
      </c>
      <c r="G355" s="66"/>
      <c r="H355" s="66"/>
      <c r="I355" s="66" t="s">
        <v>72</v>
      </c>
      <c r="J355" s="65">
        <v>30</v>
      </c>
      <c r="K355" s="57"/>
      <c r="L355" s="57"/>
      <c r="M355" s="57"/>
    </row>
    <row r="356" spans="1:13" ht="15" customHeight="1" x14ac:dyDescent="0.3">
      <c r="A356" s="21"/>
      <c r="B356" s="56"/>
      <c r="C356" s="58"/>
      <c r="D356" s="185"/>
      <c r="E356" s="185"/>
      <c r="F356" s="60"/>
      <c r="G356" s="59"/>
      <c r="H356" s="59"/>
      <c r="I356" s="59"/>
      <c r="J356" s="59"/>
      <c r="K356" s="59"/>
      <c r="L356" s="59"/>
      <c r="M356" s="59"/>
    </row>
    <row r="357" spans="1:13" ht="17.399999999999999" customHeight="1" x14ac:dyDescent="0.3">
      <c r="A357" s="21"/>
      <c r="B357" s="56"/>
      <c r="C357" s="61" t="s">
        <v>947</v>
      </c>
      <c r="D357" s="186" t="s">
        <v>292</v>
      </c>
      <c r="E357" s="186"/>
      <c r="F357" s="187"/>
      <c r="G357" s="76">
        <v>1</v>
      </c>
      <c r="H357" s="76">
        <v>2</v>
      </c>
      <c r="I357" s="76">
        <v>3</v>
      </c>
      <c r="J357" s="76">
        <v>4</v>
      </c>
      <c r="K357" s="73">
        <v>5</v>
      </c>
      <c r="L357" s="60"/>
      <c r="M357" s="60"/>
    </row>
    <row r="358" spans="1:13" ht="30" customHeight="1" x14ac:dyDescent="0.3">
      <c r="A358" s="21"/>
      <c r="B358" s="56"/>
      <c r="C358" s="63" t="s">
        <v>1281</v>
      </c>
      <c r="D358" s="188">
        <v>0</v>
      </c>
      <c r="E358" s="188"/>
      <c r="F358" s="189"/>
      <c r="G358" s="74"/>
      <c r="H358" s="74"/>
      <c r="I358" s="74"/>
      <c r="J358" s="74"/>
      <c r="K358" s="72"/>
      <c r="L358" s="133"/>
      <c r="M358" s="133"/>
    </row>
    <row r="359" spans="1:13" ht="30" customHeight="1" x14ac:dyDescent="0.3">
      <c r="A359" s="21"/>
      <c r="B359" s="56"/>
      <c r="C359" s="63" t="s">
        <v>1281</v>
      </c>
      <c r="D359" s="189">
        <v>0</v>
      </c>
      <c r="E359" s="190"/>
      <c r="F359" s="190"/>
      <c r="G359" s="75"/>
      <c r="H359" s="75"/>
      <c r="I359" s="75"/>
      <c r="J359" s="75"/>
      <c r="K359" s="71"/>
      <c r="L359" s="133"/>
      <c r="M359" s="133"/>
    </row>
    <row r="360" spans="1:13" ht="22.8" customHeight="1" x14ac:dyDescent="0.3">
      <c r="A360" s="21"/>
      <c r="B360" s="56"/>
      <c r="C360" s="56"/>
      <c r="D360" s="56"/>
      <c r="E360" s="56"/>
      <c r="F360" s="56"/>
      <c r="G360" s="56"/>
      <c r="H360" s="56"/>
      <c r="I360" s="56"/>
      <c r="J360" s="56"/>
      <c r="K360" s="56"/>
      <c r="L360" s="56"/>
      <c r="M360" s="56"/>
    </row>
    <row r="361" spans="1:13" ht="27" customHeight="1" x14ac:dyDescent="0.3">
      <c r="A361" s="21"/>
      <c r="B361" s="56"/>
      <c r="C361" s="185" t="s">
        <v>293</v>
      </c>
      <c r="D361" s="185"/>
      <c r="E361" s="185"/>
      <c r="F361" s="185"/>
      <c r="G361" s="56"/>
      <c r="H361" s="56" t="s">
        <v>27</v>
      </c>
      <c r="I361" s="56"/>
      <c r="J361" s="56"/>
      <c r="K361" s="56" t="s">
        <v>294</v>
      </c>
      <c r="L361" s="56"/>
      <c r="M361" s="56"/>
    </row>
    <row r="362" spans="1:13" ht="12.6" customHeight="1" x14ac:dyDescent="0.35">
      <c r="A362" s="21"/>
      <c r="B362" s="67"/>
      <c r="C362" s="67"/>
      <c r="D362" s="67"/>
      <c r="E362" s="67"/>
      <c r="F362" s="67"/>
      <c r="G362" s="67"/>
      <c r="H362" s="67"/>
      <c r="I362" s="67"/>
      <c r="J362" s="67"/>
      <c r="K362" s="67"/>
      <c r="L362" s="67"/>
      <c r="M362" s="54"/>
    </row>
    <row r="365" spans="1:13" ht="11.4" customHeight="1" x14ac:dyDescent="0.3">
      <c r="A365" s="21"/>
      <c r="B365" s="21"/>
      <c r="C365" s="21"/>
      <c r="D365" s="21"/>
      <c r="E365" s="21"/>
      <c r="F365" s="21"/>
      <c r="G365" s="21"/>
      <c r="H365" s="21"/>
      <c r="I365" s="21"/>
      <c r="J365" s="21"/>
      <c r="K365" s="21"/>
      <c r="L365" s="21"/>
      <c r="M365" s="21"/>
    </row>
    <row r="366" spans="1:13" ht="26.4" customHeight="1" x14ac:dyDescent="0.3">
      <c r="A366" s="21"/>
      <c r="B366" s="184" t="str">
        <f>Bracket!$C$1</f>
        <v>STAG GLOBAL CORPORATE CHAMPIONSHIP</v>
      </c>
      <c r="C366" s="184"/>
      <c r="D366" s="184"/>
      <c r="E366" s="184"/>
      <c r="F366" s="184"/>
      <c r="G366" s="184"/>
      <c r="H366" s="184"/>
      <c r="I366" s="184"/>
      <c r="J366" s="184"/>
      <c r="K366" s="184"/>
      <c r="L366" s="64"/>
      <c r="M366" s="64"/>
    </row>
    <row r="367" spans="1:13" ht="18" customHeight="1" x14ac:dyDescent="0.3">
      <c r="A367" s="21"/>
      <c r="B367" s="56" t="str">
        <f>REPLACE(Bracket!$C$2,1,9,"")</f>
        <v xml:space="preserve"> Men Doubles</v>
      </c>
      <c r="C367" s="62"/>
      <c r="D367" s="66"/>
      <c r="E367" s="66"/>
      <c r="F367" s="65" t="s">
        <v>1985</v>
      </c>
      <c r="G367" s="66"/>
      <c r="H367" s="66"/>
      <c r="I367" s="66" t="s">
        <v>72</v>
      </c>
      <c r="J367" s="65">
        <v>31</v>
      </c>
      <c r="K367" s="57"/>
      <c r="L367" s="57"/>
      <c r="M367" s="57"/>
    </row>
    <row r="368" spans="1:13" ht="15" customHeight="1" x14ac:dyDescent="0.3">
      <c r="A368" s="21"/>
      <c r="B368" s="56"/>
      <c r="C368" s="58"/>
      <c r="D368" s="185"/>
      <c r="E368" s="185"/>
      <c r="F368" s="60"/>
      <c r="G368" s="59"/>
      <c r="H368" s="59"/>
      <c r="I368" s="59"/>
      <c r="J368" s="59"/>
      <c r="K368" s="59"/>
      <c r="L368" s="59"/>
      <c r="M368" s="59"/>
    </row>
    <row r="369" spans="1:13" ht="17.399999999999999" customHeight="1" x14ac:dyDescent="0.3">
      <c r="A369" s="21"/>
      <c r="B369" s="56"/>
      <c r="C369" s="61" t="s">
        <v>947</v>
      </c>
      <c r="D369" s="186" t="s">
        <v>292</v>
      </c>
      <c r="E369" s="186"/>
      <c r="F369" s="187"/>
      <c r="G369" s="76">
        <v>1</v>
      </c>
      <c r="H369" s="76">
        <v>2</v>
      </c>
      <c r="I369" s="76">
        <v>3</v>
      </c>
      <c r="J369" s="76">
        <v>4</v>
      </c>
      <c r="K369" s="73">
        <v>5</v>
      </c>
      <c r="L369" s="60"/>
      <c r="M369" s="60"/>
    </row>
    <row r="370" spans="1:13" ht="30" customHeight="1" x14ac:dyDescent="0.3">
      <c r="A370" s="21"/>
      <c r="B370" s="56"/>
      <c r="C370" s="63" t="s">
        <v>1281</v>
      </c>
      <c r="D370" s="188">
        <v>0</v>
      </c>
      <c r="E370" s="188"/>
      <c r="F370" s="189"/>
      <c r="G370" s="74"/>
      <c r="H370" s="74"/>
      <c r="I370" s="74"/>
      <c r="J370" s="74"/>
      <c r="K370" s="72"/>
      <c r="L370" s="133"/>
      <c r="M370" s="133"/>
    </row>
    <row r="371" spans="1:13" ht="30" customHeight="1" x14ac:dyDescent="0.3">
      <c r="A371" s="21"/>
      <c r="B371" s="56"/>
      <c r="C371" s="63" t="s">
        <v>1281</v>
      </c>
      <c r="D371" s="189">
        <v>0</v>
      </c>
      <c r="E371" s="190"/>
      <c r="F371" s="190"/>
      <c r="G371" s="75"/>
      <c r="H371" s="75"/>
      <c r="I371" s="75"/>
      <c r="J371" s="75"/>
      <c r="K371" s="71"/>
      <c r="L371" s="133"/>
      <c r="M371" s="133"/>
    </row>
    <row r="372" spans="1:13" ht="22.8" customHeight="1" x14ac:dyDescent="0.3">
      <c r="A372" s="21"/>
      <c r="B372" s="56"/>
      <c r="C372" s="56"/>
      <c r="D372" s="56"/>
      <c r="E372" s="56"/>
      <c r="F372" s="56"/>
      <c r="G372" s="56"/>
      <c r="H372" s="56"/>
      <c r="I372" s="56"/>
      <c r="J372" s="56"/>
      <c r="K372" s="56"/>
      <c r="L372" s="56"/>
      <c r="M372" s="56"/>
    </row>
    <row r="373" spans="1:13" ht="27" customHeight="1" x14ac:dyDescent="0.3">
      <c r="A373" s="21"/>
      <c r="B373" s="56"/>
      <c r="C373" s="185" t="s">
        <v>293</v>
      </c>
      <c r="D373" s="185"/>
      <c r="E373" s="185"/>
      <c r="F373" s="185"/>
      <c r="G373" s="56"/>
      <c r="H373" s="56" t="s">
        <v>27</v>
      </c>
      <c r="I373" s="56"/>
      <c r="J373" s="56"/>
      <c r="K373" s="56" t="s">
        <v>294</v>
      </c>
      <c r="L373" s="56"/>
      <c r="M373" s="56"/>
    </row>
    <row r="374" spans="1:13" ht="12.6" customHeight="1" x14ac:dyDescent="0.35">
      <c r="A374" s="21"/>
      <c r="B374" s="67"/>
      <c r="C374" s="67"/>
      <c r="D374" s="67"/>
      <c r="E374" s="67"/>
      <c r="F374" s="67"/>
      <c r="G374" s="67"/>
      <c r="H374" s="67"/>
      <c r="I374" s="67"/>
      <c r="J374" s="67"/>
      <c r="K374" s="67"/>
      <c r="L374" s="67"/>
      <c r="M374" s="54"/>
    </row>
    <row r="377" spans="1:13" ht="11.4" customHeight="1" x14ac:dyDescent="0.3">
      <c r="A377" s="21"/>
      <c r="B377" s="21"/>
      <c r="C377" s="21"/>
      <c r="D377" s="21"/>
      <c r="E377" s="21"/>
      <c r="F377" s="21"/>
      <c r="G377" s="21"/>
      <c r="H377" s="21"/>
      <c r="I377" s="21"/>
      <c r="J377" s="21"/>
      <c r="K377" s="21"/>
      <c r="L377" s="21"/>
      <c r="M377" s="21"/>
    </row>
    <row r="378" spans="1:13" ht="26.4" customHeight="1" x14ac:dyDescent="0.3">
      <c r="A378" s="21"/>
      <c r="B378" s="184" t="str">
        <f>Bracket!$C$1</f>
        <v>STAG GLOBAL CORPORATE CHAMPIONSHIP</v>
      </c>
      <c r="C378" s="184"/>
      <c r="D378" s="184"/>
      <c r="E378" s="184"/>
      <c r="F378" s="184"/>
      <c r="G378" s="184"/>
      <c r="H378" s="184"/>
      <c r="I378" s="184"/>
      <c r="J378" s="184"/>
      <c r="K378" s="184"/>
      <c r="L378" s="64"/>
      <c r="M378" s="64"/>
    </row>
    <row r="379" spans="1:13" ht="18" customHeight="1" x14ac:dyDescent="0.3">
      <c r="A379" s="21"/>
      <c r="B379" s="56" t="str">
        <f>REPLACE(Bracket!$C$2,1,9,"")</f>
        <v xml:space="preserve"> Men Doubles</v>
      </c>
      <c r="C379" s="62"/>
      <c r="D379" s="66"/>
      <c r="E379" s="66"/>
      <c r="F379" s="65" t="s">
        <v>1986</v>
      </c>
      <c r="G379" s="66"/>
      <c r="H379" s="66"/>
      <c r="I379" s="66" t="s">
        <v>72</v>
      </c>
      <c r="J379" s="65">
        <v>32</v>
      </c>
      <c r="K379" s="57"/>
      <c r="L379" s="57"/>
      <c r="M379" s="57"/>
    </row>
    <row r="380" spans="1:13" ht="15" customHeight="1" x14ac:dyDescent="0.3">
      <c r="A380" s="21"/>
      <c r="B380" s="56"/>
      <c r="C380" s="58"/>
      <c r="D380" s="185"/>
      <c r="E380" s="185"/>
      <c r="F380" s="60"/>
      <c r="G380" s="59"/>
      <c r="H380" s="59"/>
      <c r="I380" s="59"/>
      <c r="J380" s="59"/>
      <c r="K380" s="59"/>
      <c r="L380" s="59"/>
      <c r="M380" s="59"/>
    </row>
    <row r="381" spans="1:13" ht="17.399999999999999" customHeight="1" x14ac:dyDescent="0.3">
      <c r="A381" s="21"/>
      <c r="B381" s="56"/>
      <c r="C381" s="61" t="s">
        <v>947</v>
      </c>
      <c r="D381" s="186" t="s">
        <v>292</v>
      </c>
      <c r="E381" s="186"/>
      <c r="F381" s="187"/>
      <c r="G381" s="76">
        <v>1</v>
      </c>
      <c r="H381" s="76">
        <v>2</v>
      </c>
      <c r="I381" s="76">
        <v>3</v>
      </c>
      <c r="J381" s="76">
        <v>4</v>
      </c>
      <c r="K381" s="73">
        <v>5</v>
      </c>
      <c r="L381" s="60"/>
      <c r="M381" s="60"/>
    </row>
    <row r="382" spans="1:13" ht="30" customHeight="1" x14ac:dyDescent="0.3">
      <c r="A382" s="21"/>
      <c r="B382" s="56"/>
      <c r="C382" s="63" t="s">
        <v>1281</v>
      </c>
      <c r="D382" s="188">
        <v>0</v>
      </c>
      <c r="E382" s="188"/>
      <c r="F382" s="189"/>
      <c r="G382" s="74"/>
      <c r="H382" s="74"/>
      <c r="I382" s="74"/>
      <c r="J382" s="74"/>
      <c r="K382" s="72"/>
      <c r="L382" s="133"/>
      <c r="M382" s="133"/>
    </row>
    <row r="383" spans="1:13" ht="30" customHeight="1" x14ac:dyDescent="0.3">
      <c r="A383" s="21"/>
      <c r="B383" s="56"/>
      <c r="C383" s="63" t="s">
        <v>1281</v>
      </c>
      <c r="D383" s="189">
        <v>0</v>
      </c>
      <c r="E383" s="190"/>
      <c r="F383" s="190"/>
      <c r="G383" s="75"/>
      <c r="H383" s="75"/>
      <c r="I383" s="75"/>
      <c r="J383" s="75"/>
      <c r="K383" s="71"/>
      <c r="L383" s="133"/>
      <c r="M383" s="133"/>
    </row>
    <row r="384" spans="1:13" ht="22.8" customHeight="1" x14ac:dyDescent="0.3">
      <c r="A384" s="21"/>
      <c r="B384" s="56"/>
      <c r="C384" s="56"/>
      <c r="D384" s="56"/>
      <c r="E384" s="56"/>
      <c r="F384" s="56"/>
      <c r="G384" s="56"/>
      <c r="H384" s="56"/>
      <c r="I384" s="56"/>
      <c r="J384" s="56"/>
      <c r="K384" s="56"/>
      <c r="L384" s="56"/>
      <c r="M384" s="56"/>
    </row>
    <row r="385" spans="1:13" ht="27" customHeight="1" x14ac:dyDescent="0.3">
      <c r="A385" s="21"/>
      <c r="B385" s="56"/>
      <c r="C385" s="185" t="s">
        <v>293</v>
      </c>
      <c r="D385" s="185"/>
      <c r="E385" s="185"/>
      <c r="F385" s="185"/>
      <c r="G385" s="56"/>
      <c r="H385" s="56" t="s">
        <v>27</v>
      </c>
      <c r="I385" s="56"/>
      <c r="J385" s="56"/>
      <c r="K385" s="56" t="s">
        <v>294</v>
      </c>
      <c r="L385" s="56"/>
      <c r="M385" s="56"/>
    </row>
    <row r="386" spans="1:13" ht="12.6" customHeight="1" x14ac:dyDescent="0.35">
      <c r="A386" s="21"/>
      <c r="B386" s="67"/>
      <c r="C386" s="67"/>
      <c r="D386" s="67"/>
      <c r="E386" s="67"/>
      <c r="F386" s="67"/>
      <c r="G386" s="67"/>
      <c r="H386" s="67"/>
      <c r="I386" s="67"/>
      <c r="J386" s="67"/>
      <c r="K386" s="67"/>
      <c r="L386" s="67"/>
      <c r="M386" s="54"/>
    </row>
    <row r="389" spans="1:13" ht="11.4" customHeight="1" x14ac:dyDescent="0.3">
      <c r="A389" s="21"/>
      <c r="B389" s="21"/>
      <c r="C389" s="21"/>
      <c r="D389" s="21"/>
      <c r="E389" s="21"/>
      <c r="F389" s="21"/>
      <c r="G389" s="21"/>
      <c r="H389" s="21"/>
      <c r="I389" s="21"/>
      <c r="J389" s="21"/>
      <c r="K389" s="21"/>
      <c r="L389" s="21"/>
      <c r="M389" s="21"/>
    </row>
    <row r="390" spans="1:13" ht="26.4" customHeight="1" x14ac:dyDescent="0.3">
      <c r="A390" s="21"/>
      <c r="B390" s="184" t="str">
        <f>Bracket!$C$1</f>
        <v>STAG GLOBAL CORPORATE CHAMPIONSHIP</v>
      </c>
      <c r="C390" s="184"/>
      <c r="D390" s="184"/>
      <c r="E390" s="184"/>
      <c r="F390" s="184"/>
      <c r="G390" s="184"/>
      <c r="H390" s="184"/>
      <c r="I390" s="184"/>
      <c r="J390" s="184"/>
      <c r="K390" s="184"/>
      <c r="L390" s="64"/>
      <c r="M390" s="64"/>
    </row>
    <row r="391" spans="1:13" ht="18" customHeight="1" x14ac:dyDescent="0.3">
      <c r="A391" s="21"/>
      <c r="B391" s="56" t="str">
        <f>REPLACE(Bracket!$C$2,1,9,"")</f>
        <v xml:space="preserve"> Men Doubles</v>
      </c>
      <c r="C391" s="62"/>
      <c r="D391" s="66"/>
      <c r="E391" s="66"/>
      <c r="F391" s="65" t="s">
        <v>291</v>
      </c>
      <c r="G391" s="66"/>
      <c r="H391" s="66"/>
      <c r="I391" s="66" t="s">
        <v>72</v>
      </c>
      <c r="J391" s="65">
        <v>33</v>
      </c>
      <c r="K391" s="57"/>
      <c r="L391" s="57"/>
      <c r="M391" s="57"/>
    </row>
    <row r="392" spans="1:13" ht="15" customHeight="1" x14ac:dyDescent="0.3">
      <c r="A392" s="21"/>
      <c r="B392" s="56"/>
      <c r="C392" s="58"/>
      <c r="D392" s="185"/>
      <c r="E392" s="185"/>
      <c r="F392" s="60"/>
      <c r="G392" s="59"/>
      <c r="H392" s="59"/>
      <c r="I392" s="59"/>
      <c r="J392" s="59"/>
      <c r="K392" s="59"/>
      <c r="L392" s="59"/>
      <c r="M392" s="59"/>
    </row>
    <row r="393" spans="1:13" ht="17.399999999999999" customHeight="1" x14ac:dyDescent="0.3">
      <c r="A393" s="21"/>
      <c r="B393" s="56"/>
      <c r="C393" s="61" t="s">
        <v>947</v>
      </c>
      <c r="D393" s="186" t="s">
        <v>292</v>
      </c>
      <c r="E393" s="186"/>
      <c r="F393" s="187"/>
      <c r="G393" s="76">
        <v>1</v>
      </c>
      <c r="H393" s="76">
        <v>2</v>
      </c>
      <c r="I393" s="76">
        <v>3</v>
      </c>
      <c r="J393" s="76">
        <v>4</v>
      </c>
      <c r="K393" s="73">
        <v>5</v>
      </c>
      <c r="L393" s="60"/>
      <c r="M393" s="60"/>
    </row>
    <row r="394" spans="1:13" ht="30" customHeight="1" x14ac:dyDescent="0.3">
      <c r="A394" s="21"/>
      <c r="B394" s="56"/>
      <c r="C394" s="63" t="s">
        <v>1281</v>
      </c>
      <c r="D394" s="188">
        <v>0</v>
      </c>
      <c r="E394" s="188"/>
      <c r="F394" s="189"/>
      <c r="G394" s="74"/>
      <c r="H394" s="74"/>
      <c r="I394" s="74"/>
      <c r="J394" s="74"/>
      <c r="K394" s="72"/>
      <c r="L394" s="133"/>
      <c r="M394" s="133"/>
    </row>
    <row r="395" spans="1:13" ht="30" customHeight="1" x14ac:dyDescent="0.3">
      <c r="A395" s="21"/>
      <c r="B395" s="56"/>
      <c r="C395" s="63" t="s">
        <v>1281</v>
      </c>
      <c r="D395" s="189">
        <v>0</v>
      </c>
      <c r="E395" s="190"/>
      <c r="F395" s="190"/>
      <c r="G395" s="75"/>
      <c r="H395" s="75"/>
      <c r="I395" s="75"/>
      <c r="J395" s="75"/>
      <c r="K395" s="71"/>
      <c r="L395" s="133"/>
      <c r="M395" s="133"/>
    </row>
    <row r="396" spans="1:13" ht="22.8" customHeight="1" x14ac:dyDescent="0.3">
      <c r="A396" s="21"/>
      <c r="B396" s="56"/>
      <c r="C396" s="56"/>
      <c r="D396" s="56"/>
      <c r="E396" s="56"/>
      <c r="F396" s="56"/>
      <c r="G396" s="56"/>
      <c r="H396" s="56"/>
      <c r="I396" s="56"/>
      <c r="J396" s="56"/>
      <c r="K396" s="56"/>
      <c r="L396" s="56"/>
      <c r="M396" s="56"/>
    </row>
    <row r="397" spans="1:13" ht="27" customHeight="1" x14ac:dyDescent="0.3">
      <c r="A397" s="21"/>
      <c r="B397" s="56"/>
      <c r="C397" s="185" t="s">
        <v>293</v>
      </c>
      <c r="D397" s="185"/>
      <c r="E397" s="185"/>
      <c r="F397" s="185"/>
      <c r="G397" s="56"/>
      <c r="H397" s="56" t="s">
        <v>27</v>
      </c>
      <c r="I397" s="56"/>
      <c r="J397" s="56"/>
      <c r="K397" s="56" t="s">
        <v>294</v>
      </c>
      <c r="L397" s="56"/>
      <c r="M397" s="56"/>
    </row>
    <row r="398" spans="1:13" ht="12.6" customHeight="1" x14ac:dyDescent="0.35">
      <c r="A398" s="21"/>
      <c r="B398" s="67"/>
      <c r="C398" s="67"/>
      <c r="D398" s="67"/>
      <c r="E398" s="67"/>
      <c r="F398" s="67"/>
      <c r="G398" s="67"/>
      <c r="H398" s="67"/>
      <c r="I398" s="67"/>
      <c r="J398" s="67"/>
      <c r="K398" s="67"/>
      <c r="L398" s="67"/>
      <c r="M398" s="54"/>
    </row>
    <row r="401" ht="11.4" customHeight="1" x14ac:dyDescent="0.3"/>
    <row r="402" ht="26.4" customHeight="1" x14ac:dyDescent="0.3"/>
    <row r="403" ht="18" customHeight="1" x14ac:dyDescent="0.3"/>
    <row r="404" ht="15" customHeight="1" x14ac:dyDescent="0.3"/>
    <row r="405" ht="17.399999999999999" customHeight="1" x14ac:dyDescent="0.3"/>
    <row r="406" ht="30" customHeight="1" x14ac:dyDescent="0.3"/>
    <row r="407" ht="30" customHeight="1" x14ac:dyDescent="0.3"/>
    <row r="408" ht="22.8" customHeight="1" x14ac:dyDescent="0.3"/>
    <row r="409" ht="27" customHeight="1" x14ac:dyDescent="0.3"/>
    <row r="410" ht="12.6" customHeight="1" x14ac:dyDescent="0.3"/>
    <row r="413" ht="11.4" customHeight="1" x14ac:dyDescent="0.3"/>
    <row r="414" ht="26.4" customHeight="1" x14ac:dyDescent="0.3"/>
    <row r="415" ht="18" customHeight="1" x14ac:dyDescent="0.3"/>
    <row r="416" ht="15" customHeight="1" x14ac:dyDescent="0.3"/>
    <row r="417" ht="17.399999999999999" customHeight="1" x14ac:dyDescent="0.3"/>
    <row r="418" ht="30" customHeight="1" x14ac:dyDescent="0.3"/>
    <row r="419" ht="30" customHeight="1" x14ac:dyDescent="0.3"/>
    <row r="420" ht="22.8" customHeight="1" x14ac:dyDescent="0.3"/>
    <row r="421" ht="27" customHeight="1" x14ac:dyDescent="0.3"/>
    <row r="422" ht="12.6" customHeight="1" x14ac:dyDescent="0.3"/>
    <row r="425" ht="11.4" customHeight="1" x14ac:dyDescent="0.3"/>
    <row r="426" ht="26.4" customHeight="1" x14ac:dyDescent="0.3"/>
    <row r="427" ht="18" customHeight="1" x14ac:dyDescent="0.3"/>
    <row r="428" ht="15" customHeight="1" x14ac:dyDescent="0.3"/>
    <row r="429" ht="17.399999999999999" customHeight="1" x14ac:dyDescent="0.3"/>
    <row r="430" ht="30" customHeight="1" x14ac:dyDescent="0.3"/>
    <row r="431" ht="30" customHeight="1" x14ac:dyDescent="0.3"/>
    <row r="432" ht="22.8" customHeight="1" x14ac:dyDescent="0.3"/>
    <row r="433" ht="27" customHeight="1" x14ac:dyDescent="0.3"/>
    <row r="434" ht="12.6" customHeight="1" x14ac:dyDescent="0.3"/>
    <row r="437" ht="11.4" customHeight="1" x14ac:dyDescent="0.3"/>
    <row r="438" ht="26.4" customHeight="1" x14ac:dyDescent="0.3"/>
    <row r="439" ht="18" customHeight="1" x14ac:dyDescent="0.3"/>
    <row r="440" ht="15" customHeight="1" x14ac:dyDescent="0.3"/>
    <row r="441" ht="17.399999999999999" customHeight="1" x14ac:dyDescent="0.3"/>
    <row r="442" ht="30" customHeight="1" x14ac:dyDescent="0.3"/>
    <row r="443" ht="30" customHeight="1" x14ac:dyDescent="0.3"/>
    <row r="444" ht="22.8" customHeight="1" x14ac:dyDescent="0.3"/>
    <row r="445" ht="27" customHeight="1" x14ac:dyDescent="0.3"/>
    <row r="446" ht="12.6" customHeight="1" x14ac:dyDescent="0.3"/>
    <row r="449" ht="11.4" customHeight="1" x14ac:dyDescent="0.3"/>
    <row r="450" ht="26.4" customHeight="1" x14ac:dyDescent="0.3"/>
    <row r="451" ht="18" customHeight="1" x14ac:dyDescent="0.3"/>
    <row r="452" ht="15" customHeight="1" x14ac:dyDescent="0.3"/>
    <row r="453" ht="17.399999999999999" customHeight="1" x14ac:dyDescent="0.3"/>
    <row r="454" ht="30" customHeight="1" x14ac:dyDescent="0.3"/>
    <row r="455" ht="30" customHeight="1" x14ac:dyDescent="0.3"/>
    <row r="456" ht="22.8" customHeight="1" x14ac:dyDescent="0.3"/>
    <row r="457" ht="27" customHeight="1" x14ac:dyDescent="0.3"/>
    <row r="458" ht="12.6" customHeight="1" x14ac:dyDescent="0.3"/>
    <row r="461" ht="11.4" customHeight="1" x14ac:dyDescent="0.3"/>
    <row r="462" ht="26.4" customHeight="1" x14ac:dyDescent="0.3"/>
    <row r="463" ht="18" customHeight="1" x14ac:dyDescent="0.3"/>
    <row r="464" ht="15" customHeight="1" x14ac:dyDescent="0.3"/>
    <row r="465" ht="17.399999999999999" customHeight="1" x14ac:dyDescent="0.3"/>
    <row r="466" ht="30" customHeight="1" x14ac:dyDescent="0.3"/>
    <row r="467" ht="30" customHeight="1" x14ac:dyDescent="0.3"/>
    <row r="468" ht="22.8" customHeight="1" x14ac:dyDescent="0.3"/>
    <row r="469" ht="27" customHeight="1" x14ac:dyDescent="0.3"/>
    <row r="470" ht="12.6" customHeight="1" x14ac:dyDescent="0.3"/>
    <row r="473" ht="11.4" customHeight="1" x14ac:dyDescent="0.3"/>
    <row r="474" ht="26.4" customHeight="1" x14ac:dyDescent="0.3"/>
    <row r="475" ht="18" customHeight="1" x14ac:dyDescent="0.3"/>
    <row r="476" ht="15" customHeight="1" x14ac:dyDescent="0.3"/>
    <row r="477" ht="17.399999999999999" customHeight="1" x14ac:dyDescent="0.3"/>
    <row r="478" ht="30" customHeight="1" x14ac:dyDescent="0.3"/>
    <row r="479" ht="30" customHeight="1" x14ac:dyDescent="0.3"/>
    <row r="480" ht="22.8" customHeight="1" x14ac:dyDescent="0.3"/>
    <row r="481" ht="27" customHeight="1" x14ac:dyDescent="0.3"/>
    <row r="482" ht="12.6" customHeight="1" x14ac:dyDescent="0.3"/>
    <row r="485" ht="11.4" customHeight="1" x14ac:dyDescent="0.3"/>
    <row r="486" ht="26.4" customHeight="1" x14ac:dyDescent="0.3"/>
    <row r="487" ht="18" customHeight="1" x14ac:dyDescent="0.3"/>
    <row r="488" ht="15" customHeight="1" x14ac:dyDescent="0.3"/>
    <row r="489" ht="17.399999999999999" customHeight="1" x14ac:dyDescent="0.3"/>
    <row r="490" ht="30" customHeight="1" x14ac:dyDescent="0.3"/>
    <row r="491" ht="30" customHeight="1" x14ac:dyDescent="0.3"/>
    <row r="492" ht="22.8" customHeight="1" x14ac:dyDescent="0.3"/>
    <row r="493" ht="27" customHeight="1" x14ac:dyDescent="0.3"/>
    <row r="494" ht="12.6" customHeight="1" x14ac:dyDescent="0.3"/>
    <row r="497" ht="11.4" customHeight="1" x14ac:dyDescent="0.3"/>
    <row r="498" ht="26.4" customHeight="1" x14ac:dyDescent="0.3"/>
    <row r="499" ht="18" customHeight="1" x14ac:dyDescent="0.3"/>
    <row r="500" ht="15" customHeight="1" x14ac:dyDescent="0.3"/>
    <row r="501" ht="17.399999999999999" customHeight="1" x14ac:dyDescent="0.3"/>
    <row r="502" ht="30" customHeight="1" x14ac:dyDescent="0.3"/>
    <row r="503" ht="30" customHeight="1" x14ac:dyDescent="0.3"/>
    <row r="504" ht="22.8" customHeight="1" x14ac:dyDescent="0.3"/>
    <row r="505" ht="27" customHeight="1" x14ac:dyDescent="0.3"/>
    <row r="506" ht="12.6" customHeight="1" x14ac:dyDescent="0.3"/>
    <row r="509" ht="11.4" customHeight="1" x14ac:dyDescent="0.3"/>
    <row r="510" ht="26.4" customHeight="1" x14ac:dyDescent="0.3"/>
    <row r="511" ht="18" customHeight="1" x14ac:dyDescent="0.3"/>
    <row r="512" ht="15" customHeight="1" x14ac:dyDescent="0.3"/>
    <row r="513" ht="17.399999999999999" customHeight="1" x14ac:dyDescent="0.3"/>
    <row r="514" ht="30" customHeight="1" x14ac:dyDescent="0.3"/>
    <row r="515" ht="30" customHeight="1" x14ac:dyDescent="0.3"/>
    <row r="516" ht="22.8" customHeight="1" x14ac:dyDescent="0.3"/>
    <row r="517" ht="27" customHeight="1" x14ac:dyDescent="0.3"/>
    <row r="518" ht="12.6" customHeight="1" x14ac:dyDescent="0.3"/>
    <row r="521" ht="11.4" customHeight="1" x14ac:dyDescent="0.3"/>
    <row r="522" ht="26.4" customHeight="1" x14ac:dyDescent="0.3"/>
    <row r="523" ht="18" customHeight="1" x14ac:dyDescent="0.3"/>
    <row r="524" ht="15" customHeight="1" x14ac:dyDescent="0.3"/>
    <row r="525" ht="17.399999999999999" customHeight="1" x14ac:dyDescent="0.3"/>
    <row r="526" ht="30" customHeight="1" x14ac:dyDescent="0.3"/>
    <row r="527" ht="30" customHeight="1" x14ac:dyDescent="0.3"/>
    <row r="528" ht="22.8" customHeight="1" x14ac:dyDescent="0.3"/>
    <row r="529" ht="27" customHeight="1" x14ac:dyDescent="0.3"/>
    <row r="530" ht="12.6" customHeight="1" x14ac:dyDescent="0.3"/>
    <row r="533" ht="11.4" customHeight="1" x14ac:dyDescent="0.3"/>
    <row r="534" ht="26.4" customHeight="1" x14ac:dyDescent="0.3"/>
    <row r="535" ht="18" customHeight="1" x14ac:dyDescent="0.3"/>
    <row r="536" ht="15" customHeight="1" x14ac:dyDescent="0.3"/>
    <row r="537" ht="17.399999999999999" customHeight="1" x14ac:dyDescent="0.3"/>
    <row r="538" ht="30" customHeight="1" x14ac:dyDescent="0.3"/>
    <row r="539" ht="30" customHeight="1" x14ac:dyDescent="0.3"/>
    <row r="540" ht="22.8" customHeight="1" x14ac:dyDescent="0.3"/>
    <row r="541" ht="27" customHeight="1" x14ac:dyDescent="0.3"/>
    <row r="542" ht="12.6" customHeight="1" x14ac:dyDescent="0.3"/>
    <row r="545" ht="11.4" customHeight="1" x14ac:dyDescent="0.3"/>
    <row r="546" ht="26.4" customHeight="1" x14ac:dyDescent="0.3"/>
    <row r="547" ht="18" customHeight="1" x14ac:dyDescent="0.3"/>
    <row r="548" ht="15" customHeight="1" x14ac:dyDescent="0.3"/>
    <row r="549" ht="17.399999999999999" customHeight="1" x14ac:dyDescent="0.3"/>
    <row r="550" ht="30" customHeight="1" x14ac:dyDescent="0.3"/>
    <row r="551" ht="30" customHeight="1" x14ac:dyDescent="0.3"/>
    <row r="552" ht="22.8" customHeight="1" x14ac:dyDescent="0.3"/>
    <row r="553" ht="27" customHeight="1" x14ac:dyDescent="0.3"/>
    <row r="554" ht="12.6" customHeight="1" x14ac:dyDescent="0.3"/>
    <row r="557" ht="11.4" customHeight="1" x14ac:dyDescent="0.3"/>
    <row r="558" ht="26.4" customHeight="1" x14ac:dyDescent="0.3"/>
    <row r="559" ht="18" customHeight="1" x14ac:dyDescent="0.3"/>
    <row r="560" ht="15" customHeight="1" x14ac:dyDescent="0.3"/>
    <row r="561" ht="17.399999999999999" customHeight="1" x14ac:dyDescent="0.3"/>
    <row r="562" ht="30" customHeight="1" x14ac:dyDescent="0.3"/>
    <row r="563" ht="30" customHeight="1" x14ac:dyDescent="0.3"/>
    <row r="564" ht="22.8" customHeight="1" x14ac:dyDescent="0.3"/>
    <row r="565" ht="27" customHeight="1" x14ac:dyDescent="0.3"/>
    <row r="566" ht="12.6" customHeight="1" x14ac:dyDescent="0.3"/>
    <row r="569" ht="11.4" customHeight="1" x14ac:dyDescent="0.3"/>
    <row r="570" ht="26.4" customHeight="1" x14ac:dyDescent="0.3"/>
    <row r="571" ht="18" customHeight="1" x14ac:dyDescent="0.3"/>
    <row r="572" ht="15" customHeight="1" x14ac:dyDescent="0.3"/>
    <row r="573" ht="17.399999999999999" customHeight="1" x14ac:dyDescent="0.3"/>
    <row r="574" ht="30" customHeight="1" x14ac:dyDescent="0.3"/>
    <row r="575" ht="30" customHeight="1" x14ac:dyDescent="0.3"/>
    <row r="576" ht="22.8" customHeight="1" x14ac:dyDescent="0.3"/>
    <row r="577" ht="27" customHeight="1" x14ac:dyDescent="0.3"/>
    <row r="578" ht="12.6" customHeight="1" x14ac:dyDescent="0.3"/>
    <row r="581" ht="11.4" customHeight="1" x14ac:dyDescent="0.3"/>
    <row r="582" ht="26.4" customHeight="1" x14ac:dyDescent="0.3"/>
    <row r="583" ht="18" customHeight="1" x14ac:dyDescent="0.3"/>
    <row r="584" ht="15" customHeight="1" x14ac:dyDescent="0.3"/>
    <row r="585" ht="17.399999999999999" customHeight="1" x14ac:dyDescent="0.3"/>
    <row r="586" ht="30" customHeight="1" x14ac:dyDescent="0.3"/>
    <row r="587" ht="30" customHeight="1" x14ac:dyDescent="0.3"/>
    <row r="588" ht="22.8" customHeight="1" x14ac:dyDescent="0.3"/>
    <row r="589" ht="27" customHeight="1" x14ac:dyDescent="0.3"/>
    <row r="590" ht="12.6" customHeight="1" x14ac:dyDescent="0.3"/>
    <row r="593" ht="11.4" customHeight="1" x14ac:dyDescent="0.3"/>
    <row r="594" ht="26.4" customHeight="1" x14ac:dyDescent="0.3"/>
    <row r="595" ht="18" customHeight="1" x14ac:dyDescent="0.3"/>
    <row r="596" ht="15" customHeight="1" x14ac:dyDescent="0.3"/>
    <row r="597" ht="17.399999999999999" customHeight="1" x14ac:dyDescent="0.3"/>
    <row r="598" ht="30" customHeight="1" x14ac:dyDescent="0.3"/>
    <row r="599" ht="30" customHeight="1" x14ac:dyDescent="0.3"/>
    <row r="600" ht="22.8" customHeight="1" x14ac:dyDescent="0.3"/>
    <row r="601" ht="27" customHeight="1" x14ac:dyDescent="0.3"/>
    <row r="602" ht="12.6" customHeight="1" x14ac:dyDescent="0.3"/>
    <row r="605" ht="11.4" customHeight="1" x14ac:dyDescent="0.3"/>
    <row r="606" ht="26.4" customHeight="1" x14ac:dyDescent="0.3"/>
    <row r="607" ht="18" customHeight="1" x14ac:dyDescent="0.3"/>
    <row r="608" ht="15" customHeight="1" x14ac:dyDescent="0.3"/>
    <row r="609" ht="17.399999999999999" customHeight="1" x14ac:dyDescent="0.3"/>
    <row r="610" ht="30" customHeight="1" x14ac:dyDescent="0.3"/>
    <row r="611" ht="30" customHeight="1" x14ac:dyDescent="0.3"/>
    <row r="612" ht="22.8" customHeight="1" x14ac:dyDescent="0.3"/>
    <row r="613" ht="27" customHeight="1" x14ac:dyDescent="0.3"/>
    <row r="614" ht="12.6" customHeight="1" x14ac:dyDescent="0.3"/>
    <row r="617" ht="11.4" customHeight="1" x14ac:dyDescent="0.3"/>
    <row r="618" ht="26.4" customHeight="1" x14ac:dyDescent="0.3"/>
    <row r="619" ht="18" customHeight="1" x14ac:dyDescent="0.3"/>
    <row r="620" ht="15" customHeight="1" x14ac:dyDescent="0.3"/>
    <row r="621" ht="17.399999999999999" customHeight="1" x14ac:dyDescent="0.3"/>
    <row r="622" ht="30" customHeight="1" x14ac:dyDescent="0.3"/>
    <row r="623" ht="30" customHeight="1" x14ac:dyDescent="0.3"/>
    <row r="624" ht="22.8" customHeight="1" x14ac:dyDescent="0.3"/>
    <row r="625" ht="27" customHeight="1" x14ac:dyDescent="0.3"/>
    <row r="626" ht="12.6" customHeight="1" x14ac:dyDescent="0.3"/>
    <row r="629" ht="11.4" customHeight="1" x14ac:dyDescent="0.3"/>
    <row r="630" ht="26.4" customHeight="1" x14ac:dyDescent="0.3"/>
    <row r="631" ht="18" customHeight="1" x14ac:dyDescent="0.3"/>
    <row r="632" ht="15" customHeight="1" x14ac:dyDescent="0.3"/>
    <row r="633" ht="17.399999999999999" customHeight="1" x14ac:dyDescent="0.3"/>
    <row r="634" ht="30" customHeight="1" x14ac:dyDescent="0.3"/>
    <row r="635" ht="30" customHeight="1" x14ac:dyDescent="0.3"/>
    <row r="636" ht="22.8" customHeight="1" x14ac:dyDescent="0.3"/>
    <row r="637" ht="27" customHeight="1" x14ac:dyDescent="0.3"/>
    <row r="638" ht="12.6" customHeight="1" x14ac:dyDescent="0.3"/>
    <row r="641" ht="11.4" customHeight="1" x14ac:dyDescent="0.3"/>
    <row r="642" ht="26.4" customHeight="1" x14ac:dyDescent="0.3"/>
    <row r="643" ht="18" customHeight="1" x14ac:dyDescent="0.3"/>
    <row r="644" ht="15" customHeight="1" x14ac:dyDescent="0.3"/>
    <row r="645" ht="17.399999999999999" customHeight="1" x14ac:dyDescent="0.3"/>
    <row r="646" ht="30" customHeight="1" x14ac:dyDescent="0.3"/>
    <row r="647" ht="30" customHeight="1" x14ac:dyDescent="0.3"/>
    <row r="648" ht="22.8" customHeight="1" x14ac:dyDescent="0.3"/>
    <row r="649" ht="27" customHeight="1" x14ac:dyDescent="0.3"/>
    <row r="650" ht="12.6" customHeight="1" x14ac:dyDescent="0.3"/>
    <row r="653" ht="11.4" customHeight="1" x14ac:dyDescent="0.3"/>
    <row r="654" ht="26.4" customHeight="1" x14ac:dyDescent="0.3"/>
    <row r="655" ht="18" customHeight="1" x14ac:dyDescent="0.3"/>
    <row r="656" ht="15" customHeight="1" x14ac:dyDescent="0.3"/>
    <row r="657" ht="17.399999999999999" customHeight="1" x14ac:dyDescent="0.3"/>
    <row r="658" ht="30" customHeight="1" x14ac:dyDescent="0.3"/>
    <row r="659" ht="30" customHeight="1" x14ac:dyDescent="0.3"/>
    <row r="660" ht="22.8" customHeight="1" x14ac:dyDescent="0.3"/>
    <row r="661" ht="27" customHeight="1" x14ac:dyDescent="0.3"/>
    <row r="662" ht="12.6" customHeight="1" x14ac:dyDescent="0.3"/>
    <row r="665" ht="11.4" customHeight="1" x14ac:dyDescent="0.3"/>
    <row r="666" ht="26.4" customHeight="1" x14ac:dyDescent="0.3"/>
    <row r="667" ht="18" customHeight="1" x14ac:dyDescent="0.3"/>
    <row r="668" ht="15" customHeight="1" x14ac:dyDescent="0.3"/>
    <row r="669" ht="17.399999999999999" customHeight="1" x14ac:dyDescent="0.3"/>
    <row r="670" ht="30" customHeight="1" x14ac:dyDescent="0.3"/>
    <row r="671" ht="30" customHeight="1" x14ac:dyDescent="0.3"/>
    <row r="672" ht="22.8" customHeight="1" x14ac:dyDescent="0.3"/>
    <row r="673" ht="27" customHeight="1" x14ac:dyDescent="0.3"/>
    <row r="674" ht="12.6" customHeight="1" x14ac:dyDescent="0.3"/>
    <row r="677" ht="11.4" customHeight="1" x14ac:dyDescent="0.3"/>
    <row r="678" ht="26.4" customHeight="1" x14ac:dyDescent="0.3"/>
    <row r="679" ht="18" customHeight="1" x14ac:dyDescent="0.3"/>
    <row r="680" ht="15" customHeight="1" x14ac:dyDescent="0.3"/>
    <row r="681" ht="17.399999999999999" customHeight="1" x14ac:dyDescent="0.3"/>
    <row r="682" ht="30" customHeight="1" x14ac:dyDescent="0.3"/>
    <row r="683" ht="30" customHeight="1" x14ac:dyDescent="0.3"/>
    <row r="684" ht="22.8" customHeight="1" x14ac:dyDescent="0.3"/>
    <row r="685" ht="27" customHeight="1" x14ac:dyDescent="0.3"/>
    <row r="686" ht="12.6" customHeight="1" x14ac:dyDescent="0.3"/>
    <row r="689" ht="11.4" customHeight="1" x14ac:dyDescent="0.3"/>
    <row r="690" ht="26.4" customHeight="1" x14ac:dyDescent="0.3"/>
    <row r="691" ht="18" customHeight="1" x14ac:dyDescent="0.3"/>
    <row r="692" ht="15" customHeight="1" x14ac:dyDescent="0.3"/>
    <row r="693" ht="17.399999999999999" customHeight="1" x14ac:dyDescent="0.3"/>
    <row r="694" ht="30" customHeight="1" x14ac:dyDescent="0.3"/>
    <row r="695" ht="30" customHeight="1" x14ac:dyDescent="0.3"/>
    <row r="696" ht="22.8" customHeight="1" x14ac:dyDescent="0.3"/>
    <row r="697" ht="27" customHeight="1" x14ac:dyDescent="0.3"/>
    <row r="698" ht="12.6" customHeight="1" x14ac:dyDescent="0.3"/>
    <row r="701" ht="11.4" customHeight="1" x14ac:dyDescent="0.3"/>
    <row r="702" ht="26.4" customHeight="1" x14ac:dyDescent="0.3"/>
    <row r="703" ht="18" customHeight="1" x14ac:dyDescent="0.3"/>
    <row r="704" ht="15" customHeight="1" x14ac:dyDescent="0.3"/>
    <row r="705" ht="17.399999999999999" customHeight="1" x14ac:dyDescent="0.3"/>
    <row r="706" ht="30" customHeight="1" x14ac:dyDescent="0.3"/>
    <row r="707" ht="30" customHeight="1" x14ac:dyDescent="0.3"/>
    <row r="708" ht="22.8" customHeight="1" x14ac:dyDescent="0.3"/>
    <row r="709" ht="27" customHeight="1" x14ac:dyDescent="0.3"/>
    <row r="710" ht="12.6" customHeight="1" x14ac:dyDescent="0.3"/>
    <row r="713" ht="11.4" customHeight="1" x14ac:dyDescent="0.3"/>
    <row r="714" ht="26.4" customHeight="1" x14ac:dyDescent="0.3"/>
    <row r="715" ht="18" customHeight="1" x14ac:dyDescent="0.3"/>
    <row r="716" ht="15" customHeight="1" x14ac:dyDescent="0.3"/>
    <row r="717" ht="17.399999999999999" customHeight="1" x14ac:dyDescent="0.3"/>
    <row r="718" ht="30" customHeight="1" x14ac:dyDescent="0.3"/>
    <row r="719" ht="30" customHeight="1" x14ac:dyDescent="0.3"/>
    <row r="720" ht="22.8" customHeight="1" x14ac:dyDescent="0.3"/>
    <row r="721" ht="27" customHeight="1" x14ac:dyDescent="0.3"/>
    <row r="722" ht="12.6" customHeight="1" x14ac:dyDescent="0.3"/>
    <row r="725" ht="11.4" customHeight="1" x14ac:dyDescent="0.3"/>
    <row r="726" ht="26.4" customHeight="1" x14ac:dyDescent="0.3"/>
    <row r="727" ht="18" customHeight="1" x14ac:dyDescent="0.3"/>
    <row r="728" ht="15" customHeight="1" x14ac:dyDescent="0.3"/>
    <row r="729" ht="17.399999999999999" customHeight="1" x14ac:dyDescent="0.3"/>
    <row r="730" ht="30" customHeight="1" x14ac:dyDescent="0.3"/>
    <row r="731" ht="30" customHeight="1" x14ac:dyDescent="0.3"/>
    <row r="732" ht="22.8" customHeight="1" x14ac:dyDescent="0.3"/>
    <row r="733" ht="27" customHeight="1" x14ac:dyDescent="0.3"/>
    <row r="734" ht="12.6" customHeight="1" x14ac:dyDescent="0.3"/>
    <row r="737" ht="11.4" customHeight="1" x14ac:dyDescent="0.3"/>
    <row r="738" ht="26.4" customHeight="1" x14ac:dyDescent="0.3"/>
    <row r="739" ht="18" customHeight="1" x14ac:dyDescent="0.3"/>
    <row r="740" ht="15" customHeight="1" x14ac:dyDescent="0.3"/>
    <row r="741" ht="17.399999999999999" customHeight="1" x14ac:dyDescent="0.3"/>
    <row r="742" ht="30" customHeight="1" x14ac:dyDescent="0.3"/>
    <row r="743" ht="30" customHeight="1" x14ac:dyDescent="0.3"/>
    <row r="744" ht="22.8" customHeight="1" x14ac:dyDescent="0.3"/>
    <row r="745" ht="27" customHeight="1" x14ac:dyDescent="0.3"/>
    <row r="746" ht="12.6" customHeight="1" x14ac:dyDescent="0.3"/>
    <row r="749" ht="11.4" customHeight="1" x14ac:dyDescent="0.3"/>
    <row r="750" ht="26.4" customHeight="1" x14ac:dyDescent="0.3"/>
    <row r="751" ht="18" customHeight="1" x14ac:dyDescent="0.3"/>
    <row r="752" ht="15" customHeight="1" x14ac:dyDescent="0.3"/>
    <row r="753" ht="17.399999999999999" customHeight="1" x14ac:dyDescent="0.3"/>
    <row r="754" ht="30" customHeight="1" x14ac:dyDescent="0.3"/>
    <row r="755" ht="30" customHeight="1" x14ac:dyDescent="0.3"/>
    <row r="756" ht="22.8" customHeight="1" x14ac:dyDescent="0.3"/>
    <row r="757" ht="27" customHeight="1" x14ac:dyDescent="0.3"/>
    <row r="758" ht="12.6" customHeight="1" x14ac:dyDescent="0.3"/>
    <row r="761" ht="11.4" customHeight="1" x14ac:dyDescent="0.3"/>
    <row r="762" ht="26.4" customHeight="1" x14ac:dyDescent="0.3"/>
    <row r="763" ht="18" customHeight="1" x14ac:dyDescent="0.3"/>
    <row r="764" ht="15" customHeight="1" x14ac:dyDescent="0.3"/>
    <row r="765" ht="17.399999999999999" customHeight="1" x14ac:dyDescent="0.3"/>
    <row r="766" ht="30" customHeight="1" x14ac:dyDescent="0.3"/>
    <row r="767" ht="30" customHeight="1" x14ac:dyDescent="0.3"/>
    <row r="768" ht="22.8" customHeight="1" x14ac:dyDescent="0.3"/>
    <row r="769" ht="27" customHeight="1" x14ac:dyDescent="0.3"/>
    <row r="770" ht="12.6" customHeight="1" x14ac:dyDescent="0.3"/>
    <row r="773" ht="11.4" customHeight="1" x14ac:dyDescent="0.3"/>
    <row r="774" ht="26.4" customHeight="1" x14ac:dyDescent="0.3"/>
    <row r="775" ht="18" customHeight="1" x14ac:dyDescent="0.3"/>
    <row r="776" ht="15" customHeight="1" x14ac:dyDescent="0.3"/>
    <row r="777" ht="17.399999999999999" customHeight="1" x14ac:dyDescent="0.3"/>
    <row r="778" ht="30" customHeight="1" x14ac:dyDescent="0.3"/>
    <row r="779" ht="30" customHeight="1" x14ac:dyDescent="0.3"/>
    <row r="780" ht="22.8" customHeight="1" x14ac:dyDescent="0.3"/>
    <row r="781" ht="27" customHeight="1" x14ac:dyDescent="0.3"/>
    <row r="782" ht="12.6" customHeight="1" x14ac:dyDescent="0.3"/>
    <row r="785" ht="11.4" customHeight="1" x14ac:dyDescent="0.3"/>
    <row r="786" ht="26.4" customHeight="1" x14ac:dyDescent="0.3"/>
    <row r="787" ht="18" customHeight="1" x14ac:dyDescent="0.3"/>
    <row r="788" ht="15" customHeight="1" x14ac:dyDescent="0.3"/>
    <row r="789" ht="17.399999999999999" customHeight="1" x14ac:dyDescent="0.3"/>
    <row r="790" ht="30" customHeight="1" x14ac:dyDescent="0.3"/>
    <row r="791" ht="30" customHeight="1" x14ac:dyDescent="0.3"/>
    <row r="792" ht="22.8" customHeight="1" x14ac:dyDescent="0.3"/>
    <row r="793" ht="27" customHeight="1" x14ac:dyDescent="0.3"/>
    <row r="794" ht="12.6" customHeight="1" x14ac:dyDescent="0.3"/>
    <row r="797" ht="11.4" customHeight="1" x14ac:dyDescent="0.3"/>
    <row r="798" ht="26.4" customHeight="1" x14ac:dyDescent="0.3"/>
    <row r="799" ht="18" customHeight="1" x14ac:dyDescent="0.3"/>
    <row r="800" ht="15" customHeight="1" x14ac:dyDescent="0.3"/>
    <row r="801" ht="17.399999999999999" customHeight="1" x14ac:dyDescent="0.3"/>
    <row r="802" ht="30" customHeight="1" x14ac:dyDescent="0.3"/>
    <row r="803" ht="30" customHeight="1" x14ac:dyDescent="0.3"/>
    <row r="804" ht="22.8" customHeight="1" x14ac:dyDescent="0.3"/>
    <row r="805" ht="27" customHeight="1" x14ac:dyDescent="0.3"/>
    <row r="806" ht="12.6" customHeight="1" x14ac:dyDescent="0.3"/>
    <row r="809" ht="11.4" customHeight="1" x14ac:dyDescent="0.3"/>
    <row r="810" ht="26.4" customHeight="1" x14ac:dyDescent="0.3"/>
    <row r="811" ht="18" customHeight="1" x14ac:dyDescent="0.3"/>
    <row r="812" ht="15" customHeight="1" x14ac:dyDescent="0.3"/>
    <row r="813" ht="17.399999999999999" customHeight="1" x14ac:dyDescent="0.3"/>
    <row r="814" ht="30" customHeight="1" x14ac:dyDescent="0.3"/>
    <row r="815" ht="30" customHeight="1" x14ac:dyDescent="0.3"/>
    <row r="816" ht="22.8" customHeight="1" x14ac:dyDescent="0.3"/>
    <row r="817" ht="27" customHeight="1" x14ac:dyDescent="0.3"/>
    <row r="818" ht="12.6" customHeight="1" x14ac:dyDescent="0.3"/>
    <row r="821" ht="11.4" customHeight="1" x14ac:dyDescent="0.3"/>
    <row r="822" ht="26.4" customHeight="1" x14ac:dyDescent="0.3"/>
    <row r="823" ht="18" customHeight="1" x14ac:dyDescent="0.3"/>
    <row r="824" ht="15" customHeight="1" x14ac:dyDescent="0.3"/>
    <row r="825" ht="17.399999999999999" customHeight="1" x14ac:dyDescent="0.3"/>
    <row r="826" ht="30" customHeight="1" x14ac:dyDescent="0.3"/>
    <row r="827" ht="30" customHeight="1" x14ac:dyDescent="0.3"/>
    <row r="828" ht="22.8" customHeight="1" x14ac:dyDescent="0.3"/>
    <row r="829" ht="27" customHeight="1" x14ac:dyDescent="0.3"/>
    <row r="830" ht="12.6" customHeight="1" x14ac:dyDescent="0.3"/>
    <row r="833" ht="11.4" customHeight="1" x14ac:dyDescent="0.3"/>
    <row r="834" ht="26.4" customHeight="1" x14ac:dyDescent="0.3"/>
    <row r="835" ht="18" customHeight="1" x14ac:dyDescent="0.3"/>
    <row r="836" ht="15" customHeight="1" x14ac:dyDescent="0.3"/>
    <row r="837" ht="17.399999999999999" customHeight="1" x14ac:dyDescent="0.3"/>
    <row r="838" ht="30" customHeight="1" x14ac:dyDescent="0.3"/>
    <row r="839" ht="30" customHeight="1" x14ac:dyDescent="0.3"/>
    <row r="840" ht="22.8" customHeight="1" x14ac:dyDescent="0.3"/>
    <row r="841" ht="27" customHeight="1" x14ac:dyDescent="0.3"/>
    <row r="842" ht="12.6" customHeight="1" x14ac:dyDescent="0.3"/>
    <row r="845" ht="11.4" customHeight="1" x14ac:dyDescent="0.3"/>
    <row r="846" ht="26.4" customHeight="1" x14ac:dyDescent="0.3"/>
    <row r="847" ht="18" customHeight="1" x14ac:dyDescent="0.3"/>
    <row r="848" ht="15" customHeight="1" x14ac:dyDescent="0.3"/>
    <row r="849" ht="17.399999999999999" customHeight="1" x14ac:dyDescent="0.3"/>
    <row r="850" ht="30" customHeight="1" x14ac:dyDescent="0.3"/>
    <row r="851" ht="30" customHeight="1" x14ac:dyDescent="0.3"/>
    <row r="852" ht="22.8" customHeight="1" x14ac:dyDescent="0.3"/>
    <row r="853" ht="27" customHeight="1" x14ac:dyDescent="0.3"/>
    <row r="854" ht="12.6" customHeight="1" x14ac:dyDescent="0.3"/>
    <row r="857" ht="11.4" customHeight="1" x14ac:dyDescent="0.3"/>
    <row r="858" ht="26.4" customHeight="1" x14ac:dyDescent="0.3"/>
    <row r="859" ht="18" customHeight="1" x14ac:dyDescent="0.3"/>
    <row r="860" ht="15" customHeight="1" x14ac:dyDescent="0.3"/>
    <row r="861" ht="17.399999999999999" customHeight="1" x14ac:dyDescent="0.3"/>
    <row r="862" ht="30" customHeight="1" x14ac:dyDescent="0.3"/>
    <row r="863" ht="30" customHeight="1" x14ac:dyDescent="0.3"/>
    <row r="864" ht="22.8" customHeight="1" x14ac:dyDescent="0.3"/>
    <row r="865" ht="27" customHeight="1" x14ac:dyDescent="0.3"/>
    <row r="866" ht="12.6" customHeight="1" x14ac:dyDescent="0.3"/>
    <row r="869" ht="11.4" customHeight="1" x14ac:dyDescent="0.3"/>
    <row r="870" ht="26.4" customHeight="1" x14ac:dyDescent="0.3"/>
    <row r="871" ht="18" customHeight="1" x14ac:dyDescent="0.3"/>
    <row r="872" ht="15" customHeight="1" x14ac:dyDescent="0.3"/>
    <row r="873" ht="17.399999999999999" customHeight="1" x14ac:dyDescent="0.3"/>
    <row r="874" ht="30" customHeight="1" x14ac:dyDescent="0.3"/>
    <row r="875" ht="30" customHeight="1" x14ac:dyDescent="0.3"/>
    <row r="876" ht="22.8" customHeight="1" x14ac:dyDescent="0.3"/>
    <row r="877" ht="27" customHeight="1" x14ac:dyDescent="0.3"/>
    <row r="878" ht="12.6" customHeight="1" x14ac:dyDescent="0.3"/>
    <row r="881" ht="11.4" customHeight="1" x14ac:dyDescent="0.3"/>
    <row r="882" ht="26.4" customHeight="1" x14ac:dyDescent="0.3"/>
    <row r="883" ht="18" customHeight="1" x14ac:dyDescent="0.3"/>
    <row r="884" ht="15" customHeight="1" x14ac:dyDescent="0.3"/>
    <row r="885" ht="17.399999999999999" customHeight="1" x14ac:dyDescent="0.3"/>
    <row r="886" ht="30" customHeight="1" x14ac:dyDescent="0.3"/>
    <row r="887" ht="30" customHeight="1" x14ac:dyDescent="0.3"/>
    <row r="888" ht="22.8" customHeight="1" x14ac:dyDescent="0.3"/>
    <row r="889" ht="27" customHeight="1" x14ac:dyDescent="0.3"/>
    <row r="890" ht="12.6" customHeight="1" x14ac:dyDescent="0.3"/>
    <row r="893" ht="11.4" customHeight="1" x14ac:dyDescent="0.3"/>
    <row r="894" ht="26.4" customHeight="1" x14ac:dyDescent="0.3"/>
    <row r="895" ht="18" customHeight="1" x14ac:dyDescent="0.3"/>
    <row r="896" ht="15" customHeight="1" x14ac:dyDescent="0.3"/>
    <row r="897" ht="17.399999999999999" customHeight="1" x14ac:dyDescent="0.3"/>
    <row r="898" ht="30" customHeight="1" x14ac:dyDescent="0.3"/>
    <row r="899" ht="30" customHeight="1" x14ac:dyDescent="0.3"/>
    <row r="900" ht="22.8" customHeight="1" x14ac:dyDescent="0.3"/>
    <row r="901" ht="27" customHeight="1" x14ac:dyDescent="0.3"/>
    <row r="902" ht="12.6" customHeight="1" x14ac:dyDescent="0.3"/>
    <row r="905" ht="11.4" customHeight="1" x14ac:dyDescent="0.3"/>
    <row r="906" ht="26.4" customHeight="1" x14ac:dyDescent="0.3"/>
    <row r="907" ht="18" customHeight="1" x14ac:dyDescent="0.3"/>
    <row r="908" ht="15" customHeight="1" x14ac:dyDescent="0.3"/>
    <row r="909" ht="17.399999999999999" customHeight="1" x14ac:dyDescent="0.3"/>
    <row r="910" ht="30" customHeight="1" x14ac:dyDescent="0.3"/>
    <row r="911" ht="30" customHeight="1" x14ac:dyDescent="0.3"/>
    <row r="912" ht="22.8" customHeight="1" x14ac:dyDescent="0.3"/>
    <row r="913" ht="27" customHeight="1" x14ac:dyDescent="0.3"/>
    <row r="914" ht="12.6" customHeight="1" x14ac:dyDescent="0.3"/>
    <row r="917" ht="11.4" customHeight="1" x14ac:dyDescent="0.3"/>
    <row r="918" ht="26.4" customHeight="1" x14ac:dyDescent="0.3"/>
    <row r="919" ht="18" customHeight="1" x14ac:dyDescent="0.3"/>
    <row r="920" ht="15" customHeight="1" x14ac:dyDescent="0.3"/>
    <row r="921" ht="17.399999999999999" customHeight="1" x14ac:dyDescent="0.3"/>
    <row r="922" ht="30" customHeight="1" x14ac:dyDescent="0.3"/>
    <row r="923" ht="30" customHeight="1" x14ac:dyDescent="0.3"/>
    <row r="924" ht="22.8" customHeight="1" x14ac:dyDescent="0.3"/>
    <row r="925" ht="27" customHeight="1" x14ac:dyDescent="0.3"/>
    <row r="926" ht="12.6" customHeight="1" x14ac:dyDescent="0.3"/>
    <row r="929" ht="11.4" customHeight="1" x14ac:dyDescent="0.3"/>
    <row r="930" ht="26.4" customHeight="1" x14ac:dyDescent="0.3"/>
    <row r="931" ht="18" customHeight="1" x14ac:dyDescent="0.3"/>
    <row r="932" ht="15" customHeight="1" x14ac:dyDescent="0.3"/>
    <row r="933" ht="17.399999999999999" customHeight="1" x14ac:dyDescent="0.3"/>
    <row r="934" ht="30" customHeight="1" x14ac:dyDescent="0.3"/>
    <row r="935" ht="30" customHeight="1" x14ac:dyDescent="0.3"/>
    <row r="936" ht="22.8" customHeight="1" x14ac:dyDescent="0.3"/>
    <row r="937" ht="27" customHeight="1" x14ac:dyDescent="0.3"/>
    <row r="938" ht="12.6" customHeight="1" x14ac:dyDescent="0.3"/>
    <row r="941" ht="11.4" customHeight="1" x14ac:dyDescent="0.3"/>
    <row r="942" ht="26.4" customHeight="1" x14ac:dyDescent="0.3"/>
    <row r="943" ht="18" customHeight="1" x14ac:dyDescent="0.3"/>
    <row r="944" ht="15" customHeight="1" x14ac:dyDescent="0.3"/>
    <row r="945" ht="17.399999999999999" customHeight="1" x14ac:dyDescent="0.3"/>
    <row r="946" ht="30" customHeight="1" x14ac:dyDescent="0.3"/>
    <row r="947" ht="30" customHeight="1" x14ac:dyDescent="0.3"/>
    <row r="948" ht="22.8" customHeight="1" x14ac:dyDescent="0.3"/>
    <row r="949" ht="27" customHeight="1" x14ac:dyDescent="0.3"/>
    <row r="950" ht="12.6" customHeight="1" x14ac:dyDescent="0.3"/>
    <row r="953" ht="11.4" customHeight="1" x14ac:dyDescent="0.3"/>
    <row r="954" ht="26.4" customHeight="1" x14ac:dyDescent="0.3"/>
    <row r="955" ht="18" customHeight="1" x14ac:dyDescent="0.3"/>
    <row r="956" ht="15" customHeight="1" x14ac:dyDescent="0.3"/>
    <row r="957" ht="17.399999999999999" customHeight="1" x14ac:dyDescent="0.3"/>
    <row r="958" ht="30" customHeight="1" x14ac:dyDescent="0.3"/>
    <row r="959" ht="30" customHeight="1" x14ac:dyDescent="0.3"/>
    <row r="960" ht="22.8" customHeight="1" x14ac:dyDescent="0.3"/>
    <row r="961" ht="27" customHeight="1" x14ac:dyDescent="0.3"/>
    <row r="962" ht="12.6" customHeight="1" x14ac:dyDescent="0.3"/>
    <row r="965" ht="11.4" customHeight="1" x14ac:dyDescent="0.3"/>
    <row r="966" ht="26.4" customHeight="1" x14ac:dyDescent="0.3"/>
    <row r="967" ht="18" customHeight="1" x14ac:dyDescent="0.3"/>
    <row r="968" ht="15" customHeight="1" x14ac:dyDescent="0.3"/>
    <row r="969" ht="17.399999999999999" customHeight="1" x14ac:dyDescent="0.3"/>
    <row r="970" ht="30" customHeight="1" x14ac:dyDescent="0.3"/>
    <row r="971" ht="30" customHeight="1" x14ac:dyDescent="0.3"/>
    <row r="972" ht="22.8" customHeight="1" x14ac:dyDescent="0.3"/>
    <row r="973" ht="27" customHeight="1" x14ac:dyDescent="0.3"/>
    <row r="974" ht="12.6" customHeight="1" x14ac:dyDescent="0.3"/>
    <row r="977" ht="11.4" customHeight="1" x14ac:dyDescent="0.3"/>
    <row r="978" ht="26.4" customHeight="1" x14ac:dyDescent="0.3"/>
    <row r="979" ht="18" customHeight="1" x14ac:dyDescent="0.3"/>
    <row r="980" ht="15" customHeight="1" x14ac:dyDescent="0.3"/>
    <row r="981" ht="17.399999999999999" customHeight="1" x14ac:dyDescent="0.3"/>
    <row r="982" ht="30" customHeight="1" x14ac:dyDescent="0.3"/>
    <row r="983" ht="30" customHeight="1" x14ac:dyDescent="0.3"/>
    <row r="984" ht="22.8" customHeight="1" x14ac:dyDescent="0.3"/>
    <row r="985" ht="27" customHeight="1" x14ac:dyDescent="0.3"/>
    <row r="986" ht="12.6" customHeight="1" x14ac:dyDescent="0.3"/>
    <row r="989" ht="11.4" customHeight="1" x14ac:dyDescent="0.3"/>
    <row r="990" ht="26.4" customHeight="1" x14ac:dyDescent="0.3"/>
    <row r="991" ht="18" customHeight="1" x14ac:dyDescent="0.3"/>
    <row r="992" ht="15" customHeight="1" x14ac:dyDescent="0.3"/>
    <row r="993" ht="17.399999999999999" customHeight="1" x14ac:dyDescent="0.3"/>
    <row r="994" ht="30" customHeight="1" x14ac:dyDescent="0.3"/>
    <row r="995" ht="30" customHeight="1" x14ac:dyDescent="0.3"/>
    <row r="996" ht="22.8" customHeight="1" x14ac:dyDescent="0.3"/>
    <row r="997" ht="27" customHeight="1" x14ac:dyDescent="0.3"/>
    <row r="998" ht="12.6" customHeight="1" x14ac:dyDescent="0.3"/>
    <row r="1001" ht="11.4" customHeight="1" x14ac:dyDescent="0.3"/>
    <row r="1002" ht="26.4" customHeight="1" x14ac:dyDescent="0.3"/>
    <row r="1003" ht="18" customHeight="1" x14ac:dyDescent="0.3"/>
    <row r="1004" ht="15" customHeight="1" x14ac:dyDescent="0.3"/>
    <row r="1005" ht="17.399999999999999" customHeight="1" x14ac:dyDescent="0.3"/>
    <row r="1006" ht="30" customHeight="1" x14ac:dyDescent="0.3"/>
    <row r="1007" ht="30" customHeight="1" x14ac:dyDescent="0.3"/>
    <row r="1008" ht="22.8" customHeight="1" x14ac:dyDescent="0.3"/>
    <row r="1009" ht="27" customHeight="1" x14ac:dyDescent="0.3"/>
    <row r="1010" ht="12.6" customHeight="1" x14ac:dyDescent="0.3"/>
    <row r="1013" ht="11.4" customHeight="1" x14ac:dyDescent="0.3"/>
    <row r="1014" ht="26.4" customHeight="1" x14ac:dyDescent="0.3"/>
    <row r="1015" ht="18" customHeight="1" x14ac:dyDescent="0.3"/>
    <row r="1016" ht="15" customHeight="1" x14ac:dyDescent="0.3"/>
    <row r="1017" ht="17.399999999999999" customHeight="1" x14ac:dyDescent="0.3"/>
    <row r="1018" ht="30" customHeight="1" x14ac:dyDescent="0.3"/>
    <row r="1019" ht="30" customHeight="1" x14ac:dyDescent="0.3"/>
    <row r="1020" ht="22.8" customHeight="1" x14ac:dyDescent="0.3"/>
    <row r="1021" ht="27" customHeight="1" x14ac:dyDescent="0.3"/>
    <row r="1022" ht="12.6" customHeight="1" x14ac:dyDescent="0.3"/>
    <row r="1025" ht="11.4" customHeight="1" x14ac:dyDescent="0.3"/>
    <row r="1026" ht="26.4" customHeight="1" x14ac:dyDescent="0.3"/>
    <row r="1027" ht="18" customHeight="1" x14ac:dyDescent="0.3"/>
    <row r="1028" ht="15" customHeight="1" x14ac:dyDescent="0.3"/>
    <row r="1029" ht="17.399999999999999" customHeight="1" x14ac:dyDescent="0.3"/>
    <row r="1030" ht="30" customHeight="1" x14ac:dyDescent="0.3"/>
    <row r="1031" ht="30" customHeight="1" x14ac:dyDescent="0.3"/>
    <row r="1032" ht="22.8" customHeight="1" x14ac:dyDescent="0.3"/>
    <row r="1033" ht="27" customHeight="1" x14ac:dyDescent="0.3"/>
    <row r="1034" ht="12.6" customHeight="1" x14ac:dyDescent="0.3"/>
    <row r="1037" ht="11.4" customHeight="1" x14ac:dyDescent="0.3"/>
    <row r="1038" ht="26.4" customHeight="1" x14ac:dyDescent="0.3"/>
    <row r="1039" ht="18" customHeight="1" x14ac:dyDescent="0.3"/>
    <row r="1040" ht="15" customHeight="1" x14ac:dyDescent="0.3"/>
    <row r="1041" ht="17.399999999999999" customHeight="1" x14ac:dyDescent="0.3"/>
    <row r="1042" ht="30" customHeight="1" x14ac:dyDescent="0.3"/>
    <row r="1043" ht="30" customHeight="1" x14ac:dyDescent="0.3"/>
    <row r="1044" ht="22.8" customHeight="1" x14ac:dyDescent="0.3"/>
    <row r="1045" ht="27" customHeight="1" x14ac:dyDescent="0.3"/>
    <row r="1046" ht="12.6" customHeight="1" x14ac:dyDescent="0.3"/>
    <row r="1049" ht="11.4" customHeight="1" x14ac:dyDescent="0.3"/>
    <row r="1050" ht="26.4" customHeight="1" x14ac:dyDescent="0.3"/>
    <row r="1051" ht="18" customHeight="1" x14ac:dyDescent="0.3"/>
    <row r="1052" ht="15" customHeight="1" x14ac:dyDescent="0.3"/>
    <row r="1053" ht="17.399999999999999" customHeight="1" x14ac:dyDescent="0.3"/>
    <row r="1054" ht="30" customHeight="1" x14ac:dyDescent="0.3"/>
    <row r="1055" ht="30" customHeight="1" x14ac:dyDescent="0.3"/>
    <row r="1056" ht="22.8" customHeight="1" x14ac:dyDescent="0.3"/>
    <row r="1057" ht="27" customHeight="1" x14ac:dyDescent="0.3"/>
    <row r="1058" ht="12.6" customHeight="1" x14ac:dyDescent="0.3"/>
    <row r="1061" ht="11.4" customHeight="1" x14ac:dyDescent="0.3"/>
    <row r="1062" ht="26.4" customHeight="1" x14ac:dyDescent="0.3"/>
    <row r="1063" ht="18" customHeight="1" x14ac:dyDescent="0.3"/>
    <row r="1064" ht="15" customHeight="1" x14ac:dyDescent="0.3"/>
    <row r="1065" ht="17.399999999999999" customHeight="1" x14ac:dyDescent="0.3"/>
    <row r="1066" ht="30" customHeight="1" x14ac:dyDescent="0.3"/>
    <row r="1067" ht="30" customHeight="1" x14ac:dyDescent="0.3"/>
    <row r="1068" ht="22.8" customHeight="1" x14ac:dyDescent="0.3"/>
    <row r="1069" ht="27" customHeight="1" x14ac:dyDescent="0.3"/>
    <row r="1070" ht="12.6" customHeight="1" x14ac:dyDescent="0.3"/>
    <row r="1073" ht="11.4" customHeight="1" x14ac:dyDescent="0.3"/>
    <row r="1074" ht="26.4" customHeight="1" x14ac:dyDescent="0.3"/>
    <row r="1075" ht="18" customHeight="1" x14ac:dyDescent="0.3"/>
    <row r="1076" ht="15" customHeight="1" x14ac:dyDescent="0.3"/>
    <row r="1077" ht="17.399999999999999" customHeight="1" x14ac:dyDescent="0.3"/>
    <row r="1078" ht="30" customHeight="1" x14ac:dyDescent="0.3"/>
    <row r="1079" ht="30" customHeight="1" x14ac:dyDescent="0.3"/>
    <row r="1080" ht="22.8" customHeight="1" x14ac:dyDescent="0.3"/>
    <row r="1081" ht="27" customHeight="1" x14ac:dyDescent="0.3"/>
    <row r="1082" ht="12.6" customHeight="1" x14ac:dyDescent="0.3"/>
    <row r="1085" ht="11.4" customHeight="1" x14ac:dyDescent="0.3"/>
    <row r="1086" ht="26.4" customHeight="1" x14ac:dyDescent="0.3"/>
    <row r="1087" ht="18" customHeight="1" x14ac:dyDescent="0.3"/>
    <row r="1088" ht="15" customHeight="1" x14ac:dyDescent="0.3"/>
    <row r="1089" ht="17.399999999999999" customHeight="1" x14ac:dyDescent="0.3"/>
    <row r="1090" ht="30" customHeight="1" x14ac:dyDescent="0.3"/>
    <row r="1091" ht="30" customHeight="1" x14ac:dyDescent="0.3"/>
    <row r="1092" ht="22.8" customHeight="1" x14ac:dyDescent="0.3"/>
    <row r="1093" ht="27" customHeight="1" x14ac:dyDescent="0.3"/>
    <row r="1094" ht="12.6" customHeight="1" x14ac:dyDescent="0.3"/>
    <row r="1097" ht="11.4" customHeight="1" x14ac:dyDescent="0.3"/>
    <row r="1098" ht="26.4" customHeight="1" x14ac:dyDescent="0.3"/>
    <row r="1099" ht="18" customHeight="1" x14ac:dyDescent="0.3"/>
    <row r="1100" ht="15" customHeight="1" x14ac:dyDescent="0.3"/>
    <row r="1101" ht="17.399999999999999" customHeight="1" x14ac:dyDescent="0.3"/>
    <row r="1102" ht="30" customHeight="1" x14ac:dyDescent="0.3"/>
    <row r="1103" ht="30" customHeight="1" x14ac:dyDescent="0.3"/>
    <row r="1104" ht="22.8" customHeight="1" x14ac:dyDescent="0.3"/>
    <row r="1105" ht="27" customHeight="1" x14ac:dyDescent="0.3"/>
    <row r="1106" ht="12.6" customHeight="1" x14ac:dyDescent="0.3"/>
    <row r="1109" ht="11.4" customHeight="1" x14ac:dyDescent="0.3"/>
    <row r="1110" ht="26.4" customHeight="1" x14ac:dyDescent="0.3"/>
    <row r="1111" ht="18" customHeight="1" x14ac:dyDescent="0.3"/>
    <row r="1112" ht="15" customHeight="1" x14ac:dyDescent="0.3"/>
    <row r="1113" ht="17.399999999999999" customHeight="1" x14ac:dyDescent="0.3"/>
    <row r="1114" ht="30" customHeight="1" x14ac:dyDescent="0.3"/>
    <row r="1115" ht="30" customHeight="1" x14ac:dyDescent="0.3"/>
    <row r="1116" ht="22.8" customHeight="1" x14ac:dyDescent="0.3"/>
    <row r="1117" ht="27" customHeight="1" x14ac:dyDescent="0.3"/>
    <row r="1118" ht="12.6" customHeight="1" x14ac:dyDescent="0.3"/>
    <row r="1121" ht="11.4" customHeight="1" x14ac:dyDescent="0.3"/>
    <row r="1122" ht="26.4" customHeight="1" x14ac:dyDescent="0.3"/>
    <row r="1123" ht="18" customHeight="1" x14ac:dyDescent="0.3"/>
    <row r="1124" ht="15" customHeight="1" x14ac:dyDescent="0.3"/>
    <row r="1125" ht="17.399999999999999" customHeight="1" x14ac:dyDescent="0.3"/>
    <row r="1126" ht="30" customHeight="1" x14ac:dyDescent="0.3"/>
    <row r="1127" ht="30" customHeight="1" x14ac:dyDescent="0.3"/>
    <row r="1128" ht="22.8" customHeight="1" x14ac:dyDescent="0.3"/>
    <row r="1129" ht="27" customHeight="1" x14ac:dyDescent="0.3"/>
    <row r="1130" ht="12.6" customHeight="1" x14ac:dyDescent="0.3"/>
    <row r="1133" ht="11.4" customHeight="1" x14ac:dyDescent="0.3"/>
    <row r="1134" ht="26.4" customHeight="1" x14ac:dyDescent="0.3"/>
    <row r="1135" ht="18" customHeight="1" x14ac:dyDescent="0.3"/>
    <row r="1136" ht="15" customHeight="1" x14ac:dyDescent="0.3"/>
    <row r="1137" ht="17.399999999999999" customHeight="1" x14ac:dyDescent="0.3"/>
    <row r="1138" ht="30" customHeight="1" x14ac:dyDescent="0.3"/>
    <row r="1139" ht="30" customHeight="1" x14ac:dyDescent="0.3"/>
    <row r="1140" ht="22.8" customHeight="1" x14ac:dyDescent="0.3"/>
    <row r="1141" ht="27" customHeight="1" x14ac:dyDescent="0.3"/>
    <row r="1142" ht="12.6" customHeight="1" x14ac:dyDescent="0.3"/>
    <row r="1145" ht="11.4" customHeight="1" x14ac:dyDescent="0.3"/>
    <row r="1146" ht="26.4" customHeight="1" x14ac:dyDescent="0.3"/>
    <row r="1147" ht="18" customHeight="1" x14ac:dyDescent="0.3"/>
    <row r="1148" ht="15" customHeight="1" x14ac:dyDescent="0.3"/>
    <row r="1149" ht="17.399999999999999" customHeight="1" x14ac:dyDescent="0.3"/>
    <row r="1150" ht="30" customHeight="1" x14ac:dyDescent="0.3"/>
    <row r="1151" ht="30" customHeight="1" x14ac:dyDescent="0.3"/>
    <row r="1152" ht="22.8" customHeight="1" x14ac:dyDescent="0.3"/>
    <row r="1153" ht="27" customHeight="1" x14ac:dyDescent="0.3"/>
    <row r="1154" ht="12.6" customHeight="1" x14ac:dyDescent="0.3"/>
    <row r="1157" ht="11.4" customHeight="1" x14ac:dyDescent="0.3"/>
    <row r="1158" ht="26.4" customHeight="1" x14ac:dyDescent="0.3"/>
    <row r="1159" ht="18" customHeight="1" x14ac:dyDescent="0.3"/>
    <row r="1160" ht="15" customHeight="1" x14ac:dyDescent="0.3"/>
    <row r="1161" ht="17.399999999999999" customHeight="1" x14ac:dyDescent="0.3"/>
    <row r="1162" ht="30" customHeight="1" x14ac:dyDescent="0.3"/>
    <row r="1163" ht="30" customHeight="1" x14ac:dyDescent="0.3"/>
    <row r="1164" ht="22.8" customHeight="1" x14ac:dyDescent="0.3"/>
    <row r="1165" ht="27" customHeight="1" x14ac:dyDescent="0.3"/>
    <row r="1166" ht="12.6" customHeight="1" x14ac:dyDescent="0.3"/>
    <row r="1169" ht="11.4" customHeight="1" x14ac:dyDescent="0.3"/>
    <row r="1170" ht="26.4" customHeight="1" x14ac:dyDescent="0.3"/>
    <row r="1171" ht="18" customHeight="1" x14ac:dyDescent="0.3"/>
    <row r="1172" ht="15" customHeight="1" x14ac:dyDescent="0.3"/>
    <row r="1173" ht="17.399999999999999" customHeight="1" x14ac:dyDescent="0.3"/>
    <row r="1174" ht="30" customHeight="1" x14ac:dyDescent="0.3"/>
    <row r="1175" ht="30" customHeight="1" x14ac:dyDescent="0.3"/>
    <row r="1176" ht="22.8" customHeight="1" x14ac:dyDescent="0.3"/>
    <row r="1177" ht="27" customHeight="1" x14ac:dyDescent="0.3"/>
    <row r="1178" ht="12.6" customHeight="1" x14ac:dyDescent="0.3"/>
    <row r="1181" ht="11.4" customHeight="1" x14ac:dyDescent="0.3"/>
    <row r="1182" ht="26.4" customHeight="1" x14ac:dyDescent="0.3"/>
    <row r="1183" ht="18" customHeight="1" x14ac:dyDescent="0.3"/>
    <row r="1184" ht="15" customHeight="1" x14ac:dyDescent="0.3"/>
    <row r="1185" ht="17.399999999999999" customHeight="1" x14ac:dyDescent="0.3"/>
    <row r="1186" ht="30" customHeight="1" x14ac:dyDescent="0.3"/>
    <row r="1187" ht="30" customHeight="1" x14ac:dyDescent="0.3"/>
    <row r="1188" ht="22.8" customHeight="1" x14ac:dyDescent="0.3"/>
    <row r="1189" ht="27" customHeight="1" x14ac:dyDescent="0.3"/>
    <row r="1190" ht="12.6" customHeight="1" x14ac:dyDescent="0.3"/>
    <row r="1193" ht="11.4" customHeight="1" x14ac:dyDescent="0.3"/>
    <row r="1194" ht="26.4" customHeight="1" x14ac:dyDescent="0.3"/>
    <row r="1195" ht="18" customHeight="1" x14ac:dyDescent="0.3"/>
    <row r="1196" ht="15" customHeight="1" x14ac:dyDescent="0.3"/>
    <row r="1197" ht="17.399999999999999" customHeight="1" x14ac:dyDescent="0.3"/>
    <row r="1198" ht="30" customHeight="1" x14ac:dyDescent="0.3"/>
    <row r="1199" ht="30" customHeight="1" x14ac:dyDescent="0.3"/>
    <row r="1200" ht="22.8" customHeight="1" x14ac:dyDescent="0.3"/>
    <row r="1201" ht="27" customHeight="1" x14ac:dyDescent="0.3"/>
    <row r="1202" ht="12.6" customHeight="1" x14ac:dyDescent="0.3"/>
    <row r="1205" ht="11.4" customHeight="1" x14ac:dyDescent="0.3"/>
    <row r="1206" ht="26.4" customHeight="1" x14ac:dyDescent="0.3"/>
    <row r="1207" ht="18" customHeight="1" x14ac:dyDescent="0.3"/>
    <row r="1208" ht="15" customHeight="1" x14ac:dyDescent="0.3"/>
    <row r="1209" ht="17.399999999999999" customHeight="1" x14ac:dyDescent="0.3"/>
    <row r="1210" ht="30" customHeight="1" x14ac:dyDescent="0.3"/>
    <row r="1211" ht="30" customHeight="1" x14ac:dyDescent="0.3"/>
    <row r="1212" ht="22.8" customHeight="1" x14ac:dyDescent="0.3"/>
    <row r="1213" ht="27" customHeight="1" x14ac:dyDescent="0.3"/>
    <row r="1214" ht="12.6" customHeight="1" x14ac:dyDescent="0.3"/>
    <row r="1217" ht="11.4" customHeight="1" x14ac:dyDescent="0.3"/>
    <row r="1218" ht="26.4" customHeight="1" x14ac:dyDescent="0.3"/>
    <row r="1219" ht="18" customHeight="1" x14ac:dyDescent="0.3"/>
    <row r="1220" ht="15" customHeight="1" x14ac:dyDescent="0.3"/>
    <row r="1221" ht="17.399999999999999" customHeight="1" x14ac:dyDescent="0.3"/>
    <row r="1222" ht="30" customHeight="1" x14ac:dyDescent="0.3"/>
    <row r="1223" ht="30" customHeight="1" x14ac:dyDescent="0.3"/>
    <row r="1224" ht="22.8" customHeight="1" x14ac:dyDescent="0.3"/>
    <row r="1225" ht="27" customHeight="1" x14ac:dyDescent="0.3"/>
    <row r="1226" ht="12.6" customHeight="1" x14ac:dyDescent="0.3"/>
    <row r="1229" ht="11.4" customHeight="1" x14ac:dyDescent="0.3"/>
    <row r="1230" ht="26.4" customHeight="1" x14ac:dyDescent="0.3"/>
    <row r="1231" ht="18" customHeight="1" x14ac:dyDescent="0.3"/>
    <row r="1232" ht="15" customHeight="1" x14ac:dyDescent="0.3"/>
    <row r="1233" ht="17.399999999999999" customHeight="1" x14ac:dyDescent="0.3"/>
    <row r="1234" ht="30" customHeight="1" x14ac:dyDescent="0.3"/>
    <row r="1235" ht="30" customHeight="1" x14ac:dyDescent="0.3"/>
    <row r="1236" ht="22.8" customHeight="1" x14ac:dyDescent="0.3"/>
    <row r="1237" ht="27" customHeight="1" x14ac:dyDescent="0.3"/>
    <row r="1238" ht="12.6" customHeight="1" x14ac:dyDescent="0.3"/>
    <row r="1241" ht="11.4" customHeight="1" x14ac:dyDescent="0.3"/>
    <row r="1242" ht="26.4" customHeight="1" x14ac:dyDescent="0.3"/>
    <row r="1243" ht="18" customHeight="1" x14ac:dyDescent="0.3"/>
    <row r="1244" ht="15" customHeight="1" x14ac:dyDescent="0.3"/>
    <row r="1245" ht="17.399999999999999" customHeight="1" x14ac:dyDescent="0.3"/>
    <row r="1246" ht="30" customHeight="1" x14ac:dyDescent="0.3"/>
    <row r="1247" ht="30" customHeight="1" x14ac:dyDescent="0.3"/>
    <row r="1248" ht="22.8" customHeight="1" x14ac:dyDescent="0.3"/>
    <row r="1249" ht="27" customHeight="1" x14ac:dyDescent="0.3"/>
    <row r="1250" ht="12.6" customHeight="1" x14ac:dyDescent="0.3"/>
    <row r="1253" ht="11.4" customHeight="1" x14ac:dyDescent="0.3"/>
    <row r="1254" ht="26.4" customHeight="1" x14ac:dyDescent="0.3"/>
    <row r="1255" ht="18" customHeight="1" x14ac:dyDescent="0.3"/>
    <row r="1256" ht="15" customHeight="1" x14ac:dyDescent="0.3"/>
    <row r="1257" ht="17.399999999999999" customHeight="1" x14ac:dyDescent="0.3"/>
    <row r="1258" ht="30" customHeight="1" x14ac:dyDescent="0.3"/>
    <row r="1259" ht="30" customHeight="1" x14ac:dyDescent="0.3"/>
    <row r="1260" ht="22.8" customHeight="1" x14ac:dyDescent="0.3"/>
    <row r="1261" ht="27" customHeight="1" x14ac:dyDescent="0.3"/>
    <row r="1262" ht="12.6" customHeight="1" x14ac:dyDescent="0.3"/>
    <row r="1265" ht="11.4" customHeight="1" x14ac:dyDescent="0.3"/>
    <row r="1266" ht="26.4" customHeight="1" x14ac:dyDescent="0.3"/>
    <row r="1267" ht="18" customHeight="1" x14ac:dyDescent="0.3"/>
    <row r="1268" ht="15" customHeight="1" x14ac:dyDescent="0.3"/>
    <row r="1269" ht="17.399999999999999" customHeight="1" x14ac:dyDescent="0.3"/>
    <row r="1270" ht="30" customHeight="1" x14ac:dyDescent="0.3"/>
    <row r="1271" ht="30" customHeight="1" x14ac:dyDescent="0.3"/>
    <row r="1272" ht="22.8" customHeight="1" x14ac:dyDescent="0.3"/>
    <row r="1273" ht="27" customHeight="1" x14ac:dyDescent="0.3"/>
    <row r="1274" ht="12.6" customHeight="1" x14ac:dyDescent="0.3"/>
    <row r="1277" ht="11.4" customHeight="1" x14ac:dyDescent="0.3"/>
    <row r="1278" ht="26.4" customHeight="1" x14ac:dyDescent="0.3"/>
    <row r="1279" ht="18" customHeight="1" x14ac:dyDescent="0.3"/>
    <row r="1280" ht="15" customHeight="1" x14ac:dyDescent="0.3"/>
    <row r="1281" ht="17.399999999999999" customHeight="1" x14ac:dyDescent="0.3"/>
    <row r="1282" ht="30" customHeight="1" x14ac:dyDescent="0.3"/>
    <row r="1283" ht="30" customHeight="1" x14ac:dyDescent="0.3"/>
    <row r="1284" ht="22.8" customHeight="1" x14ac:dyDescent="0.3"/>
    <row r="1285" ht="27" customHeight="1" x14ac:dyDescent="0.3"/>
    <row r="1286" ht="12.6" customHeight="1" x14ac:dyDescent="0.3"/>
    <row r="1289" ht="11.4" customHeight="1" x14ac:dyDescent="0.3"/>
    <row r="1290" ht="26.4" customHeight="1" x14ac:dyDescent="0.3"/>
    <row r="1291" ht="18" customHeight="1" x14ac:dyDescent="0.3"/>
    <row r="1292" ht="15" customHeight="1" x14ac:dyDescent="0.3"/>
    <row r="1293" ht="17.399999999999999" customHeight="1" x14ac:dyDescent="0.3"/>
    <row r="1294" ht="30" customHeight="1" x14ac:dyDescent="0.3"/>
    <row r="1295" ht="30" customHeight="1" x14ac:dyDescent="0.3"/>
    <row r="1296" ht="22.8" customHeight="1" x14ac:dyDescent="0.3"/>
    <row r="1297" ht="27" customHeight="1" x14ac:dyDescent="0.3"/>
    <row r="1298" ht="12.6" customHeight="1" x14ac:dyDescent="0.3"/>
    <row r="1301" ht="11.4" customHeight="1" x14ac:dyDescent="0.3"/>
    <row r="1302" ht="26.4" customHeight="1" x14ac:dyDescent="0.3"/>
    <row r="1303" ht="18" customHeight="1" x14ac:dyDescent="0.3"/>
    <row r="1304" ht="15" customHeight="1" x14ac:dyDescent="0.3"/>
    <row r="1305" ht="17.399999999999999" customHeight="1" x14ac:dyDescent="0.3"/>
    <row r="1306" ht="30" customHeight="1" x14ac:dyDescent="0.3"/>
    <row r="1307" ht="30" customHeight="1" x14ac:dyDescent="0.3"/>
    <row r="1308" ht="22.8" customHeight="1" x14ac:dyDescent="0.3"/>
    <row r="1309" ht="27" customHeight="1" x14ac:dyDescent="0.3"/>
    <row r="1310" ht="12.6" customHeight="1" x14ac:dyDescent="0.3"/>
    <row r="1313" ht="11.4" customHeight="1" x14ac:dyDescent="0.3"/>
    <row r="1314" ht="26.4" customHeight="1" x14ac:dyDescent="0.3"/>
    <row r="1315" ht="18" customHeight="1" x14ac:dyDescent="0.3"/>
    <row r="1316" ht="15" customHeight="1" x14ac:dyDescent="0.3"/>
    <row r="1317" ht="17.399999999999999" customHeight="1" x14ac:dyDescent="0.3"/>
    <row r="1318" ht="30" customHeight="1" x14ac:dyDescent="0.3"/>
    <row r="1319" ht="30" customHeight="1" x14ac:dyDescent="0.3"/>
    <row r="1320" ht="22.8" customHeight="1" x14ac:dyDescent="0.3"/>
    <row r="1321" ht="27" customHeight="1" x14ac:dyDescent="0.3"/>
    <row r="1322" ht="12.6" customHeight="1" x14ac:dyDescent="0.3"/>
    <row r="1325" ht="11.4" customHeight="1" x14ac:dyDescent="0.3"/>
    <row r="1326" ht="26.4" customHeight="1" x14ac:dyDescent="0.3"/>
    <row r="1327" ht="18" customHeight="1" x14ac:dyDescent="0.3"/>
    <row r="1328" ht="15" customHeight="1" x14ac:dyDescent="0.3"/>
    <row r="1329" ht="17.399999999999999" customHeight="1" x14ac:dyDescent="0.3"/>
    <row r="1330" ht="30" customHeight="1" x14ac:dyDescent="0.3"/>
    <row r="1331" ht="30" customHeight="1" x14ac:dyDescent="0.3"/>
    <row r="1332" ht="22.8" customHeight="1" x14ac:dyDescent="0.3"/>
    <row r="1333" ht="27" customHeight="1" x14ac:dyDescent="0.3"/>
    <row r="1334" ht="12.6" customHeight="1" x14ac:dyDescent="0.3"/>
    <row r="1337" ht="11.4" customHeight="1" x14ac:dyDescent="0.3"/>
    <row r="1338" ht="26.4" customHeight="1" x14ac:dyDescent="0.3"/>
    <row r="1339" ht="18" customHeight="1" x14ac:dyDescent="0.3"/>
    <row r="1340" ht="15" customHeight="1" x14ac:dyDescent="0.3"/>
    <row r="1341" ht="17.399999999999999" customHeight="1" x14ac:dyDescent="0.3"/>
    <row r="1342" ht="30" customHeight="1" x14ac:dyDescent="0.3"/>
    <row r="1343" ht="30" customHeight="1" x14ac:dyDescent="0.3"/>
    <row r="1344" ht="22.8" customHeight="1" x14ac:dyDescent="0.3"/>
    <row r="1345" ht="27" customHeight="1" x14ac:dyDescent="0.3"/>
    <row r="1346" ht="12.6" customHeight="1" x14ac:dyDescent="0.3"/>
    <row r="1349" ht="11.4" customHeight="1" x14ac:dyDescent="0.3"/>
    <row r="1350" ht="26.4" customHeight="1" x14ac:dyDescent="0.3"/>
    <row r="1351" ht="18" customHeight="1" x14ac:dyDescent="0.3"/>
    <row r="1352" ht="15" customHeight="1" x14ac:dyDescent="0.3"/>
    <row r="1353" ht="17.399999999999999" customHeight="1" x14ac:dyDescent="0.3"/>
    <row r="1354" ht="30" customHeight="1" x14ac:dyDescent="0.3"/>
    <row r="1355" ht="30" customHeight="1" x14ac:dyDescent="0.3"/>
    <row r="1356" ht="22.8" customHeight="1" x14ac:dyDescent="0.3"/>
    <row r="1357" ht="27" customHeight="1" x14ac:dyDescent="0.3"/>
    <row r="1358" ht="12.6" customHeight="1" x14ac:dyDescent="0.3"/>
    <row r="1361" ht="11.4" customHeight="1" x14ac:dyDescent="0.3"/>
    <row r="1362" ht="26.4" customHeight="1" x14ac:dyDescent="0.3"/>
    <row r="1363" ht="18" customHeight="1" x14ac:dyDescent="0.3"/>
    <row r="1364" ht="15" customHeight="1" x14ac:dyDescent="0.3"/>
    <row r="1365" ht="17.399999999999999" customHeight="1" x14ac:dyDescent="0.3"/>
    <row r="1366" ht="30" customHeight="1" x14ac:dyDescent="0.3"/>
    <row r="1367" ht="30" customHeight="1" x14ac:dyDescent="0.3"/>
    <row r="1368" ht="22.8" customHeight="1" x14ac:dyDescent="0.3"/>
    <row r="1369" ht="27" customHeight="1" x14ac:dyDescent="0.3"/>
    <row r="1370" ht="12.6" customHeight="1" x14ac:dyDescent="0.3"/>
    <row r="1373" ht="11.4" customHeight="1" x14ac:dyDescent="0.3"/>
    <row r="1374" ht="26.4" customHeight="1" x14ac:dyDescent="0.3"/>
    <row r="1375" ht="18" customHeight="1" x14ac:dyDescent="0.3"/>
    <row r="1376" ht="15" customHeight="1" x14ac:dyDescent="0.3"/>
    <row r="1377" ht="17.399999999999999" customHeight="1" x14ac:dyDescent="0.3"/>
    <row r="1378" ht="30" customHeight="1" x14ac:dyDescent="0.3"/>
    <row r="1379" ht="30" customHeight="1" x14ac:dyDescent="0.3"/>
    <row r="1380" ht="22.8" customHeight="1" x14ac:dyDescent="0.3"/>
    <row r="1381" ht="27" customHeight="1" x14ac:dyDescent="0.3"/>
    <row r="1382" ht="12.6" customHeight="1" x14ac:dyDescent="0.3"/>
    <row r="1385" ht="11.4" customHeight="1" x14ac:dyDescent="0.3"/>
    <row r="1386" ht="26.4" customHeight="1" x14ac:dyDescent="0.3"/>
    <row r="1387" ht="18" customHeight="1" x14ac:dyDescent="0.3"/>
    <row r="1388" ht="15" customHeight="1" x14ac:dyDescent="0.3"/>
    <row r="1389" ht="17.399999999999999" customHeight="1" x14ac:dyDescent="0.3"/>
    <row r="1390" ht="30" customHeight="1" x14ac:dyDescent="0.3"/>
    <row r="1391" ht="30" customHeight="1" x14ac:dyDescent="0.3"/>
    <row r="1392" ht="22.8" customHeight="1" x14ac:dyDescent="0.3"/>
    <row r="1393" ht="27" customHeight="1" x14ac:dyDescent="0.3"/>
    <row r="1394" ht="12.6" customHeight="1" x14ac:dyDescent="0.3"/>
    <row r="1397" ht="11.4" customHeight="1" x14ac:dyDescent="0.3"/>
    <row r="1398" ht="26.4" customHeight="1" x14ac:dyDescent="0.3"/>
    <row r="1399" ht="18" customHeight="1" x14ac:dyDescent="0.3"/>
    <row r="1400" ht="15" customHeight="1" x14ac:dyDescent="0.3"/>
    <row r="1401" ht="17.399999999999999" customHeight="1" x14ac:dyDescent="0.3"/>
    <row r="1402" ht="30" customHeight="1" x14ac:dyDescent="0.3"/>
    <row r="1403" ht="30" customHeight="1" x14ac:dyDescent="0.3"/>
    <row r="1404" ht="22.8" customHeight="1" x14ac:dyDescent="0.3"/>
    <row r="1405" ht="27" customHeight="1" x14ac:dyDescent="0.3"/>
    <row r="1406" ht="12.6" customHeight="1" x14ac:dyDescent="0.3"/>
    <row r="1409" ht="11.4" customHeight="1" x14ac:dyDescent="0.3"/>
    <row r="1410" ht="26.4" customHeight="1" x14ac:dyDescent="0.3"/>
    <row r="1411" ht="18" customHeight="1" x14ac:dyDescent="0.3"/>
    <row r="1412" ht="15" customHeight="1" x14ac:dyDescent="0.3"/>
    <row r="1413" ht="17.399999999999999" customHeight="1" x14ac:dyDescent="0.3"/>
    <row r="1414" ht="30" customHeight="1" x14ac:dyDescent="0.3"/>
    <row r="1415" ht="30" customHeight="1" x14ac:dyDescent="0.3"/>
    <row r="1416" ht="22.8" customHeight="1" x14ac:dyDescent="0.3"/>
    <row r="1417" ht="27" customHeight="1" x14ac:dyDescent="0.3"/>
    <row r="1418" ht="12.6" customHeight="1" x14ac:dyDescent="0.3"/>
    <row r="1421" ht="11.4" customHeight="1" x14ac:dyDescent="0.3"/>
    <row r="1422" ht="26.4" customHeight="1" x14ac:dyDescent="0.3"/>
    <row r="1423" ht="18" customHeight="1" x14ac:dyDescent="0.3"/>
    <row r="1424" ht="15" customHeight="1" x14ac:dyDescent="0.3"/>
    <row r="1425" ht="17.399999999999999" customHeight="1" x14ac:dyDescent="0.3"/>
    <row r="1426" ht="30" customHeight="1" x14ac:dyDescent="0.3"/>
    <row r="1427" ht="30" customHeight="1" x14ac:dyDescent="0.3"/>
    <row r="1428" ht="22.8" customHeight="1" x14ac:dyDescent="0.3"/>
    <row r="1429" ht="27" customHeight="1" x14ac:dyDescent="0.3"/>
    <row r="1430" ht="12.6" customHeight="1" x14ac:dyDescent="0.3"/>
    <row r="1433" ht="11.4" customHeight="1" x14ac:dyDescent="0.3"/>
    <row r="1434" ht="26.4" customHeight="1" x14ac:dyDescent="0.3"/>
    <row r="1435" ht="18" customHeight="1" x14ac:dyDescent="0.3"/>
    <row r="1436" ht="15" customHeight="1" x14ac:dyDescent="0.3"/>
    <row r="1437" ht="17.399999999999999" customHeight="1" x14ac:dyDescent="0.3"/>
    <row r="1438" ht="30" customHeight="1" x14ac:dyDescent="0.3"/>
    <row r="1439" ht="30" customHeight="1" x14ac:dyDescent="0.3"/>
    <row r="1440" ht="22.8" customHeight="1" x14ac:dyDescent="0.3"/>
    <row r="1441" ht="27" customHeight="1" x14ac:dyDescent="0.3"/>
    <row r="1442" ht="12.6" customHeight="1" x14ac:dyDescent="0.3"/>
    <row r="1445" ht="11.4" customHeight="1" x14ac:dyDescent="0.3"/>
    <row r="1446" ht="26.4" customHeight="1" x14ac:dyDescent="0.3"/>
    <row r="1447" ht="18" customHeight="1" x14ac:dyDescent="0.3"/>
    <row r="1448" ht="15" customHeight="1" x14ac:dyDescent="0.3"/>
    <row r="1449" ht="17.399999999999999" customHeight="1" x14ac:dyDescent="0.3"/>
    <row r="1450" ht="30" customHeight="1" x14ac:dyDescent="0.3"/>
    <row r="1451" ht="30" customHeight="1" x14ac:dyDescent="0.3"/>
    <row r="1452" ht="22.8" customHeight="1" x14ac:dyDescent="0.3"/>
    <row r="1453" ht="27" customHeight="1" x14ac:dyDescent="0.3"/>
    <row r="1454" ht="12.6" customHeight="1" x14ac:dyDescent="0.3"/>
    <row r="1457" ht="11.4" customHeight="1" x14ac:dyDescent="0.3"/>
    <row r="1458" ht="26.4" customHeight="1" x14ac:dyDescent="0.3"/>
    <row r="1459" ht="18" customHeight="1" x14ac:dyDescent="0.3"/>
    <row r="1460" ht="15" customHeight="1" x14ac:dyDescent="0.3"/>
    <row r="1461" ht="17.399999999999999" customHeight="1" x14ac:dyDescent="0.3"/>
    <row r="1462" ht="30" customHeight="1" x14ac:dyDescent="0.3"/>
    <row r="1463" ht="30" customHeight="1" x14ac:dyDescent="0.3"/>
    <row r="1464" ht="22.8" customHeight="1" x14ac:dyDescent="0.3"/>
    <row r="1465" ht="27" customHeight="1" x14ac:dyDescent="0.3"/>
    <row r="1466" ht="12.6" customHeight="1" x14ac:dyDescent="0.3"/>
    <row r="1469" ht="11.4" customHeight="1" x14ac:dyDescent="0.3"/>
    <row r="1470" ht="26.4" customHeight="1" x14ac:dyDescent="0.3"/>
    <row r="1471" ht="18" customHeight="1" x14ac:dyDescent="0.3"/>
    <row r="1472" ht="15" customHeight="1" x14ac:dyDescent="0.3"/>
    <row r="1473" ht="17.399999999999999" customHeight="1" x14ac:dyDescent="0.3"/>
    <row r="1474" ht="30" customHeight="1" x14ac:dyDescent="0.3"/>
    <row r="1475" ht="30" customHeight="1" x14ac:dyDescent="0.3"/>
    <row r="1476" ht="22.8" customHeight="1" x14ac:dyDescent="0.3"/>
    <row r="1477" ht="27" customHeight="1" x14ac:dyDescent="0.3"/>
    <row r="1478" ht="12.6" customHeight="1" x14ac:dyDescent="0.3"/>
    <row r="1481" ht="11.4" customHeight="1" x14ac:dyDescent="0.3"/>
    <row r="1482" ht="26.4" customHeight="1" x14ac:dyDescent="0.3"/>
    <row r="1483" ht="18" customHeight="1" x14ac:dyDescent="0.3"/>
    <row r="1484" ht="15" customHeight="1" x14ac:dyDescent="0.3"/>
    <row r="1485" ht="17.399999999999999" customHeight="1" x14ac:dyDescent="0.3"/>
    <row r="1486" ht="30" customHeight="1" x14ac:dyDescent="0.3"/>
    <row r="1487" ht="30" customHeight="1" x14ac:dyDescent="0.3"/>
    <row r="1488" ht="22.8" customHeight="1" x14ac:dyDescent="0.3"/>
    <row r="1489" ht="27" customHeight="1" x14ac:dyDescent="0.3"/>
    <row r="1490" ht="12.6" customHeight="1" x14ac:dyDescent="0.3"/>
    <row r="1493" ht="11.4" customHeight="1" x14ac:dyDescent="0.3"/>
    <row r="1494" ht="26.4" customHeight="1" x14ac:dyDescent="0.3"/>
    <row r="1495" ht="18" customHeight="1" x14ac:dyDescent="0.3"/>
    <row r="1496" ht="15" customHeight="1" x14ac:dyDescent="0.3"/>
    <row r="1497" ht="17.399999999999999" customHeight="1" x14ac:dyDescent="0.3"/>
    <row r="1498" ht="30" customHeight="1" x14ac:dyDescent="0.3"/>
    <row r="1499" ht="30" customHeight="1" x14ac:dyDescent="0.3"/>
    <row r="1500" ht="22.8" customHeight="1" x14ac:dyDescent="0.3"/>
    <row r="1501" ht="27" customHeight="1" x14ac:dyDescent="0.3"/>
    <row r="1502" ht="12.6" customHeight="1" x14ac:dyDescent="0.3"/>
    <row r="1505" ht="11.4" customHeight="1" x14ac:dyDescent="0.3"/>
    <row r="1506" ht="26.4" customHeight="1" x14ac:dyDescent="0.3"/>
    <row r="1507" ht="18" customHeight="1" x14ac:dyDescent="0.3"/>
    <row r="1508" ht="15" customHeight="1" x14ac:dyDescent="0.3"/>
    <row r="1509" ht="17.399999999999999" customHeight="1" x14ac:dyDescent="0.3"/>
    <row r="1510" ht="30" customHeight="1" x14ac:dyDescent="0.3"/>
    <row r="1511" ht="30" customHeight="1" x14ac:dyDescent="0.3"/>
    <row r="1512" ht="22.8" customHeight="1" x14ac:dyDescent="0.3"/>
    <row r="1513" ht="27" customHeight="1" x14ac:dyDescent="0.3"/>
    <row r="1514" ht="12.6" customHeight="1" x14ac:dyDescent="0.3"/>
    <row r="1517" ht="11.4" customHeight="1" x14ac:dyDescent="0.3"/>
    <row r="1518" ht="26.4" customHeight="1" x14ac:dyDescent="0.3"/>
    <row r="1519" ht="18" customHeight="1" x14ac:dyDescent="0.3"/>
    <row r="1520" ht="15" customHeight="1" x14ac:dyDescent="0.3"/>
    <row r="1521" ht="17.399999999999999" customHeight="1" x14ac:dyDescent="0.3"/>
    <row r="1522" ht="30" customHeight="1" x14ac:dyDescent="0.3"/>
    <row r="1523" ht="30" customHeight="1" x14ac:dyDescent="0.3"/>
    <row r="1524" ht="22.8" customHeight="1" x14ac:dyDescent="0.3"/>
    <row r="1525" ht="27" customHeight="1" x14ac:dyDescent="0.3"/>
    <row r="1526" ht="12.6" customHeight="1" x14ac:dyDescent="0.3"/>
    <row r="1529" ht="11.4" customHeight="1" x14ac:dyDescent="0.3"/>
    <row r="1530" ht="26.4" customHeight="1" x14ac:dyDescent="0.3"/>
    <row r="1531" ht="18" customHeight="1" x14ac:dyDescent="0.3"/>
    <row r="1532" ht="15" customHeight="1" x14ac:dyDescent="0.3"/>
    <row r="1533" ht="17.399999999999999" customHeight="1" x14ac:dyDescent="0.3"/>
    <row r="1534" ht="30" customHeight="1" x14ac:dyDescent="0.3"/>
    <row r="1535" ht="30" customHeight="1" x14ac:dyDescent="0.3"/>
    <row r="1536" ht="22.8" customHeight="1" x14ac:dyDescent="0.3"/>
    <row r="1537" ht="27" customHeight="1" x14ac:dyDescent="0.3"/>
    <row r="1538" ht="12.6" customHeight="1" x14ac:dyDescent="0.3"/>
    <row r="1541" ht="11.4" customHeight="1" x14ac:dyDescent="0.3"/>
    <row r="1542" ht="26.4" customHeight="1" x14ac:dyDescent="0.3"/>
    <row r="1543" ht="18" customHeight="1" x14ac:dyDescent="0.3"/>
    <row r="1544" ht="15" customHeight="1" x14ac:dyDescent="0.3"/>
    <row r="1545" ht="17.399999999999999" customHeight="1" x14ac:dyDescent="0.3"/>
    <row r="1546" ht="30" customHeight="1" x14ac:dyDescent="0.3"/>
    <row r="1547" ht="30" customHeight="1" x14ac:dyDescent="0.3"/>
    <row r="1548" ht="22.8" customHeight="1" x14ac:dyDescent="0.3"/>
    <row r="1549" ht="27" customHeight="1" x14ac:dyDescent="0.3"/>
    <row r="1550" ht="12.6" customHeight="1" x14ac:dyDescent="0.3"/>
    <row r="1553" ht="11.4" customHeight="1" x14ac:dyDescent="0.3"/>
    <row r="1554" ht="26.4" customHeight="1" x14ac:dyDescent="0.3"/>
    <row r="1555" ht="18" customHeight="1" x14ac:dyDescent="0.3"/>
    <row r="1556" ht="15" customHeight="1" x14ac:dyDescent="0.3"/>
    <row r="1557" ht="17.399999999999999" customHeight="1" x14ac:dyDescent="0.3"/>
    <row r="1558" ht="30" customHeight="1" x14ac:dyDescent="0.3"/>
    <row r="1559" ht="30" customHeight="1" x14ac:dyDescent="0.3"/>
    <row r="1560" ht="22.8" customHeight="1" x14ac:dyDescent="0.3"/>
    <row r="1561" ht="27" customHeight="1" x14ac:dyDescent="0.3"/>
    <row r="1562" ht="12.6" customHeight="1" x14ac:dyDescent="0.3"/>
    <row r="1565" ht="11.4" customHeight="1" x14ac:dyDescent="0.3"/>
    <row r="1566" ht="26.4" customHeight="1" x14ac:dyDescent="0.3"/>
    <row r="1567" ht="18" customHeight="1" x14ac:dyDescent="0.3"/>
    <row r="1568" ht="15" customHeight="1" x14ac:dyDescent="0.3"/>
    <row r="1569" ht="17.399999999999999" customHeight="1" x14ac:dyDescent="0.3"/>
    <row r="1570" ht="30" customHeight="1" x14ac:dyDescent="0.3"/>
    <row r="1571" ht="30" customHeight="1" x14ac:dyDescent="0.3"/>
    <row r="1572" ht="22.8" customHeight="1" x14ac:dyDescent="0.3"/>
    <row r="1573" ht="27" customHeight="1" x14ac:dyDescent="0.3"/>
    <row r="1574" ht="12.6" customHeight="1" x14ac:dyDescent="0.3"/>
    <row r="1577" ht="11.4" customHeight="1" x14ac:dyDescent="0.3"/>
    <row r="1578" ht="26.4" customHeight="1" x14ac:dyDescent="0.3"/>
    <row r="1579" ht="18" customHeight="1" x14ac:dyDescent="0.3"/>
    <row r="1580" ht="15" customHeight="1" x14ac:dyDescent="0.3"/>
    <row r="1581" ht="17.399999999999999" customHeight="1" x14ac:dyDescent="0.3"/>
    <row r="1582" ht="30" customHeight="1" x14ac:dyDescent="0.3"/>
    <row r="1583" ht="30" customHeight="1" x14ac:dyDescent="0.3"/>
    <row r="1584" ht="22.8" customHeight="1" x14ac:dyDescent="0.3"/>
    <row r="1585" ht="27" customHeight="1" x14ac:dyDescent="0.3"/>
    <row r="1586" ht="12.6" customHeight="1" x14ac:dyDescent="0.3"/>
    <row r="1589" ht="11.4" customHeight="1" x14ac:dyDescent="0.3"/>
    <row r="1590" ht="26.4" customHeight="1" x14ac:dyDescent="0.3"/>
    <row r="1591" ht="18" customHeight="1" x14ac:dyDescent="0.3"/>
    <row r="1592" ht="15" customHeight="1" x14ac:dyDescent="0.3"/>
    <row r="1593" ht="17.399999999999999" customHeight="1" x14ac:dyDescent="0.3"/>
    <row r="1594" ht="30" customHeight="1" x14ac:dyDescent="0.3"/>
    <row r="1595" ht="30" customHeight="1" x14ac:dyDescent="0.3"/>
    <row r="1596" ht="22.8" customHeight="1" x14ac:dyDescent="0.3"/>
    <row r="1597" ht="27" customHeight="1" x14ac:dyDescent="0.3"/>
    <row r="1598" ht="12.6" customHeight="1" x14ac:dyDescent="0.3"/>
    <row r="1601" ht="11.4" customHeight="1" x14ac:dyDescent="0.3"/>
    <row r="1602" ht="26.4" customHeight="1" x14ac:dyDescent="0.3"/>
    <row r="1603" ht="18" customHeight="1" x14ac:dyDescent="0.3"/>
    <row r="1604" ht="15" customHeight="1" x14ac:dyDescent="0.3"/>
    <row r="1605" ht="17.399999999999999" customHeight="1" x14ac:dyDescent="0.3"/>
    <row r="1606" ht="30" customHeight="1" x14ac:dyDescent="0.3"/>
    <row r="1607" ht="30" customHeight="1" x14ac:dyDescent="0.3"/>
    <row r="1608" ht="22.8" customHeight="1" x14ac:dyDescent="0.3"/>
    <row r="1609" ht="27" customHeight="1" x14ac:dyDescent="0.3"/>
    <row r="1610" ht="12.6" customHeight="1" x14ac:dyDescent="0.3"/>
    <row r="1613" ht="11.4" customHeight="1" x14ac:dyDescent="0.3"/>
    <row r="1614" ht="26.4" customHeight="1" x14ac:dyDescent="0.3"/>
    <row r="1615" ht="18" customHeight="1" x14ac:dyDescent="0.3"/>
    <row r="1616" ht="15" customHeight="1" x14ac:dyDescent="0.3"/>
    <row r="1617" ht="17.399999999999999" customHeight="1" x14ac:dyDescent="0.3"/>
    <row r="1618" ht="30" customHeight="1" x14ac:dyDescent="0.3"/>
    <row r="1619" ht="30" customHeight="1" x14ac:dyDescent="0.3"/>
    <row r="1620" ht="22.8" customHeight="1" x14ac:dyDescent="0.3"/>
    <row r="1621" ht="27" customHeight="1" x14ac:dyDescent="0.3"/>
    <row r="1622" ht="12.6" customHeight="1" x14ac:dyDescent="0.3"/>
    <row r="1625" ht="11.4" customHeight="1" x14ac:dyDescent="0.3"/>
    <row r="1626" ht="26.4" customHeight="1" x14ac:dyDescent="0.3"/>
    <row r="1627" ht="18" customHeight="1" x14ac:dyDescent="0.3"/>
    <row r="1628" ht="15" customHeight="1" x14ac:dyDescent="0.3"/>
    <row r="1629" ht="17.399999999999999" customHeight="1" x14ac:dyDescent="0.3"/>
    <row r="1630" ht="30" customHeight="1" x14ac:dyDescent="0.3"/>
    <row r="1631" ht="30" customHeight="1" x14ac:dyDescent="0.3"/>
    <row r="1632" ht="22.8" customHeight="1" x14ac:dyDescent="0.3"/>
    <row r="1633" ht="27" customHeight="1" x14ac:dyDescent="0.3"/>
    <row r="1634" ht="12.6" customHeight="1" x14ac:dyDescent="0.3"/>
    <row r="1637" ht="11.4" customHeight="1" x14ac:dyDescent="0.3"/>
    <row r="1638" ht="26.4" customHeight="1" x14ac:dyDescent="0.3"/>
    <row r="1639" ht="18" customHeight="1" x14ac:dyDescent="0.3"/>
    <row r="1640" ht="15" customHeight="1" x14ac:dyDescent="0.3"/>
    <row r="1641" ht="17.399999999999999" customHeight="1" x14ac:dyDescent="0.3"/>
    <row r="1642" ht="30" customHeight="1" x14ac:dyDescent="0.3"/>
    <row r="1643" ht="30" customHeight="1" x14ac:dyDescent="0.3"/>
    <row r="1644" ht="22.8" customHeight="1" x14ac:dyDescent="0.3"/>
    <row r="1645" ht="27" customHeight="1" x14ac:dyDescent="0.3"/>
    <row r="1646" ht="12.6" customHeight="1" x14ac:dyDescent="0.3"/>
    <row r="1649" ht="11.4" customHeight="1" x14ac:dyDescent="0.3"/>
    <row r="1650" ht="26.4" customHeight="1" x14ac:dyDescent="0.3"/>
    <row r="1651" ht="18" customHeight="1" x14ac:dyDescent="0.3"/>
    <row r="1652" ht="15" customHeight="1" x14ac:dyDescent="0.3"/>
    <row r="1653" ht="17.399999999999999" customHeight="1" x14ac:dyDescent="0.3"/>
    <row r="1654" ht="30" customHeight="1" x14ac:dyDescent="0.3"/>
    <row r="1655" ht="30" customHeight="1" x14ac:dyDescent="0.3"/>
    <row r="1656" ht="22.8" customHeight="1" x14ac:dyDescent="0.3"/>
    <row r="1657" ht="27" customHeight="1" x14ac:dyDescent="0.3"/>
    <row r="1658" ht="12.6" customHeight="1" x14ac:dyDescent="0.3"/>
    <row r="1661" ht="11.4" customHeight="1" x14ac:dyDescent="0.3"/>
    <row r="1662" ht="26.4" customHeight="1" x14ac:dyDescent="0.3"/>
    <row r="1663" ht="18" customHeight="1" x14ac:dyDescent="0.3"/>
    <row r="1664" ht="15" customHeight="1" x14ac:dyDescent="0.3"/>
    <row r="1665" ht="17.399999999999999" customHeight="1" x14ac:dyDescent="0.3"/>
    <row r="1666" ht="30" customHeight="1" x14ac:dyDescent="0.3"/>
    <row r="1667" ht="30" customHeight="1" x14ac:dyDescent="0.3"/>
    <row r="1668" ht="22.8" customHeight="1" x14ac:dyDescent="0.3"/>
    <row r="1669" ht="27" customHeight="1" x14ac:dyDescent="0.3"/>
    <row r="1670" ht="12.6" customHeight="1" x14ac:dyDescent="0.3"/>
    <row r="1673" ht="11.4" customHeight="1" x14ac:dyDescent="0.3"/>
    <row r="1674" ht="26.4" customHeight="1" x14ac:dyDescent="0.3"/>
    <row r="1675" ht="18" customHeight="1" x14ac:dyDescent="0.3"/>
    <row r="1676" ht="15" customHeight="1" x14ac:dyDescent="0.3"/>
    <row r="1677" ht="17.399999999999999" customHeight="1" x14ac:dyDescent="0.3"/>
    <row r="1678" ht="30" customHeight="1" x14ac:dyDescent="0.3"/>
    <row r="1679" ht="30" customHeight="1" x14ac:dyDescent="0.3"/>
    <row r="1680" ht="22.8" customHeight="1" x14ac:dyDescent="0.3"/>
    <row r="1681" ht="27" customHeight="1" x14ac:dyDescent="0.3"/>
    <row r="1682" ht="12.6" customHeight="1" x14ac:dyDescent="0.3"/>
    <row r="1685" ht="11.4" customHeight="1" x14ac:dyDescent="0.3"/>
    <row r="1686" ht="26.4" customHeight="1" x14ac:dyDescent="0.3"/>
    <row r="1687" ht="18" customHeight="1" x14ac:dyDescent="0.3"/>
    <row r="1688" ht="15" customHeight="1" x14ac:dyDescent="0.3"/>
    <row r="1689" ht="17.399999999999999" customHeight="1" x14ac:dyDescent="0.3"/>
    <row r="1690" ht="30" customHeight="1" x14ac:dyDescent="0.3"/>
    <row r="1691" ht="30" customHeight="1" x14ac:dyDescent="0.3"/>
    <row r="1692" ht="22.8" customHeight="1" x14ac:dyDescent="0.3"/>
    <row r="1693" ht="27" customHeight="1" x14ac:dyDescent="0.3"/>
    <row r="1694" ht="12.6" customHeight="1" x14ac:dyDescent="0.3"/>
    <row r="1697" ht="11.4" customHeight="1" x14ac:dyDescent="0.3"/>
    <row r="1698" ht="26.4" customHeight="1" x14ac:dyDescent="0.3"/>
    <row r="1699" ht="18" customHeight="1" x14ac:dyDescent="0.3"/>
    <row r="1700" ht="15" customHeight="1" x14ac:dyDescent="0.3"/>
    <row r="1701" ht="17.399999999999999" customHeight="1" x14ac:dyDescent="0.3"/>
    <row r="1702" ht="30" customHeight="1" x14ac:dyDescent="0.3"/>
    <row r="1703" ht="30" customHeight="1" x14ac:dyDescent="0.3"/>
    <row r="1704" ht="22.8" customHeight="1" x14ac:dyDescent="0.3"/>
    <row r="1705" ht="27" customHeight="1" x14ac:dyDescent="0.3"/>
    <row r="1706" ht="12.6" customHeight="1" x14ac:dyDescent="0.3"/>
    <row r="1709" ht="11.4" customHeight="1" x14ac:dyDescent="0.3"/>
    <row r="1710" ht="26.4" customHeight="1" x14ac:dyDescent="0.3"/>
    <row r="1711" ht="18" customHeight="1" x14ac:dyDescent="0.3"/>
    <row r="1712" ht="15" customHeight="1" x14ac:dyDescent="0.3"/>
    <row r="1713" ht="17.399999999999999" customHeight="1" x14ac:dyDescent="0.3"/>
    <row r="1714" ht="30" customHeight="1" x14ac:dyDescent="0.3"/>
    <row r="1715" ht="30" customHeight="1" x14ac:dyDescent="0.3"/>
    <row r="1716" ht="22.8" customHeight="1" x14ac:dyDescent="0.3"/>
    <row r="1717" ht="27" customHeight="1" x14ac:dyDescent="0.3"/>
    <row r="1718" ht="12.6" customHeight="1" x14ac:dyDescent="0.3"/>
    <row r="1721" ht="11.4" customHeight="1" x14ac:dyDescent="0.3"/>
    <row r="1722" ht="26.4" customHeight="1" x14ac:dyDescent="0.3"/>
    <row r="1723" ht="18" customHeight="1" x14ac:dyDescent="0.3"/>
    <row r="1724" ht="15" customHeight="1" x14ac:dyDescent="0.3"/>
    <row r="1725" ht="17.399999999999999" customHeight="1" x14ac:dyDescent="0.3"/>
    <row r="1726" ht="30" customHeight="1" x14ac:dyDescent="0.3"/>
    <row r="1727" ht="30" customHeight="1" x14ac:dyDescent="0.3"/>
    <row r="1728" ht="22.8" customHeight="1" x14ac:dyDescent="0.3"/>
    <row r="1729" ht="27" customHeight="1" x14ac:dyDescent="0.3"/>
    <row r="1730" ht="12.6" customHeight="1" x14ac:dyDescent="0.3"/>
    <row r="1733" ht="11.4" customHeight="1" x14ac:dyDescent="0.3"/>
    <row r="1734" ht="26.4" customHeight="1" x14ac:dyDescent="0.3"/>
    <row r="1735" ht="18" customHeight="1" x14ac:dyDescent="0.3"/>
    <row r="1736" ht="15" customHeight="1" x14ac:dyDescent="0.3"/>
    <row r="1737" ht="17.399999999999999" customHeight="1" x14ac:dyDescent="0.3"/>
    <row r="1738" ht="30" customHeight="1" x14ac:dyDescent="0.3"/>
    <row r="1739" ht="30" customHeight="1" x14ac:dyDescent="0.3"/>
    <row r="1740" ht="22.8" customHeight="1" x14ac:dyDescent="0.3"/>
    <row r="1741" ht="27" customHeight="1" x14ac:dyDescent="0.3"/>
    <row r="1742" ht="12.6" customHeight="1" x14ac:dyDescent="0.3"/>
    <row r="1745" ht="11.4" customHeight="1" x14ac:dyDescent="0.3"/>
    <row r="1746" ht="26.4" customHeight="1" x14ac:dyDescent="0.3"/>
    <row r="1747" ht="18" customHeight="1" x14ac:dyDescent="0.3"/>
    <row r="1748" ht="15" customHeight="1" x14ac:dyDescent="0.3"/>
    <row r="1749" ht="17.399999999999999" customHeight="1" x14ac:dyDescent="0.3"/>
    <row r="1750" ht="30" customHeight="1" x14ac:dyDescent="0.3"/>
    <row r="1751" ht="30" customHeight="1" x14ac:dyDescent="0.3"/>
    <row r="1752" ht="22.8" customHeight="1" x14ac:dyDescent="0.3"/>
    <row r="1753" ht="27" customHeight="1" x14ac:dyDescent="0.3"/>
    <row r="1754" ht="12.6" customHeight="1" x14ac:dyDescent="0.3"/>
    <row r="1757" ht="11.4" customHeight="1" x14ac:dyDescent="0.3"/>
    <row r="1758" ht="26.4" customHeight="1" x14ac:dyDescent="0.3"/>
    <row r="1759" ht="18" customHeight="1" x14ac:dyDescent="0.3"/>
    <row r="1760" ht="15" customHeight="1" x14ac:dyDescent="0.3"/>
    <row r="1761" ht="17.399999999999999" customHeight="1" x14ac:dyDescent="0.3"/>
    <row r="1762" ht="30" customHeight="1" x14ac:dyDescent="0.3"/>
    <row r="1763" ht="30" customHeight="1" x14ac:dyDescent="0.3"/>
    <row r="1764" ht="22.8" customHeight="1" x14ac:dyDescent="0.3"/>
    <row r="1765" ht="27" customHeight="1" x14ac:dyDescent="0.3"/>
    <row r="1766" ht="12.6" customHeight="1" x14ac:dyDescent="0.3"/>
    <row r="1769" ht="11.4" customHeight="1" x14ac:dyDescent="0.3"/>
    <row r="1770" ht="26.4" customHeight="1" x14ac:dyDescent="0.3"/>
    <row r="1771" ht="18" customHeight="1" x14ac:dyDescent="0.3"/>
    <row r="1772" ht="15" customHeight="1" x14ac:dyDescent="0.3"/>
    <row r="1773" ht="17.399999999999999" customHeight="1" x14ac:dyDescent="0.3"/>
    <row r="1774" ht="30" customHeight="1" x14ac:dyDescent="0.3"/>
    <row r="1775" ht="30" customHeight="1" x14ac:dyDescent="0.3"/>
    <row r="1776" ht="22.8" customHeight="1" x14ac:dyDescent="0.3"/>
    <row r="1777" ht="27" customHeight="1" x14ac:dyDescent="0.3"/>
    <row r="1778" ht="12.6" customHeight="1" x14ac:dyDescent="0.3"/>
    <row r="1781" ht="11.4" customHeight="1" x14ac:dyDescent="0.3"/>
    <row r="1782" ht="26.4" customHeight="1" x14ac:dyDescent="0.3"/>
    <row r="1783" ht="18" customHeight="1" x14ac:dyDescent="0.3"/>
    <row r="1784" ht="15" customHeight="1" x14ac:dyDescent="0.3"/>
    <row r="1785" ht="17.399999999999999" customHeight="1" x14ac:dyDescent="0.3"/>
    <row r="1786" ht="30" customHeight="1" x14ac:dyDescent="0.3"/>
    <row r="1787" ht="30" customHeight="1" x14ac:dyDescent="0.3"/>
    <row r="1788" ht="22.8" customHeight="1" x14ac:dyDescent="0.3"/>
    <row r="1789" ht="27" customHeight="1" x14ac:dyDescent="0.3"/>
    <row r="1790" ht="12.6" customHeight="1" x14ac:dyDescent="0.3"/>
    <row r="1793" ht="11.4" customHeight="1" x14ac:dyDescent="0.3"/>
    <row r="1794" ht="26.4" customHeight="1" x14ac:dyDescent="0.3"/>
    <row r="1795" ht="18" customHeight="1" x14ac:dyDescent="0.3"/>
    <row r="1796" ht="15" customHeight="1" x14ac:dyDescent="0.3"/>
    <row r="1797" ht="17.399999999999999" customHeight="1" x14ac:dyDescent="0.3"/>
    <row r="1798" ht="30" customHeight="1" x14ac:dyDescent="0.3"/>
    <row r="1799" ht="30" customHeight="1" x14ac:dyDescent="0.3"/>
    <row r="1800" ht="22.8" customHeight="1" x14ac:dyDescent="0.3"/>
    <row r="1801" ht="27" customHeight="1" x14ac:dyDescent="0.3"/>
    <row r="1802" ht="12.6" customHeight="1" x14ac:dyDescent="0.3"/>
    <row r="1805" ht="11.4" customHeight="1" x14ac:dyDescent="0.3"/>
    <row r="1806" ht="26.4" customHeight="1" x14ac:dyDescent="0.3"/>
    <row r="1807" ht="18" customHeight="1" x14ac:dyDescent="0.3"/>
    <row r="1808" ht="15" customHeight="1" x14ac:dyDescent="0.3"/>
    <row r="1809" ht="17.399999999999999" customHeight="1" x14ac:dyDescent="0.3"/>
    <row r="1810" ht="30" customHeight="1" x14ac:dyDescent="0.3"/>
    <row r="1811" ht="30" customHeight="1" x14ac:dyDescent="0.3"/>
    <row r="1812" ht="22.8" customHeight="1" x14ac:dyDescent="0.3"/>
    <row r="1813" ht="27" customHeight="1" x14ac:dyDescent="0.3"/>
    <row r="1814" ht="12.6" customHeight="1" x14ac:dyDescent="0.3"/>
    <row r="1817" ht="11.4" customHeight="1" x14ac:dyDescent="0.3"/>
    <row r="1818" ht="26.4" customHeight="1" x14ac:dyDescent="0.3"/>
    <row r="1819" ht="18" customHeight="1" x14ac:dyDescent="0.3"/>
    <row r="1820" ht="15" customHeight="1" x14ac:dyDescent="0.3"/>
    <row r="1821" ht="17.399999999999999" customHeight="1" x14ac:dyDescent="0.3"/>
    <row r="1822" ht="30" customHeight="1" x14ac:dyDescent="0.3"/>
    <row r="1823" ht="30" customHeight="1" x14ac:dyDescent="0.3"/>
    <row r="1824" ht="22.8" customHeight="1" x14ac:dyDescent="0.3"/>
    <row r="1825" ht="27" customHeight="1" x14ac:dyDescent="0.3"/>
    <row r="1826" ht="12.6" customHeight="1" x14ac:dyDescent="0.3"/>
    <row r="1829" ht="11.4" customHeight="1" x14ac:dyDescent="0.3"/>
    <row r="1830" ht="26.4" customHeight="1" x14ac:dyDescent="0.3"/>
    <row r="1831" ht="18" customHeight="1" x14ac:dyDescent="0.3"/>
    <row r="1832" ht="15" customHeight="1" x14ac:dyDescent="0.3"/>
    <row r="1833" ht="17.399999999999999" customHeight="1" x14ac:dyDescent="0.3"/>
    <row r="1834" ht="30" customHeight="1" x14ac:dyDescent="0.3"/>
    <row r="1835" ht="30" customHeight="1" x14ac:dyDescent="0.3"/>
    <row r="1836" ht="22.8" customHeight="1" x14ac:dyDescent="0.3"/>
    <row r="1837" ht="27" customHeight="1" x14ac:dyDescent="0.3"/>
    <row r="1838" ht="12.6" customHeight="1" x14ac:dyDescent="0.3"/>
    <row r="1841" ht="11.4" customHeight="1" x14ac:dyDescent="0.3"/>
    <row r="1842" ht="26.4" customHeight="1" x14ac:dyDescent="0.3"/>
    <row r="1843" ht="18" customHeight="1" x14ac:dyDescent="0.3"/>
    <row r="1844" ht="15" customHeight="1" x14ac:dyDescent="0.3"/>
    <row r="1845" ht="17.399999999999999" customHeight="1" x14ac:dyDescent="0.3"/>
    <row r="1846" ht="30" customHeight="1" x14ac:dyDescent="0.3"/>
    <row r="1847" ht="30" customHeight="1" x14ac:dyDescent="0.3"/>
    <row r="1848" ht="22.8" customHeight="1" x14ac:dyDescent="0.3"/>
    <row r="1849" ht="27" customHeight="1" x14ac:dyDescent="0.3"/>
    <row r="1850" ht="12.6" customHeight="1" x14ac:dyDescent="0.3"/>
    <row r="1853" ht="11.4" customHeight="1" x14ac:dyDescent="0.3"/>
    <row r="1854" ht="26.4" customHeight="1" x14ac:dyDescent="0.3"/>
    <row r="1855" ht="18" customHeight="1" x14ac:dyDescent="0.3"/>
    <row r="1856" ht="15" customHeight="1" x14ac:dyDescent="0.3"/>
    <row r="1857" ht="17.399999999999999" customHeight="1" x14ac:dyDescent="0.3"/>
    <row r="1858" ht="30" customHeight="1" x14ac:dyDescent="0.3"/>
    <row r="1859" ht="30" customHeight="1" x14ac:dyDescent="0.3"/>
    <row r="1860" ht="22.8" customHeight="1" x14ac:dyDescent="0.3"/>
    <row r="1861" ht="27" customHeight="1" x14ac:dyDescent="0.3"/>
    <row r="1862" ht="12.6" customHeight="1" x14ac:dyDescent="0.3"/>
    <row r="1865" ht="11.4" customHeight="1" x14ac:dyDescent="0.3"/>
    <row r="1866" ht="26.4" customHeight="1" x14ac:dyDescent="0.3"/>
    <row r="1867" ht="18" customHeight="1" x14ac:dyDescent="0.3"/>
    <row r="1868" ht="15" customHeight="1" x14ac:dyDescent="0.3"/>
    <row r="1869" ht="17.399999999999999" customHeight="1" x14ac:dyDescent="0.3"/>
    <row r="1870" ht="30" customHeight="1" x14ac:dyDescent="0.3"/>
    <row r="1871" ht="30" customHeight="1" x14ac:dyDescent="0.3"/>
    <row r="1872" ht="22.8" customHeight="1" x14ac:dyDescent="0.3"/>
    <row r="1873" ht="27" customHeight="1" x14ac:dyDescent="0.3"/>
    <row r="1874" ht="12.6" customHeight="1" x14ac:dyDescent="0.3"/>
    <row r="1877" ht="11.4" customHeight="1" x14ac:dyDescent="0.3"/>
    <row r="1878" ht="26.4" customHeight="1" x14ac:dyDescent="0.3"/>
    <row r="1879" ht="18" customHeight="1" x14ac:dyDescent="0.3"/>
    <row r="1880" ht="15" customHeight="1" x14ac:dyDescent="0.3"/>
    <row r="1881" ht="17.399999999999999" customHeight="1" x14ac:dyDescent="0.3"/>
    <row r="1882" ht="30" customHeight="1" x14ac:dyDescent="0.3"/>
    <row r="1883" ht="30" customHeight="1" x14ac:dyDescent="0.3"/>
    <row r="1884" ht="22.8" customHeight="1" x14ac:dyDescent="0.3"/>
    <row r="1885" ht="27" customHeight="1" x14ac:dyDescent="0.3"/>
    <row r="1886" ht="12.6" customHeight="1" x14ac:dyDescent="0.3"/>
    <row r="1889" ht="11.4" customHeight="1" x14ac:dyDescent="0.3"/>
    <row r="1890" ht="26.4" customHeight="1" x14ac:dyDescent="0.3"/>
    <row r="1891" ht="18" customHeight="1" x14ac:dyDescent="0.3"/>
    <row r="1892" ht="15" customHeight="1" x14ac:dyDescent="0.3"/>
    <row r="1893" ht="17.399999999999999" customHeight="1" x14ac:dyDescent="0.3"/>
    <row r="1894" ht="30" customHeight="1" x14ac:dyDescent="0.3"/>
    <row r="1895" ht="30" customHeight="1" x14ac:dyDescent="0.3"/>
    <row r="1896" ht="22.8" customHeight="1" x14ac:dyDescent="0.3"/>
    <row r="1897" ht="27" customHeight="1" x14ac:dyDescent="0.3"/>
    <row r="1898" ht="12.6" customHeight="1" x14ac:dyDescent="0.3"/>
    <row r="1901" ht="11.4" customHeight="1" x14ac:dyDescent="0.3"/>
    <row r="1902" ht="26.4" customHeight="1" x14ac:dyDescent="0.3"/>
    <row r="1903" ht="18" customHeight="1" x14ac:dyDescent="0.3"/>
    <row r="1904" ht="15" customHeight="1" x14ac:dyDescent="0.3"/>
    <row r="1905" ht="17.399999999999999" customHeight="1" x14ac:dyDescent="0.3"/>
    <row r="1906" ht="30" customHeight="1" x14ac:dyDescent="0.3"/>
    <row r="1907" ht="30" customHeight="1" x14ac:dyDescent="0.3"/>
    <row r="1908" ht="22.8" customHeight="1" x14ac:dyDescent="0.3"/>
    <row r="1909" ht="27" customHeight="1" x14ac:dyDescent="0.3"/>
    <row r="1910" ht="12.6" customHeight="1" x14ac:dyDescent="0.3"/>
    <row r="1913" ht="11.4" customHeight="1" x14ac:dyDescent="0.3"/>
    <row r="1914" ht="26.4" customHeight="1" x14ac:dyDescent="0.3"/>
    <row r="1915" ht="18" customHeight="1" x14ac:dyDescent="0.3"/>
    <row r="1916" ht="15" customHeight="1" x14ac:dyDescent="0.3"/>
    <row r="1917" ht="17.399999999999999" customHeight="1" x14ac:dyDescent="0.3"/>
    <row r="1918" ht="30" customHeight="1" x14ac:dyDescent="0.3"/>
    <row r="1919" ht="30" customHeight="1" x14ac:dyDescent="0.3"/>
    <row r="1920" ht="22.8" customHeight="1" x14ac:dyDescent="0.3"/>
    <row r="1921" ht="27" customHeight="1" x14ac:dyDescent="0.3"/>
    <row r="1922" ht="12.6" customHeight="1" x14ac:dyDescent="0.3"/>
    <row r="1925" ht="11.4" customHeight="1" x14ac:dyDescent="0.3"/>
    <row r="1926" ht="26.4" customHeight="1" x14ac:dyDescent="0.3"/>
    <row r="1927" ht="18" customHeight="1" x14ac:dyDescent="0.3"/>
    <row r="1928" ht="15" customHeight="1" x14ac:dyDescent="0.3"/>
    <row r="1929" ht="17.399999999999999" customHeight="1" x14ac:dyDescent="0.3"/>
    <row r="1930" ht="30" customHeight="1" x14ac:dyDescent="0.3"/>
    <row r="1931" ht="30" customHeight="1" x14ac:dyDescent="0.3"/>
    <row r="1932" ht="22.8" customHeight="1" x14ac:dyDescent="0.3"/>
    <row r="1933" ht="27" customHeight="1" x14ac:dyDescent="0.3"/>
    <row r="1934" ht="12.6" customHeight="1" x14ac:dyDescent="0.3"/>
    <row r="1937" ht="11.4" customHeight="1" x14ac:dyDescent="0.3"/>
    <row r="1938" ht="26.4" customHeight="1" x14ac:dyDescent="0.3"/>
    <row r="1939" ht="18" customHeight="1" x14ac:dyDescent="0.3"/>
    <row r="1940" ht="15" customHeight="1" x14ac:dyDescent="0.3"/>
    <row r="1941" ht="17.399999999999999" customHeight="1" x14ac:dyDescent="0.3"/>
    <row r="1942" ht="30" customHeight="1" x14ac:dyDescent="0.3"/>
    <row r="1943" ht="30" customHeight="1" x14ac:dyDescent="0.3"/>
    <row r="1944" ht="22.8" customHeight="1" x14ac:dyDescent="0.3"/>
    <row r="1945" ht="27" customHeight="1" x14ac:dyDescent="0.3"/>
    <row r="1946" ht="12.6" customHeight="1" x14ac:dyDescent="0.3"/>
    <row r="1949" ht="11.4" customHeight="1" x14ac:dyDescent="0.3"/>
    <row r="1950" ht="26.4" customHeight="1" x14ac:dyDescent="0.3"/>
    <row r="1951" ht="18" customHeight="1" x14ac:dyDescent="0.3"/>
    <row r="1952" ht="15" customHeight="1" x14ac:dyDescent="0.3"/>
    <row r="1953" ht="17.399999999999999" customHeight="1" x14ac:dyDescent="0.3"/>
    <row r="1954" ht="30" customHeight="1" x14ac:dyDescent="0.3"/>
    <row r="1955" ht="30" customHeight="1" x14ac:dyDescent="0.3"/>
    <row r="1956" ht="22.8" customHeight="1" x14ac:dyDescent="0.3"/>
    <row r="1957" ht="27" customHeight="1" x14ac:dyDescent="0.3"/>
    <row r="1958" ht="12.6" customHeight="1" x14ac:dyDescent="0.3"/>
    <row r="1961" ht="11.4" customHeight="1" x14ac:dyDescent="0.3"/>
    <row r="1962" ht="26.4" customHeight="1" x14ac:dyDescent="0.3"/>
    <row r="1963" ht="18" customHeight="1" x14ac:dyDescent="0.3"/>
    <row r="1964" ht="15" customHeight="1" x14ac:dyDescent="0.3"/>
    <row r="1965" ht="17.399999999999999" customHeight="1" x14ac:dyDescent="0.3"/>
    <row r="1966" ht="30" customHeight="1" x14ac:dyDescent="0.3"/>
    <row r="1967" ht="30" customHeight="1" x14ac:dyDescent="0.3"/>
    <row r="1968" ht="22.8" customHeight="1" x14ac:dyDescent="0.3"/>
    <row r="1969" ht="27" customHeight="1" x14ac:dyDescent="0.3"/>
    <row r="1970" ht="12.6" customHeight="1" x14ac:dyDescent="0.3"/>
    <row r="1973" ht="11.4" customHeight="1" x14ac:dyDescent="0.3"/>
    <row r="1974" ht="26.4" customHeight="1" x14ac:dyDescent="0.3"/>
    <row r="1975" ht="18" customHeight="1" x14ac:dyDescent="0.3"/>
    <row r="1976" ht="15" customHeight="1" x14ac:dyDescent="0.3"/>
    <row r="1977" ht="17.399999999999999" customHeight="1" x14ac:dyDescent="0.3"/>
    <row r="1978" ht="30" customHeight="1" x14ac:dyDescent="0.3"/>
    <row r="1979" ht="30" customHeight="1" x14ac:dyDescent="0.3"/>
    <row r="1980" ht="22.8" customHeight="1" x14ac:dyDescent="0.3"/>
    <row r="1981" ht="27" customHeight="1" x14ac:dyDescent="0.3"/>
    <row r="1982" ht="12.6" customHeight="1" x14ac:dyDescent="0.3"/>
    <row r="1985" ht="11.4" customHeight="1" x14ac:dyDescent="0.3"/>
    <row r="1986" ht="26.4" customHeight="1" x14ac:dyDescent="0.3"/>
    <row r="1987" ht="18" customHeight="1" x14ac:dyDescent="0.3"/>
    <row r="1988" ht="15" customHeight="1" x14ac:dyDescent="0.3"/>
    <row r="1989" ht="17.399999999999999" customHeight="1" x14ac:dyDescent="0.3"/>
    <row r="1990" ht="30" customHeight="1" x14ac:dyDescent="0.3"/>
    <row r="1991" ht="30" customHeight="1" x14ac:dyDescent="0.3"/>
    <row r="1992" ht="22.8" customHeight="1" x14ac:dyDescent="0.3"/>
    <row r="1993" ht="27" customHeight="1" x14ac:dyDescent="0.3"/>
    <row r="1994" ht="12.6" customHeight="1" x14ac:dyDescent="0.3"/>
    <row r="1997" ht="11.4" customHeight="1" x14ac:dyDescent="0.3"/>
    <row r="1998" ht="26.4" customHeight="1" x14ac:dyDescent="0.3"/>
    <row r="1999" ht="18" customHeight="1" x14ac:dyDescent="0.3"/>
    <row r="2000" ht="15" customHeight="1" x14ac:dyDescent="0.3"/>
    <row r="2001" ht="17.399999999999999" customHeight="1" x14ac:dyDescent="0.3"/>
    <row r="2002" ht="30" customHeight="1" x14ac:dyDescent="0.3"/>
    <row r="2003" ht="30" customHeight="1" x14ac:dyDescent="0.3"/>
    <row r="2004" ht="22.8" customHeight="1" x14ac:dyDescent="0.3"/>
    <row r="2005" ht="27" customHeight="1" x14ac:dyDescent="0.3"/>
    <row r="2006" ht="12.6" customHeight="1" x14ac:dyDescent="0.3"/>
    <row r="2009" ht="11.4" customHeight="1" x14ac:dyDescent="0.3"/>
    <row r="2010" ht="26.4" customHeight="1" x14ac:dyDescent="0.3"/>
    <row r="2011" ht="18" customHeight="1" x14ac:dyDescent="0.3"/>
    <row r="2012" ht="15" customHeight="1" x14ac:dyDescent="0.3"/>
    <row r="2013" ht="17.399999999999999" customHeight="1" x14ac:dyDescent="0.3"/>
    <row r="2014" ht="30" customHeight="1" x14ac:dyDescent="0.3"/>
    <row r="2015" ht="30" customHeight="1" x14ac:dyDescent="0.3"/>
    <row r="2016" ht="22.8" customHeight="1" x14ac:dyDescent="0.3"/>
    <row r="2017" ht="27" customHeight="1" x14ac:dyDescent="0.3"/>
    <row r="2018" ht="12.6" customHeight="1" x14ac:dyDescent="0.3"/>
    <row r="2021" ht="11.4" customHeight="1" x14ac:dyDescent="0.3"/>
    <row r="2022" ht="26.4" customHeight="1" x14ac:dyDescent="0.3"/>
    <row r="2023" ht="18" customHeight="1" x14ac:dyDescent="0.3"/>
    <row r="2024" ht="15" customHeight="1" x14ac:dyDescent="0.3"/>
    <row r="2025" ht="17.399999999999999" customHeight="1" x14ac:dyDescent="0.3"/>
    <row r="2026" ht="30" customHeight="1" x14ac:dyDescent="0.3"/>
    <row r="2027" ht="30" customHeight="1" x14ac:dyDescent="0.3"/>
    <row r="2028" ht="22.8" customHeight="1" x14ac:dyDescent="0.3"/>
    <row r="2029" ht="27" customHeight="1" x14ac:dyDescent="0.3"/>
    <row r="2030" ht="12.6" customHeight="1" x14ac:dyDescent="0.3"/>
    <row r="2033" ht="11.4" customHeight="1" x14ac:dyDescent="0.3"/>
    <row r="2034" ht="26.4" customHeight="1" x14ac:dyDescent="0.3"/>
    <row r="2035" ht="18" customHeight="1" x14ac:dyDescent="0.3"/>
    <row r="2036" ht="15" customHeight="1" x14ac:dyDescent="0.3"/>
    <row r="2037" ht="17.399999999999999" customHeight="1" x14ac:dyDescent="0.3"/>
    <row r="2038" ht="30" customHeight="1" x14ac:dyDescent="0.3"/>
    <row r="2039" ht="30" customHeight="1" x14ac:dyDescent="0.3"/>
    <row r="2040" ht="22.8" customHeight="1" x14ac:dyDescent="0.3"/>
    <row r="2041" ht="27" customHeight="1" x14ac:dyDescent="0.3"/>
    <row r="2042" ht="12.6" customHeight="1" x14ac:dyDescent="0.3"/>
    <row r="2045" ht="11.4" customHeight="1" x14ac:dyDescent="0.3"/>
    <row r="2046" ht="26.4" customHeight="1" x14ac:dyDescent="0.3"/>
    <row r="2047" ht="18" customHeight="1" x14ac:dyDescent="0.3"/>
    <row r="2048" ht="15" customHeight="1" x14ac:dyDescent="0.3"/>
    <row r="2049" ht="17.399999999999999" customHeight="1" x14ac:dyDescent="0.3"/>
    <row r="2050" ht="30" customHeight="1" x14ac:dyDescent="0.3"/>
    <row r="2051" ht="30" customHeight="1" x14ac:dyDescent="0.3"/>
    <row r="2052" ht="22.8" customHeight="1" x14ac:dyDescent="0.3"/>
    <row r="2053" ht="27" customHeight="1" x14ac:dyDescent="0.3"/>
    <row r="2054" ht="12.6" customHeight="1" x14ac:dyDescent="0.3"/>
    <row r="2057" ht="11.4" customHeight="1" x14ac:dyDescent="0.3"/>
    <row r="2058" ht="26.4" customHeight="1" x14ac:dyDescent="0.3"/>
    <row r="2059" ht="18" customHeight="1" x14ac:dyDescent="0.3"/>
    <row r="2060" ht="15" customHeight="1" x14ac:dyDescent="0.3"/>
    <row r="2061" ht="17.399999999999999" customHeight="1" x14ac:dyDescent="0.3"/>
    <row r="2062" ht="30" customHeight="1" x14ac:dyDescent="0.3"/>
    <row r="2063" ht="30" customHeight="1" x14ac:dyDescent="0.3"/>
    <row r="2064" ht="22.8" customHeight="1" x14ac:dyDescent="0.3"/>
    <row r="2065" ht="27" customHeight="1" x14ac:dyDescent="0.3"/>
    <row r="2066" ht="12.6" customHeight="1" x14ac:dyDescent="0.3"/>
    <row r="2069" ht="11.4" customHeight="1" x14ac:dyDescent="0.3"/>
    <row r="2070" ht="26.4" customHeight="1" x14ac:dyDescent="0.3"/>
    <row r="2071" ht="18" customHeight="1" x14ac:dyDescent="0.3"/>
    <row r="2072" ht="15" customHeight="1" x14ac:dyDescent="0.3"/>
    <row r="2073" ht="17.399999999999999" customHeight="1" x14ac:dyDescent="0.3"/>
    <row r="2074" ht="30" customHeight="1" x14ac:dyDescent="0.3"/>
    <row r="2075" ht="30" customHeight="1" x14ac:dyDescent="0.3"/>
    <row r="2076" ht="22.8" customHeight="1" x14ac:dyDescent="0.3"/>
    <row r="2077" ht="27" customHeight="1" x14ac:dyDescent="0.3"/>
    <row r="2078" ht="12.6" customHeight="1" x14ac:dyDescent="0.3"/>
    <row r="2081" ht="11.4" customHeight="1" x14ac:dyDescent="0.3"/>
    <row r="2082" ht="26.4" customHeight="1" x14ac:dyDescent="0.3"/>
    <row r="2083" ht="18" customHeight="1" x14ac:dyDescent="0.3"/>
    <row r="2084" ht="15" customHeight="1" x14ac:dyDescent="0.3"/>
    <row r="2085" ht="17.399999999999999" customHeight="1" x14ac:dyDescent="0.3"/>
    <row r="2086" ht="30" customHeight="1" x14ac:dyDescent="0.3"/>
    <row r="2087" ht="30" customHeight="1" x14ac:dyDescent="0.3"/>
    <row r="2088" ht="22.8" customHeight="1" x14ac:dyDescent="0.3"/>
    <row r="2089" ht="27" customHeight="1" x14ac:dyDescent="0.3"/>
    <row r="2090" ht="12.6" customHeight="1" x14ac:dyDescent="0.3"/>
    <row r="2093" ht="11.4" customHeight="1" x14ac:dyDescent="0.3"/>
    <row r="2094" ht="26.4" customHeight="1" x14ac:dyDescent="0.3"/>
    <row r="2095" ht="18" customHeight="1" x14ac:dyDescent="0.3"/>
    <row r="2096" ht="15" customHeight="1" x14ac:dyDescent="0.3"/>
    <row r="2097" ht="17.399999999999999" customHeight="1" x14ac:dyDescent="0.3"/>
    <row r="2098" ht="30" customHeight="1" x14ac:dyDescent="0.3"/>
    <row r="2099" ht="30" customHeight="1" x14ac:dyDescent="0.3"/>
    <row r="2100" ht="22.8" customHeight="1" x14ac:dyDescent="0.3"/>
    <row r="2101" ht="27" customHeight="1" x14ac:dyDescent="0.3"/>
    <row r="2102" ht="12.6" customHeight="1" x14ac:dyDescent="0.3"/>
    <row r="2105" ht="11.4" customHeight="1" x14ac:dyDescent="0.3"/>
    <row r="2106" ht="26.4" customHeight="1" x14ac:dyDescent="0.3"/>
    <row r="2107" ht="18" customHeight="1" x14ac:dyDescent="0.3"/>
    <row r="2108" ht="15" customHeight="1" x14ac:dyDescent="0.3"/>
    <row r="2109" ht="17.399999999999999" customHeight="1" x14ac:dyDescent="0.3"/>
    <row r="2110" ht="30" customHeight="1" x14ac:dyDescent="0.3"/>
    <row r="2111" ht="30" customHeight="1" x14ac:dyDescent="0.3"/>
    <row r="2112" ht="22.8" customHeight="1" x14ac:dyDescent="0.3"/>
    <row r="2113" ht="27" customHeight="1" x14ac:dyDescent="0.3"/>
    <row r="2114" ht="12.6" customHeight="1" x14ac:dyDescent="0.3"/>
    <row r="2117" ht="11.4" customHeight="1" x14ac:dyDescent="0.3"/>
    <row r="2118" ht="26.4" customHeight="1" x14ac:dyDescent="0.3"/>
    <row r="2119" ht="18" customHeight="1" x14ac:dyDescent="0.3"/>
    <row r="2120" ht="15" customHeight="1" x14ac:dyDescent="0.3"/>
    <row r="2121" ht="17.399999999999999" customHeight="1" x14ac:dyDescent="0.3"/>
    <row r="2122" ht="30" customHeight="1" x14ac:dyDescent="0.3"/>
    <row r="2123" ht="30" customHeight="1" x14ac:dyDescent="0.3"/>
    <row r="2124" ht="22.8" customHeight="1" x14ac:dyDescent="0.3"/>
    <row r="2125" ht="27" customHeight="1" x14ac:dyDescent="0.3"/>
    <row r="2126" ht="12.6" customHeight="1" x14ac:dyDescent="0.3"/>
    <row r="2129" ht="11.4" customHeight="1" x14ac:dyDescent="0.3"/>
    <row r="2130" ht="26.4" customHeight="1" x14ac:dyDescent="0.3"/>
    <row r="2131" ht="18" customHeight="1" x14ac:dyDescent="0.3"/>
    <row r="2132" ht="15" customHeight="1" x14ac:dyDescent="0.3"/>
    <row r="2133" ht="17.399999999999999" customHeight="1" x14ac:dyDescent="0.3"/>
    <row r="2134" ht="30" customHeight="1" x14ac:dyDescent="0.3"/>
    <row r="2135" ht="30" customHeight="1" x14ac:dyDescent="0.3"/>
    <row r="2136" ht="22.8" customHeight="1" x14ac:dyDescent="0.3"/>
    <row r="2137" ht="27" customHeight="1" x14ac:dyDescent="0.3"/>
    <row r="2138" ht="12.6" customHeight="1" x14ac:dyDescent="0.3"/>
    <row r="2141" ht="11.4" customHeight="1" x14ac:dyDescent="0.3"/>
    <row r="2142" ht="26.4" customHeight="1" x14ac:dyDescent="0.3"/>
    <row r="2143" ht="18" customHeight="1" x14ac:dyDescent="0.3"/>
    <row r="2144" ht="15" customHeight="1" x14ac:dyDescent="0.3"/>
    <row r="2145" ht="17.399999999999999" customHeight="1" x14ac:dyDescent="0.3"/>
    <row r="2146" ht="30" customHeight="1" x14ac:dyDescent="0.3"/>
    <row r="2147" ht="30" customHeight="1" x14ac:dyDescent="0.3"/>
    <row r="2148" ht="22.8" customHeight="1" x14ac:dyDescent="0.3"/>
    <row r="2149" ht="27" customHeight="1" x14ac:dyDescent="0.3"/>
    <row r="2150" ht="12.6" customHeight="1" x14ac:dyDescent="0.3"/>
    <row r="2153" ht="11.4" customHeight="1" x14ac:dyDescent="0.3"/>
    <row r="2154" ht="26.4" customHeight="1" x14ac:dyDescent="0.3"/>
    <row r="2155" ht="18" customHeight="1" x14ac:dyDescent="0.3"/>
    <row r="2156" ht="15" customHeight="1" x14ac:dyDescent="0.3"/>
    <row r="2157" ht="17.399999999999999" customHeight="1" x14ac:dyDescent="0.3"/>
    <row r="2158" ht="30" customHeight="1" x14ac:dyDescent="0.3"/>
    <row r="2159" ht="30" customHeight="1" x14ac:dyDescent="0.3"/>
    <row r="2160" ht="22.8" customHeight="1" x14ac:dyDescent="0.3"/>
    <row r="2161" ht="27" customHeight="1" x14ac:dyDescent="0.3"/>
    <row r="2162" ht="12.6" customHeight="1" x14ac:dyDescent="0.3"/>
    <row r="2165" ht="11.4" customHeight="1" x14ac:dyDescent="0.3"/>
    <row r="2166" ht="26.4" customHeight="1" x14ac:dyDescent="0.3"/>
    <row r="2167" ht="18" customHeight="1" x14ac:dyDescent="0.3"/>
    <row r="2168" ht="15" customHeight="1" x14ac:dyDescent="0.3"/>
    <row r="2169" ht="17.399999999999999" customHeight="1" x14ac:dyDescent="0.3"/>
    <row r="2170" ht="30" customHeight="1" x14ac:dyDescent="0.3"/>
    <row r="2171" ht="30" customHeight="1" x14ac:dyDescent="0.3"/>
    <row r="2172" ht="22.8" customHeight="1" x14ac:dyDescent="0.3"/>
    <row r="2173" ht="27" customHeight="1" x14ac:dyDescent="0.3"/>
    <row r="2174" ht="12.6" customHeight="1" x14ac:dyDescent="0.3"/>
    <row r="2177" ht="11.4" customHeight="1" x14ac:dyDescent="0.3"/>
    <row r="2178" ht="26.4" customHeight="1" x14ac:dyDescent="0.3"/>
    <row r="2179" ht="18" customHeight="1" x14ac:dyDescent="0.3"/>
    <row r="2180" ht="15" customHeight="1" x14ac:dyDescent="0.3"/>
    <row r="2181" ht="17.399999999999999" customHeight="1" x14ac:dyDescent="0.3"/>
    <row r="2182" ht="30" customHeight="1" x14ac:dyDescent="0.3"/>
    <row r="2183" ht="30" customHeight="1" x14ac:dyDescent="0.3"/>
    <row r="2184" ht="22.8" customHeight="1" x14ac:dyDescent="0.3"/>
    <row r="2185" ht="27" customHeight="1" x14ac:dyDescent="0.3"/>
    <row r="2186" ht="12.6" customHeight="1" x14ac:dyDescent="0.3"/>
    <row r="2189" ht="11.4" customHeight="1" x14ac:dyDescent="0.3"/>
    <row r="2190" ht="26.4" customHeight="1" x14ac:dyDescent="0.3"/>
    <row r="2191" ht="18" customHeight="1" x14ac:dyDescent="0.3"/>
    <row r="2192" ht="15" customHeight="1" x14ac:dyDescent="0.3"/>
    <row r="2193" ht="17.399999999999999" customHeight="1" x14ac:dyDescent="0.3"/>
    <row r="2194" ht="30" customHeight="1" x14ac:dyDescent="0.3"/>
    <row r="2195" ht="30" customHeight="1" x14ac:dyDescent="0.3"/>
    <row r="2196" ht="22.8" customHeight="1" x14ac:dyDescent="0.3"/>
    <row r="2197" ht="27" customHeight="1" x14ac:dyDescent="0.3"/>
    <row r="2198" ht="12.6" customHeight="1" x14ac:dyDescent="0.3"/>
    <row r="2201" ht="11.4" customHeight="1" x14ac:dyDescent="0.3"/>
    <row r="2202" ht="26.4" customHeight="1" x14ac:dyDescent="0.3"/>
    <row r="2203" ht="18" customHeight="1" x14ac:dyDescent="0.3"/>
    <row r="2204" ht="15" customHeight="1" x14ac:dyDescent="0.3"/>
    <row r="2205" ht="17.399999999999999" customHeight="1" x14ac:dyDescent="0.3"/>
    <row r="2206" ht="30" customHeight="1" x14ac:dyDescent="0.3"/>
    <row r="2207" ht="30" customHeight="1" x14ac:dyDescent="0.3"/>
    <row r="2208" ht="22.8" customHeight="1" x14ac:dyDescent="0.3"/>
    <row r="2209" ht="27" customHeight="1" x14ac:dyDescent="0.3"/>
    <row r="2210" ht="12.6" customHeight="1" x14ac:dyDescent="0.3"/>
    <row r="2213" ht="11.4" customHeight="1" x14ac:dyDescent="0.3"/>
    <row r="2214" ht="26.4" customHeight="1" x14ac:dyDescent="0.3"/>
    <row r="2215" ht="18" customHeight="1" x14ac:dyDescent="0.3"/>
    <row r="2216" ht="15" customHeight="1" x14ac:dyDescent="0.3"/>
    <row r="2217" ht="17.399999999999999" customHeight="1" x14ac:dyDescent="0.3"/>
    <row r="2218" ht="30" customHeight="1" x14ac:dyDescent="0.3"/>
    <row r="2219" ht="30" customHeight="1" x14ac:dyDescent="0.3"/>
    <row r="2220" ht="22.8" customHeight="1" x14ac:dyDescent="0.3"/>
    <row r="2221" ht="27" customHeight="1" x14ac:dyDescent="0.3"/>
    <row r="2222" ht="12.6" customHeight="1" x14ac:dyDescent="0.3"/>
    <row r="2225" ht="11.4" customHeight="1" x14ac:dyDescent="0.3"/>
    <row r="2226" ht="26.4" customHeight="1" x14ac:dyDescent="0.3"/>
    <row r="2227" ht="18" customHeight="1" x14ac:dyDescent="0.3"/>
    <row r="2228" ht="15" customHeight="1" x14ac:dyDescent="0.3"/>
    <row r="2229" ht="17.399999999999999" customHeight="1" x14ac:dyDescent="0.3"/>
    <row r="2230" ht="30" customHeight="1" x14ac:dyDescent="0.3"/>
    <row r="2231" ht="30" customHeight="1" x14ac:dyDescent="0.3"/>
    <row r="2232" ht="22.8" customHeight="1" x14ac:dyDescent="0.3"/>
    <row r="2233" ht="27" customHeight="1" x14ac:dyDescent="0.3"/>
    <row r="2234" ht="12.6" customHeight="1" x14ac:dyDescent="0.3"/>
    <row r="2237" ht="11.4" customHeight="1" x14ac:dyDescent="0.3"/>
    <row r="2238" ht="26.4" customHeight="1" x14ac:dyDescent="0.3"/>
    <row r="2239" ht="18" customHeight="1" x14ac:dyDescent="0.3"/>
    <row r="2240" ht="15" customHeight="1" x14ac:dyDescent="0.3"/>
    <row r="2241" ht="17.399999999999999" customHeight="1" x14ac:dyDescent="0.3"/>
    <row r="2242" ht="30" customHeight="1" x14ac:dyDescent="0.3"/>
    <row r="2243" ht="30" customHeight="1" x14ac:dyDescent="0.3"/>
    <row r="2244" ht="22.8" customHeight="1" x14ac:dyDescent="0.3"/>
    <row r="2245" ht="27" customHeight="1" x14ac:dyDescent="0.3"/>
    <row r="2246" ht="12.6" customHeight="1" x14ac:dyDescent="0.3"/>
    <row r="2249" ht="11.4" customHeight="1" x14ac:dyDescent="0.3"/>
    <row r="2250" ht="26.4" customHeight="1" x14ac:dyDescent="0.3"/>
    <row r="2251" ht="18" customHeight="1" x14ac:dyDescent="0.3"/>
    <row r="2252" ht="15" customHeight="1" x14ac:dyDescent="0.3"/>
    <row r="2253" ht="17.399999999999999" customHeight="1" x14ac:dyDescent="0.3"/>
    <row r="2254" ht="30" customHeight="1" x14ac:dyDescent="0.3"/>
    <row r="2255" ht="30" customHeight="1" x14ac:dyDescent="0.3"/>
    <row r="2256" ht="22.8" customHeight="1" x14ac:dyDescent="0.3"/>
    <row r="2257" ht="27" customHeight="1" x14ac:dyDescent="0.3"/>
    <row r="2258" ht="12.6" customHeight="1" x14ac:dyDescent="0.3"/>
    <row r="2261" ht="11.4" customHeight="1" x14ac:dyDescent="0.3"/>
    <row r="2262" ht="26.4" customHeight="1" x14ac:dyDescent="0.3"/>
    <row r="2263" ht="18" customHeight="1" x14ac:dyDescent="0.3"/>
    <row r="2264" ht="15" customHeight="1" x14ac:dyDescent="0.3"/>
    <row r="2265" ht="17.399999999999999" customHeight="1" x14ac:dyDescent="0.3"/>
    <row r="2266" ht="30" customHeight="1" x14ac:dyDescent="0.3"/>
    <row r="2267" ht="30" customHeight="1" x14ac:dyDescent="0.3"/>
    <row r="2268" ht="22.8" customHeight="1" x14ac:dyDescent="0.3"/>
    <row r="2269" ht="27" customHeight="1" x14ac:dyDescent="0.3"/>
    <row r="2270" ht="12.6" customHeight="1" x14ac:dyDescent="0.3"/>
    <row r="2273" ht="11.4" customHeight="1" x14ac:dyDescent="0.3"/>
    <row r="2274" ht="26.4" customHeight="1" x14ac:dyDescent="0.3"/>
    <row r="2275" ht="18" customHeight="1" x14ac:dyDescent="0.3"/>
    <row r="2276" ht="15" customHeight="1" x14ac:dyDescent="0.3"/>
    <row r="2277" ht="17.399999999999999" customHeight="1" x14ac:dyDescent="0.3"/>
    <row r="2278" ht="30" customHeight="1" x14ac:dyDescent="0.3"/>
    <row r="2279" ht="30" customHeight="1" x14ac:dyDescent="0.3"/>
    <row r="2280" ht="22.8" customHeight="1" x14ac:dyDescent="0.3"/>
    <row r="2281" ht="27" customHeight="1" x14ac:dyDescent="0.3"/>
    <row r="2282" ht="12.6" customHeight="1" x14ac:dyDescent="0.3"/>
    <row r="2285" ht="11.4" customHeight="1" x14ac:dyDescent="0.3"/>
    <row r="2286" ht="26.4" customHeight="1" x14ac:dyDescent="0.3"/>
    <row r="2287" ht="18" customHeight="1" x14ac:dyDescent="0.3"/>
    <row r="2288" ht="15" customHeight="1" x14ac:dyDescent="0.3"/>
    <row r="2289" ht="17.399999999999999" customHeight="1" x14ac:dyDescent="0.3"/>
    <row r="2290" ht="30" customHeight="1" x14ac:dyDescent="0.3"/>
    <row r="2291" ht="30" customHeight="1" x14ac:dyDescent="0.3"/>
    <row r="2292" ht="22.8" customHeight="1" x14ac:dyDescent="0.3"/>
    <row r="2293" ht="27" customHeight="1" x14ac:dyDescent="0.3"/>
    <row r="2294" ht="12.6" customHeight="1" x14ac:dyDescent="0.3"/>
    <row r="2297" ht="11.4" customHeight="1" x14ac:dyDescent="0.3"/>
    <row r="2298" ht="26.4" customHeight="1" x14ac:dyDescent="0.3"/>
    <row r="2299" ht="18" customHeight="1" x14ac:dyDescent="0.3"/>
    <row r="2300" ht="15" customHeight="1" x14ac:dyDescent="0.3"/>
    <row r="2301" ht="17.399999999999999" customHeight="1" x14ac:dyDescent="0.3"/>
    <row r="2302" ht="30" customHeight="1" x14ac:dyDescent="0.3"/>
    <row r="2303" ht="30" customHeight="1" x14ac:dyDescent="0.3"/>
    <row r="2304" ht="22.8" customHeight="1" x14ac:dyDescent="0.3"/>
    <row r="2305" ht="27" customHeight="1" x14ac:dyDescent="0.3"/>
    <row r="2306" ht="12.6" customHeight="1" x14ac:dyDescent="0.3"/>
    <row r="2309" ht="11.4" customHeight="1" x14ac:dyDescent="0.3"/>
    <row r="2310" ht="26.4" customHeight="1" x14ac:dyDescent="0.3"/>
    <row r="2311" ht="18" customHeight="1" x14ac:dyDescent="0.3"/>
    <row r="2312" ht="15" customHeight="1" x14ac:dyDescent="0.3"/>
    <row r="2313" ht="17.399999999999999" customHeight="1" x14ac:dyDescent="0.3"/>
    <row r="2314" ht="30" customHeight="1" x14ac:dyDescent="0.3"/>
    <row r="2315" ht="30" customHeight="1" x14ac:dyDescent="0.3"/>
    <row r="2316" ht="22.8" customHeight="1" x14ac:dyDescent="0.3"/>
    <row r="2317" ht="27" customHeight="1" x14ac:dyDescent="0.3"/>
    <row r="2318" ht="12.6" customHeight="1" x14ac:dyDescent="0.3"/>
    <row r="2321" ht="11.4" customHeight="1" x14ac:dyDescent="0.3"/>
    <row r="2322" ht="26.4" customHeight="1" x14ac:dyDescent="0.3"/>
    <row r="2323" ht="18" customHeight="1" x14ac:dyDescent="0.3"/>
    <row r="2324" ht="15" customHeight="1" x14ac:dyDescent="0.3"/>
    <row r="2325" ht="17.399999999999999" customHeight="1" x14ac:dyDescent="0.3"/>
    <row r="2326" ht="30" customHeight="1" x14ac:dyDescent="0.3"/>
    <row r="2327" ht="30" customHeight="1" x14ac:dyDescent="0.3"/>
    <row r="2328" ht="22.8" customHeight="1" x14ac:dyDescent="0.3"/>
    <row r="2329" ht="27" customHeight="1" x14ac:dyDescent="0.3"/>
    <row r="2330" ht="12.6" customHeight="1" x14ac:dyDescent="0.3"/>
    <row r="2333" ht="11.4" customHeight="1" x14ac:dyDescent="0.3"/>
    <row r="2334" ht="26.4" customHeight="1" x14ac:dyDescent="0.3"/>
    <row r="2335" ht="18" customHeight="1" x14ac:dyDescent="0.3"/>
    <row r="2336" ht="15" customHeight="1" x14ac:dyDescent="0.3"/>
    <row r="2337" ht="17.399999999999999" customHeight="1" x14ac:dyDescent="0.3"/>
    <row r="2338" ht="30" customHeight="1" x14ac:dyDescent="0.3"/>
    <row r="2339" ht="30" customHeight="1" x14ac:dyDescent="0.3"/>
    <row r="2340" ht="22.8" customHeight="1" x14ac:dyDescent="0.3"/>
    <row r="2341" ht="27" customHeight="1" x14ac:dyDescent="0.3"/>
    <row r="2342" ht="12.6" customHeight="1" x14ac:dyDescent="0.3"/>
    <row r="2345" ht="11.4" customHeight="1" x14ac:dyDescent="0.3"/>
    <row r="2346" ht="26.4" customHeight="1" x14ac:dyDescent="0.3"/>
    <row r="2347" ht="18" customHeight="1" x14ac:dyDescent="0.3"/>
    <row r="2348" ht="15" customHeight="1" x14ac:dyDescent="0.3"/>
    <row r="2349" ht="17.399999999999999" customHeight="1" x14ac:dyDescent="0.3"/>
    <row r="2350" ht="30" customHeight="1" x14ac:dyDescent="0.3"/>
    <row r="2351" ht="30" customHeight="1" x14ac:dyDescent="0.3"/>
    <row r="2352" ht="22.8" customHeight="1" x14ac:dyDescent="0.3"/>
    <row r="2353" ht="27" customHeight="1" x14ac:dyDescent="0.3"/>
    <row r="2354" ht="12.6" customHeight="1" x14ac:dyDescent="0.3"/>
    <row r="2357" ht="11.4" customHeight="1" x14ac:dyDescent="0.3"/>
    <row r="2358" ht="26.4" customHeight="1" x14ac:dyDescent="0.3"/>
    <row r="2359" ht="18" customHeight="1" x14ac:dyDescent="0.3"/>
    <row r="2360" ht="15" customHeight="1" x14ac:dyDescent="0.3"/>
    <row r="2361" ht="17.399999999999999" customHeight="1" x14ac:dyDescent="0.3"/>
    <row r="2362" ht="30" customHeight="1" x14ac:dyDescent="0.3"/>
    <row r="2363" ht="30" customHeight="1" x14ac:dyDescent="0.3"/>
    <row r="2364" ht="22.8" customHeight="1" x14ac:dyDescent="0.3"/>
    <row r="2365" ht="27" customHeight="1" x14ac:dyDescent="0.3"/>
    <row r="2366" ht="12.6" customHeight="1" x14ac:dyDescent="0.3"/>
    <row r="2369" ht="11.4" customHeight="1" x14ac:dyDescent="0.3"/>
    <row r="2370" ht="26.4" customHeight="1" x14ac:dyDescent="0.3"/>
    <row r="2371" ht="18" customHeight="1" x14ac:dyDescent="0.3"/>
    <row r="2372" ht="15" customHeight="1" x14ac:dyDescent="0.3"/>
    <row r="2373" ht="17.399999999999999" customHeight="1" x14ac:dyDescent="0.3"/>
    <row r="2374" ht="30" customHeight="1" x14ac:dyDescent="0.3"/>
    <row r="2375" ht="30" customHeight="1" x14ac:dyDescent="0.3"/>
    <row r="2376" ht="22.8" customHeight="1" x14ac:dyDescent="0.3"/>
    <row r="2377" ht="27" customHeight="1" x14ac:dyDescent="0.3"/>
    <row r="2378" ht="12.6" customHeight="1" x14ac:dyDescent="0.3"/>
    <row r="2381" ht="11.4" customHeight="1" x14ac:dyDescent="0.3"/>
    <row r="2382" ht="26.4" customHeight="1" x14ac:dyDescent="0.3"/>
    <row r="2383" ht="18" customHeight="1" x14ac:dyDescent="0.3"/>
    <row r="2384" ht="15" customHeight="1" x14ac:dyDescent="0.3"/>
    <row r="2385" ht="17.399999999999999" customHeight="1" x14ac:dyDescent="0.3"/>
    <row r="2386" ht="30" customHeight="1" x14ac:dyDescent="0.3"/>
    <row r="2387" ht="30" customHeight="1" x14ac:dyDescent="0.3"/>
    <row r="2388" ht="22.8" customHeight="1" x14ac:dyDescent="0.3"/>
    <row r="2389" ht="27" customHeight="1" x14ac:dyDescent="0.3"/>
    <row r="2390" ht="12.6" customHeight="1" x14ac:dyDescent="0.3"/>
    <row r="2393" ht="11.4" customHeight="1" x14ac:dyDescent="0.3"/>
    <row r="2394" ht="26.4" customHeight="1" x14ac:dyDescent="0.3"/>
    <row r="2395" ht="18" customHeight="1" x14ac:dyDescent="0.3"/>
    <row r="2396" ht="15" customHeight="1" x14ac:dyDescent="0.3"/>
    <row r="2397" ht="17.399999999999999" customHeight="1" x14ac:dyDescent="0.3"/>
    <row r="2398" ht="30" customHeight="1" x14ac:dyDescent="0.3"/>
    <row r="2399" ht="30" customHeight="1" x14ac:dyDescent="0.3"/>
    <row r="2400" ht="22.8" customHeight="1" x14ac:dyDescent="0.3"/>
    <row r="2401" ht="27" customHeight="1" x14ac:dyDescent="0.3"/>
    <row r="2402" ht="12.6" customHeight="1" x14ac:dyDescent="0.3"/>
    <row r="2405" ht="11.4" customHeight="1" x14ac:dyDescent="0.3"/>
    <row r="2406" ht="26.4" customHeight="1" x14ac:dyDescent="0.3"/>
    <row r="2407" ht="18" customHeight="1" x14ac:dyDescent="0.3"/>
    <row r="2408" ht="15" customHeight="1" x14ac:dyDescent="0.3"/>
    <row r="2409" ht="17.399999999999999" customHeight="1" x14ac:dyDescent="0.3"/>
    <row r="2410" ht="30" customHeight="1" x14ac:dyDescent="0.3"/>
    <row r="2411" ht="30" customHeight="1" x14ac:dyDescent="0.3"/>
    <row r="2412" ht="22.8" customHeight="1" x14ac:dyDescent="0.3"/>
    <row r="2413" ht="27" customHeight="1" x14ac:dyDescent="0.3"/>
    <row r="2414" ht="12.6" customHeight="1" x14ac:dyDescent="0.3"/>
    <row r="2417" ht="11.4" customHeight="1" x14ac:dyDescent="0.3"/>
    <row r="2418" ht="26.4" customHeight="1" x14ac:dyDescent="0.3"/>
    <row r="2419" ht="18" customHeight="1" x14ac:dyDescent="0.3"/>
    <row r="2420" ht="15" customHeight="1" x14ac:dyDescent="0.3"/>
    <row r="2421" ht="17.399999999999999" customHeight="1" x14ac:dyDescent="0.3"/>
    <row r="2422" ht="30" customHeight="1" x14ac:dyDescent="0.3"/>
    <row r="2423" ht="30" customHeight="1" x14ac:dyDescent="0.3"/>
    <row r="2424" ht="22.8" customHeight="1" x14ac:dyDescent="0.3"/>
    <row r="2425" ht="27" customHeight="1" x14ac:dyDescent="0.3"/>
    <row r="2426" ht="12.6" customHeight="1" x14ac:dyDescent="0.3"/>
    <row r="2429" ht="11.4" customHeight="1" x14ac:dyDescent="0.3"/>
    <row r="2430" ht="26.4" customHeight="1" x14ac:dyDescent="0.3"/>
    <row r="2431" ht="18" customHeight="1" x14ac:dyDescent="0.3"/>
    <row r="2432" ht="15" customHeight="1" x14ac:dyDescent="0.3"/>
    <row r="2433" ht="17.399999999999999" customHeight="1" x14ac:dyDescent="0.3"/>
    <row r="2434" ht="30" customHeight="1" x14ac:dyDescent="0.3"/>
    <row r="2435" ht="30" customHeight="1" x14ac:dyDescent="0.3"/>
    <row r="2436" ht="22.8" customHeight="1" x14ac:dyDescent="0.3"/>
    <row r="2437" ht="27" customHeight="1" x14ac:dyDescent="0.3"/>
    <row r="2438" ht="12.6" customHeight="1" x14ac:dyDescent="0.3"/>
    <row r="2441" ht="11.4" customHeight="1" x14ac:dyDescent="0.3"/>
    <row r="2442" ht="26.4" customHeight="1" x14ac:dyDescent="0.3"/>
    <row r="2443" ht="18" customHeight="1" x14ac:dyDescent="0.3"/>
    <row r="2444" ht="15" customHeight="1" x14ac:dyDescent="0.3"/>
    <row r="2445" ht="17.399999999999999" customHeight="1" x14ac:dyDescent="0.3"/>
    <row r="2446" ht="30" customHeight="1" x14ac:dyDescent="0.3"/>
    <row r="2447" ht="30" customHeight="1" x14ac:dyDescent="0.3"/>
    <row r="2448" ht="22.8" customHeight="1" x14ac:dyDescent="0.3"/>
    <row r="2449" ht="27" customHeight="1" x14ac:dyDescent="0.3"/>
    <row r="2450" ht="12.6" customHeight="1" x14ac:dyDescent="0.3"/>
    <row r="2453" ht="11.4" customHeight="1" x14ac:dyDescent="0.3"/>
    <row r="2454" ht="26.4" customHeight="1" x14ac:dyDescent="0.3"/>
    <row r="2455" ht="18" customHeight="1" x14ac:dyDescent="0.3"/>
    <row r="2456" ht="15" customHeight="1" x14ac:dyDescent="0.3"/>
    <row r="2457" ht="17.399999999999999" customHeight="1" x14ac:dyDescent="0.3"/>
    <row r="2458" ht="30" customHeight="1" x14ac:dyDescent="0.3"/>
    <row r="2459" ht="30" customHeight="1" x14ac:dyDescent="0.3"/>
    <row r="2460" ht="22.8" customHeight="1" x14ac:dyDescent="0.3"/>
    <row r="2461" ht="27" customHeight="1" x14ac:dyDescent="0.3"/>
    <row r="2462" ht="12.6" customHeight="1" x14ac:dyDescent="0.3"/>
    <row r="2465" ht="11.4" customHeight="1" x14ac:dyDescent="0.3"/>
    <row r="2466" ht="26.4" customHeight="1" x14ac:dyDescent="0.3"/>
    <row r="2467" ht="18" customHeight="1" x14ac:dyDescent="0.3"/>
    <row r="2468" ht="15" customHeight="1" x14ac:dyDescent="0.3"/>
    <row r="2469" ht="17.399999999999999" customHeight="1" x14ac:dyDescent="0.3"/>
    <row r="2470" ht="30" customHeight="1" x14ac:dyDescent="0.3"/>
    <row r="2471" ht="30" customHeight="1" x14ac:dyDescent="0.3"/>
    <row r="2472" ht="22.8" customHeight="1" x14ac:dyDescent="0.3"/>
    <row r="2473" ht="27" customHeight="1" x14ac:dyDescent="0.3"/>
    <row r="2474" ht="12.6" customHeight="1" x14ac:dyDescent="0.3"/>
    <row r="2477" ht="11.4" customHeight="1" x14ac:dyDescent="0.3"/>
    <row r="2478" ht="26.4" customHeight="1" x14ac:dyDescent="0.3"/>
    <row r="2479" ht="18" customHeight="1" x14ac:dyDescent="0.3"/>
    <row r="2480" ht="15" customHeight="1" x14ac:dyDescent="0.3"/>
    <row r="2481" ht="17.399999999999999" customHeight="1" x14ac:dyDescent="0.3"/>
    <row r="2482" ht="30" customHeight="1" x14ac:dyDescent="0.3"/>
    <row r="2483" ht="30" customHeight="1" x14ac:dyDescent="0.3"/>
    <row r="2484" ht="22.8" customHeight="1" x14ac:dyDescent="0.3"/>
    <row r="2485" ht="27" customHeight="1" x14ac:dyDescent="0.3"/>
    <row r="2486" ht="12.6" customHeight="1" x14ac:dyDescent="0.3"/>
    <row r="2489" ht="11.4" customHeight="1" x14ac:dyDescent="0.3"/>
    <row r="2490" ht="26.4" customHeight="1" x14ac:dyDescent="0.3"/>
    <row r="2491" ht="18" customHeight="1" x14ac:dyDescent="0.3"/>
    <row r="2492" ht="15" customHeight="1" x14ac:dyDescent="0.3"/>
    <row r="2493" ht="17.399999999999999" customHeight="1" x14ac:dyDescent="0.3"/>
    <row r="2494" ht="30" customHeight="1" x14ac:dyDescent="0.3"/>
    <row r="2495" ht="30" customHeight="1" x14ac:dyDescent="0.3"/>
    <row r="2496" ht="22.8" customHeight="1" x14ac:dyDescent="0.3"/>
    <row r="2497" ht="27" customHeight="1" x14ac:dyDescent="0.3"/>
    <row r="2498" ht="12.6" customHeight="1" x14ac:dyDescent="0.3"/>
    <row r="2501" ht="11.4" customHeight="1" x14ac:dyDescent="0.3"/>
    <row r="2502" ht="26.4" customHeight="1" x14ac:dyDescent="0.3"/>
    <row r="2503" ht="18" customHeight="1" x14ac:dyDescent="0.3"/>
    <row r="2504" ht="15" customHeight="1" x14ac:dyDescent="0.3"/>
    <row r="2505" ht="17.399999999999999" customHeight="1" x14ac:dyDescent="0.3"/>
    <row r="2506" ht="30" customHeight="1" x14ac:dyDescent="0.3"/>
    <row r="2507" ht="30" customHeight="1" x14ac:dyDescent="0.3"/>
    <row r="2508" ht="22.8" customHeight="1" x14ac:dyDescent="0.3"/>
    <row r="2509" ht="27" customHeight="1" x14ac:dyDescent="0.3"/>
    <row r="2510" ht="12.6" customHeight="1" x14ac:dyDescent="0.3"/>
    <row r="2513" ht="11.4" customHeight="1" x14ac:dyDescent="0.3"/>
    <row r="2514" ht="26.4" customHeight="1" x14ac:dyDescent="0.3"/>
    <row r="2515" ht="18" customHeight="1" x14ac:dyDescent="0.3"/>
    <row r="2516" ht="15" customHeight="1" x14ac:dyDescent="0.3"/>
    <row r="2517" ht="17.399999999999999" customHeight="1" x14ac:dyDescent="0.3"/>
    <row r="2518" ht="30" customHeight="1" x14ac:dyDescent="0.3"/>
    <row r="2519" ht="30" customHeight="1" x14ac:dyDescent="0.3"/>
    <row r="2520" ht="22.8" customHeight="1" x14ac:dyDescent="0.3"/>
    <row r="2521" ht="27" customHeight="1" x14ac:dyDescent="0.3"/>
    <row r="2522" ht="12.6" customHeight="1" x14ac:dyDescent="0.3"/>
    <row r="2525" ht="11.4" customHeight="1" x14ac:dyDescent="0.3"/>
    <row r="2526" ht="26.4" customHeight="1" x14ac:dyDescent="0.3"/>
    <row r="2527" ht="18" customHeight="1" x14ac:dyDescent="0.3"/>
    <row r="2528" ht="15" customHeight="1" x14ac:dyDescent="0.3"/>
    <row r="2529" ht="17.399999999999999" customHeight="1" x14ac:dyDescent="0.3"/>
    <row r="2530" ht="30" customHeight="1" x14ac:dyDescent="0.3"/>
    <row r="2531" ht="30" customHeight="1" x14ac:dyDescent="0.3"/>
    <row r="2532" ht="22.8" customHeight="1" x14ac:dyDescent="0.3"/>
    <row r="2533" ht="27" customHeight="1" x14ac:dyDescent="0.3"/>
    <row r="2534" ht="12.6" customHeight="1" x14ac:dyDescent="0.3"/>
  </sheetData>
  <mergeCells count="231">
    <mergeCell ref="D311:F311"/>
    <mergeCell ref="C313:D313"/>
    <mergeCell ref="E313:F313"/>
    <mergeCell ref="B318:K318"/>
    <mergeCell ref="D320:E320"/>
    <mergeCell ref="D321:F321"/>
    <mergeCell ref="D322:F322"/>
    <mergeCell ref="D323:F323"/>
    <mergeCell ref="C325:D325"/>
    <mergeCell ref="E325:F325"/>
    <mergeCell ref="B282:K282"/>
    <mergeCell ref="D284:E284"/>
    <mergeCell ref="D285:F285"/>
    <mergeCell ref="D286:F286"/>
    <mergeCell ref="D287:F287"/>
    <mergeCell ref="C289:D289"/>
    <mergeCell ref="E289:F289"/>
    <mergeCell ref="B294:K294"/>
    <mergeCell ref="D296:E296"/>
    <mergeCell ref="D297:F297"/>
    <mergeCell ref="D298:F298"/>
    <mergeCell ref="D299:F299"/>
    <mergeCell ref="C301:D301"/>
    <mergeCell ref="E301:F301"/>
    <mergeCell ref="B306:K306"/>
    <mergeCell ref="D308:E308"/>
    <mergeCell ref="D309:F309"/>
    <mergeCell ref="D310:F310"/>
    <mergeCell ref="D249:F249"/>
    <mergeCell ref="D250:F250"/>
    <mergeCell ref="D251:F251"/>
    <mergeCell ref="C253:D253"/>
    <mergeCell ref="E253:F253"/>
    <mergeCell ref="B258:K258"/>
    <mergeCell ref="D260:E260"/>
    <mergeCell ref="D261:F261"/>
    <mergeCell ref="D262:F262"/>
    <mergeCell ref="D263:F263"/>
    <mergeCell ref="C265:D265"/>
    <mergeCell ref="E265:F265"/>
    <mergeCell ref="B270:K270"/>
    <mergeCell ref="D272:E272"/>
    <mergeCell ref="D273:F273"/>
    <mergeCell ref="D274:F274"/>
    <mergeCell ref="D275:F275"/>
    <mergeCell ref="C277:D277"/>
    <mergeCell ref="E277:F277"/>
    <mergeCell ref="C229:D229"/>
    <mergeCell ref="E229:F229"/>
    <mergeCell ref="D214:F214"/>
    <mergeCell ref="D215:F215"/>
    <mergeCell ref="C217:D217"/>
    <mergeCell ref="E217:F217"/>
    <mergeCell ref="B222:K222"/>
    <mergeCell ref="D224:E224"/>
    <mergeCell ref="D225:F225"/>
    <mergeCell ref="D226:F226"/>
    <mergeCell ref="D227:F227"/>
    <mergeCell ref="B234:K234"/>
    <mergeCell ref="D236:E236"/>
    <mergeCell ref="D237:F237"/>
    <mergeCell ref="D238:F238"/>
    <mergeCell ref="D239:F239"/>
    <mergeCell ref="C241:D241"/>
    <mergeCell ref="E241:F241"/>
    <mergeCell ref="B246:K246"/>
    <mergeCell ref="D248:E248"/>
    <mergeCell ref="D188:E188"/>
    <mergeCell ref="D189:F189"/>
    <mergeCell ref="D190:F190"/>
    <mergeCell ref="D191:F191"/>
    <mergeCell ref="C193:D193"/>
    <mergeCell ref="E193:F193"/>
    <mergeCell ref="D178:F178"/>
    <mergeCell ref="D179:F179"/>
    <mergeCell ref="C181:D181"/>
    <mergeCell ref="E181:F181"/>
    <mergeCell ref="B186:K186"/>
    <mergeCell ref="C205:D205"/>
    <mergeCell ref="E205:F205"/>
    <mergeCell ref="B210:K210"/>
    <mergeCell ref="D212:E212"/>
    <mergeCell ref="D213:F213"/>
    <mergeCell ref="B198:K198"/>
    <mergeCell ref="D200:E200"/>
    <mergeCell ref="D201:F201"/>
    <mergeCell ref="D202:F202"/>
    <mergeCell ref="D203:F203"/>
    <mergeCell ref="D152:E152"/>
    <mergeCell ref="D153:F153"/>
    <mergeCell ref="D154:F154"/>
    <mergeCell ref="D155:F155"/>
    <mergeCell ref="C157:D157"/>
    <mergeCell ref="E157:F157"/>
    <mergeCell ref="D142:F142"/>
    <mergeCell ref="D143:F143"/>
    <mergeCell ref="C145:D145"/>
    <mergeCell ref="E145:F145"/>
    <mergeCell ref="B150:K150"/>
    <mergeCell ref="C169:D169"/>
    <mergeCell ref="E169:F169"/>
    <mergeCell ref="B174:K174"/>
    <mergeCell ref="D176:E176"/>
    <mergeCell ref="D177:F177"/>
    <mergeCell ref="B162:K162"/>
    <mergeCell ref="D164:E164"/>
    <mergeCell ref="D165:F165"/>
    <mergeCell ref="D166:F166"/>
    <mergeCell ref="D167:F167"/>
    <mergeCell ref="D116:E116"/>
    <mergeCell ref="D117:F117"/>
    <mergeCell ref="D118:F118"/>
    <mergeCell ref="D119:F119"/>
    <mergeCell ref="C121:D121"/>
    <mergeCell ref="E121:F121"/>
    <mergeCell ref="D106:F106"/>
    <mergeCell ref="D107:F107"/>
    <mergeCell ref="C109:D109"/>
    <mergeCell ref="E109:F109"/>
    <mergeCell ref="B114:K114"/>
    <mergeCell ref="C133:D133"/>
    <mergeCell ref="E133:F133"/>
    <mergeCell ref="B138:K138"/>
    <mergeCell ref="D140:E140"/>
    <mergeCell ref="D141:F141"/>
    <mergeCell ref="B126:K126"/>
    <mergeCell ref="D128:E128"/>
    <mergeCell ref="D129:F129"/>
    <mergeCell ref="D130:F130"/>
    <mergeCell ref="D131:F131"/>
    <mergeCell ref="D80:E80"/>
    <mergeCell ref="D81:F81"/>
    <mergeCell ref="D82:F82"/>
    <mergeCell ref="D83:F83"/>
    <mergeCell ref="C85:D85"/>
    <mergeCell ref="E85:F85"/>
    <mergeCell ref="D70:F70"/>
    <mergeCell ref="D71:F71"/>
    <mergeCell ref="C73:D73"/>
    <mergeCell ref="E73:F73"/>
    <mergeCell ref="B78:K78"/>
    <mergeCell ref="C97:D97"/>
    <mergeCell ref="E97:F97"/>
    <mergeCell ref="B102:K102"/>
    <mergeCell ref="D104:E104"/>
    <mergeCell ref="D105:F105"/>
    <mergeCell ref="B90:K90"/>
    <mergeCell ref="D92:E92"/>
    <mergeCell ref="D93:F93"/>
    <mergeCell ref="D94:F94"/>
    <mergeCell ref="D95:F95"/>
    <mergeCell ref="D45:F45"/>
    <mergeCell ref="D46:F46"/>
    <mergeCell ref="D47:F47"/>
    <mergeCell ref="C49:D49"/>
    <mergeCell ref="E49:F49"/>
    <mergeCell ref="D34:F34"/>
    <mergeCell ref="D35:F35"/>
    <mergeCell ref="C37:D37"/>
    <mergeCell ref="E37:F37"/>
    <mergeCell ref="B42:K42"/>
    <mergeCell ref="C61:D61"/>
    <mergeCell ref="E61:F61"/>
    <mergeCell ref="B66:K66"/>
    <mergeCell ref="D68:E68"/>
    <mergeCell ref="D69:F69"/>
    <mergeCell ref="B54:K54"/>
    <mergeCell ref="D56:E56"/>
    <mergeCell ref="D57:F57"/>
    <mergeCell ref="D58:F58"/>
    <mergeCell ref="D59:F59"/>
    <mergeCell ref="C13:D13"/>
    <mergeCell ref="E13:F13"/>
    <mergeCell ref="B6:K6"/>
    <mergeCell ref="D8:E8"/>
    <mergeCell ref="D9:F9"/>
    <mergeCell ref="D10:F10"/>
    <mergeCell ref="D11:F11"/>
    <mergeCell ref="C25:D25"/>
    <mergeCell ref="E25:F25"/>
    <mergeCell ref="B30:K30"/>
    <mergeCell ref="D32:E32"/>
    <mergeCell ref="D33:F33"/>
    <mergeCell ref="B18:K18"/>
    <mergeCell ref="D20:E20"/>
    <mergeCell ref="D21:F21"/>
    <mergeCell ref="D22:F22"/>
    <mergeCell ref="D23:F23"/>
    <mergeCell ref="D44:E44"/>
    <mergeCell ref="B330:K330"/>
    <mergeCell ref="D332:E332"/>
    <mergeCell ref="D333:F333"/>
    <mergeCell ref="D334:F334"/>
    <mergeCell ref="D335:F335"/>
    <mergeCell ref="C337:D337"/>
    <mergeCell ref="E337:F337"/>
    <mergeCell ref="B342:K342"/>
    <mergeCell ref="D344:E344"/>
    <mergeCell ref="D345:F345"/>
    <mergeCell ref="D346:F346"/>
    <mergeCell ref="D347:F347"/>
    <mergeCell ref="C349:D349"/>
    <mergeCell ref="E349:F349"/>
    <mergeCell ref="B354:K354"/>
    <mergeCell ref="D356:E356"/>
    <mergeCell ref="D357:F357"/>
    <mergeCell ref="D358:F358"/>
    <mergeCell ref="D359:F359"/>
    <mergeCell ref="C361:D361"/>
    <mergeCell ref="E361:F361"/>
    <mergeCell ref="B366:K366"/>
    <mergeCell ref="D368:E368"/>
    <mergeCell ref="D369:F369"/>
    <mergeCell ref="D370:F370"/>
    <mergeCell ref="D371:F371"/>
    <mergeCell ref="C373:D373"/>
    <mergeCell ref="E373:F373"/>
    <mergeCell ref="D393:F393"/>
    <mergeCell ref="D394:F394"/>
    <mergeCell ref="D395:F395"/>
    <mergeCell ref="C397:D397"/>
    <mergeCell ref="E397:F397"/>
    <mergeCell ref="B378:K378"/>
    <mergeCell ref="D380:E380"/>
    <mergeCell ref="D381:F381"/>
    <mergeCell ref="D382:F382"/>
    <mergeCell ref="D383:F383"/>
    <mergeCell ref="C385:D385"/>
    <mergeCell ref="E385:F385"/>
    <mergeCell ref="B390:K390"/>
    <mergeCell ref="D392:E392"/>
  </mergeCells>
  <pageMargins left="0.25" right="0.25" top="0.25" bottom="0.25" header="0.3" footer="0.3"/>
  <pageSetup paperSize="9" orientation="portrait" r:id="rId1"/>
  <rowBreaks count="70" manualBreakCount="70">
    <brk id="40" max="16383" man="1"/>
    <brk id="76" max="16383" man="1"/>
    <brk id="112" max="16383" man="1"/>
    <brk id="148" max="16383" man="1"/>
    <brk id="184" max="16383" man="1"/>
    <brk id="220" max="16383" man="1"/>
    <brk id="256" max="16383" man="1"/>
    <brk id="292" max="16383" man="1"/>
    <brk id="328" max="16383" man="1"/>
    <brk id="364" max="16383" man="1"/>
    <brk id="400" max="16383" man="1"/>
    <brk id="436" max="16383" man="1"/>
    <brk id="472" max="16383" man="1"/>
    <brk id="508" max="16383" man="1"/>
    <brk id="544" max="16383" man="1"/>
    <brk id="580" max="16383" man="1"/>
    <brk id="616" max="16383" man="1"/>
    <brk id="652" max="16383" man="1"/>
    <brk id="688" max="16383" man="1"/>
    <brk id="724" max="16383" man="1"/>
    <brk id="760" max="16383" man="1"/>
    <brk id="796" max="16383" man="1"/>
    <brk id="832" max="16383" man="1"/>
    <brk id="868" max="16383" man="1"/>
    <brk id="904" max="16383" man="1"/>
    <brk id="940" max="16383" man="1"/>
    <brk id="976" max="16383" man="1"/>
    <brk id="1012" max="16383" man="1"/>
    <brk id="1048" max="16383" man="1"/>
    <brk id="1084" max="16383" man="1"/>
    <brk id="1120" max="16383" man="1"/>
    <brk id="1156" max="16383" man="1"/>
    <brk id="1192" max="16383" man="1"/>
    <brk id="1228" max="16383" man="1"/>
    <brk id="1264" max="16383" man="1"/>
    <brk id="1300" max="16383" man="1"/>
    <brk id="1336" max="16383" man="1"/>
    <brk id="1372" max="16383" man="1"/>
    <brk id="1408" max="16383" man="1"/>
    <brk id="1444" max="16383" man="1"/>
    <brk id="1480" max="16383" man="1"/>
    <brk id="1516" max="16383" man="1"/>
    <brk id="1552" max="16383" man="1"/>
    <brk id="1588" max="16383" man="1"/>
    <brk id="1624" max="16383" man="1"/>
    <brk id="1660" max="16383" man="1"/>
    <brk id="1696" max="16383" man="1"/>
    <brk id="1732" max="16383" man="1"/>
    <brk id="1768" max="16383" man="1"/>
    <brk id="1804" max="16383" man="1"/>
    <brk id="1840" max="16383" man="1"/>
    <brk id="1876" max="16383" man="1"/>
    <brk id="1912" max="16383" man="1"/>
    <brk id="1948" max="16383" man="1"/>
    <brk id="1984" max="16383" man="1"/>
    <brk id="2020" max="16383" man="1"/>
    <brk id="2056" max="16383" man="1"/>
    <brk id="2092" max="16383" man="1"/>
    <brk id="2128" max="16383" man="1"/>
    <brk id="2164" max="16383" man="1"/>
    <brk id="2200" max="16383" man="1"/>
    <brk id="2236" max="16383" man="1"/>
    <brk id="2272" max="16383" man="1"/>
    <brk id="2308" max="16383" man="1"/>
    <brk id="2344" max="16383" man="1"/>
    <brk id="2380" max="16383" man="1"/>
    <brk id="2416" max="16383" man="1"/>
    <brk id="2452" max="16383" man="1"/>
    <brk id="2488" max="16383" man="1"/>
    <brk id="2524" max="16383" man="1"/>
  </row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FE105-522C-477B-BE33-7EDE085E36E0}">
  <sheetPr codeName="Sheet3"/>
  <dimension ref="A1:S135"/>
  <sheetViews>
    <sheetView showGridLines="0" topLeftCell="A17" workbookViewId="0">
      <selection activeCell="B31" sqref="B31"/>
    </sheetView>
  </sheetViews>
  <sheetFormatPr defaultRowHeight="14.4" x14ac:dyDescent="0.3"/>
  <cols>
    <col min="1" max="1" width="28.44140625" bestFit="1" customWidth="1"/>
    <col min="2" max="2" width="33.6640625" style="21" bestFit="1" customWidth="1"/>
    <col min="5" max="5" width="9.33203125" bestFit="1" customWidth="1"/>
    <col min="6" max="6" width="10.5546875" bestFit="1" customWidth="1"/>
    <col min="7" max="7" width="10.5546875" customWidth="1"/>
    <col min="10" max="10" width="10.5546875" bestFit="1" customWidth="1"/>
    <col min="15" max="15" width="17.6640625" customWidth="1"/>
  </cols>
  <sheetData>
    <row r="1" spans="1:19" x14ac:dyDescent="0.3">
      <c r="B1"/>
    </row>
    <row r="2" spans="1:19" ht="31.2" x14ac:dyDescent="0.3">
      <c r="A2" s="2" t="s">
        <v>2</v>
      </c>
      <c r="B2" s="17" t="s">
        <v>2311</v>
      </c>
      <c r="D2" s="195" t="s">
        <v>31</v>
      </c>
      <c r="E2" s="195"/>
      <c r="F2" s="195"/>
      <c r="G2" s="195"/>
      <c r="I2" s="193" t="s">
        <v>33</v>
      </c>
      <c r="J2" s="194"/>
      <c r="L2" s="195" t="s">
        <v>296</v>
      </c>
      <c r="M2" s="195"/>
      <c r="O2" s="195" t="s">
        <v>1993</v>
      </c>
      <c r="P2" s="195"/>
      <c r="R2" s="193" t="s">
        <v>2020</v>
      </c>
      <c r="S2" s="194"/>
    </row>
    <row r="3" spans="1:19" ht="15.6" x14ac:dyDescent="0.3">
      <c r="A3" s="2" t="s">
        <v>17</v>
      </c>
      <c r="B3" s="18" t="s">
        <v>2312</v>
      </c>
      <c r="D3" s="30" t="s">
        <v>32</v>
      </c>
      <c r="E3" s="30" t="s">
        <v>28</v>
      </c>
      <c r="F3" s="31" t="s">
        <v>3</v>
      </c>
      <c r="G3" s="30" t="s">
        <v>29</v>
      </c>
      <c r="I3" s="30" t="s">
        <v>34</v>
      </c>
      <c r="J3" s="30" t="s">
        <v>35</v>
      </c>
      <c r="L3" s="32" t="s">
        <v>32</v>
      </c>
      <c r="M3" s="32" t="s">
        <v>295</v>
      </c>
      <c r="O3" s="7" t="s">
        <v>1994</v>
      </c>
      <c r="P3" s="7" t="b">
        <v>1</v>
      </c>
      <c r="R3" s="32" t="s">
        <v>14</v>
      </c>
      <c r="S3" s="32" t="s">
        <v>2019</v>
      </c>
    </row>
    <row r="4" spans="1:19" x14ac:dyDescent="0.3">
      <c r="A4" s="2" t="s">
        <v>18</v>
      </c>
      <c r="B4" s="19" t="s">
        <v>2315</v>
      </c>
      <c r="D4" s="20">
        <v>1</v>
      </c>
      <c r="E4" s="27"/>
      <c r="F4" s="28"/>
      <c r="G4" s="20"/>
      <c r="I4" s="20">
        <v>1</v>
      </c>
      <c r="J4" s="20" t="s">
        <v>287</v>
      </c>
      <c r="L4" s="29" t="s">
        <v>299</v>
      </c>
      <c r="M4" s="26">
        <v>5</v>
      </c>
      <c r="O4" s="26" t="s">
        <v>2022</v>
      </c>
      <c r="P4" s="26">
        <v>3</v>
      </c>
      <c r="R4" s="7">
        <v>1</v>
      </c>
      <c r="S4" s="7">
        <v>90</v>
      </c>
    </row>
    <row r="5" spans="1:19" x14ac:dyDescent="0.3">
      <c r="A5" s="2" t="s">
        <v>3</v>
      </c>
      <c r="B5" s="20" t="s">
        <v>2313</v>
      </c>
      <c r="D5" s="20">
        <v>2</v>
      </c>
      <c r="E5" s="27"/>
      <c r="F5" s="28"/>
      <c r="G5" s="20"/>
      <c r="I5" s="20">
        <v>2</v>
      </c>
      <c r="J5" s="20" t="s">
        <v>288</v>
      </c>
      <c r="L5" s="29" t="s">
        <v>298</v>
      </c>
      <c r="M5" s="26">
        <v>5</v>
      </c>
      <c r="O5" s="26" t="s">
        <v>2023</v>
      </c>
      <c r="P5" s="26" t="b">
        <v>1</v>
      </c>
      <c r="R5" s="26">
        <v>2</v>
      </c>
      <c r="S5" s="26">
        <v>60</v>
      </c>
    </row>
    <row r="6" spans="1:19" x14ac:dyDescent="0.3">
      <c r="A6" s="2" t="s">
        <v>4</v>
      </c>
      <c r="B6" s="20" t="s">
        <v>2314</v>
      </c>
      <c r="D6" s="20">
        <v>3</v>
      </c>
      <c r="E6" s="27"/>
      <c r="F6" s="28"/>
      <c r="G6" s="20"/>
      <c r="I6" s="20">
        <v>3</v>
      </c>
      <c r="J6" s="20" t="s">
        <v>289</v>
      </c>
      <c r="L6" s="29" t="s">
        <v>297</v>
      </c>
      <c r="M6" s="26">
        <v>5</v>
      </c>
      <c r="O6" s="26" t="s">
        <v>2021</v>
      </c>
      <c r="P6" s="26">
        <v>2</v>
      </c>
      <c r="R6" s="7">
        <v>3</v>
      </c>
      <c r="S6" s="7">
        <v>45</v>
      </c>
    </row>
    <row r="7" spans="1:19" x14ac:dyDescent="0.3">
      <c r="A7" s="2" t="s">
        <v>5</v>
      </c>
      <c r="B7" s="20" t="e" vm="3">
        <v>#VALUE!</v>
      </c>
      <c r="D7" s="20">
        <v>4</v>
      </c>
      <c r="E7" s="27"/>
      <c r="F7" s="28"/>
      <c r="G7" s="20"/>
      <c r="I7" s="20">
        <v>4</v>
      </c>
      <c r="J7" s="20" t="s">
        <v>290</v>
      </c>
      <c r="L7" s="29" t="s">
        <v>300</v>
      </c>
      <c r="M7" s="26">
        <v>5</v>
      </c>
      <c r="O7" s="7"/>
      <c r="P7" s="7"/>
      <c r="R7" s="7">
        <v>5</v>
      </c>
      <c r="S7" s="7">
        <v>30</v>
      </c>
    </row>
    <row r="8" spans="1:19" x14ac:dyDescent="0.3">
      <c r="A8" s="2" t="s">
        <v>6</v>
      </c>
      <c r="B8" s="20"/>
      <c r="D8" s="20">
        <v>5</v>
      </c>
      <c r="E8" s="27"/>
      <c r="F8" s="28"/>
      <c r="G8" s="20"/>
      <c r="I8" s="20">
        <v>5</v>
      </c>
      <c r="J8" s="20" t="s">
        <v>36</v>
      </c>
      <c r="L8" s="29" t="s">
        <v>301</v>
      </c>
      <c r="M8" s="26">
        <v>5</v>
      </c>
      <c r="R8" s="7">
        <v>9</v>
      </c>
      <c r="S8" s="7">
        <v>15</v>
      </c>
    </row>
    <row r="9" spans="1:19" x14ac:dyDescent="0.3">
      <c r="A9" s="2" t="s">
        <v>7</v>
      </c>
      <c r="B9" s="20"/>
      <c r="D9" s="20">
        <v>6</v>
      </c>
      <c r="E9" s="27"/>
      <c r="F9" s="28"/>
      <c r="G9" s="20"/>
      <c r="I9" s="20">
        <v>6</v>
      </c>
      <c r="J9" s="20" t="s">
        <v>37</v>
      </c>
      <c r="L9" s="29"/>
      <c r="M9" s="20"/>
      <c r="R9" s="7">
        <v>17</v>
      </c>
      <c r="S9" s="7">
        <v>0</v>
      </c>
    </row>
    <row r="10" spans="1:19" x14ac:dyDescent="0.3">
      <c r="A10" s="2" t="s">
        <v>8</v>
      </c>
      <c r="B10" s="20" t="e" vm="4">
        <v>#VALUE!</v>
      </c>
      <c r="D10" s="20">
        <v>7</v>
      </c>
      <c r="E10" s="20"/>
      <c r="F10" s="20"/>
      <c r="G10" s="20"/>
      <c r="I10" s="20">
        <v>7</v>
      </c>
      <c r="J10" s="20" t="s">
        <v>38</v>
      </c>
      <c r="L10" s="29"/>
      <c r="M10" s="20"/>
      <c r="R10" s="7">
        <v>33</v>
      </c>
      <c r="S10" s="7">
        <v>0</v>
      </c>
    </row>
    <row r="11" spans="1:19" x14ac:dyDescent="0.3">
      <c r="B11"/>
      <c r="D11" s="20">
        <v>8</v>
      </c>
      <c r="E11" s="27"/>
      <c r="F11" s="20"/>
      <c r="G11" s="20"/>
      <c r="I11" s="20">
        <v>8</v>
      </c>
      <c r="J11" s="20" t="s">
        <v>1340</v>
      </c>
      <c r="L11" s="29"/>
      <c r="M11" s="20"/>
      <c r="R11" s="7">
        <v>65</v>
      </c>
      <c r="S11" s="7">
        <v>0</v>
      </c>
    </row>
    <row r="12" spans="1:19" x14ac:dyDescent="0.3">
      <c r="D12" s="21"/>
      <c r="E12" s="21"/>
      <c r="F12" s="21"/>
      <c r="G12" s="21"/>
      <c r="I12" s="20">
        <v>9</v>
      </c>
      <c r="J12" s="20" t="s">
        <v>1341</v>
      </c>
      <c r="O12" t="s">
        <v>1996</v>
      </c>
    </row>
    <row r="13" spans="1:19" x14ac:dyDescent="0.3">
      <c r="A13" s="2" t="s">
        <v>302</v>
      </c>
      <c r="B13" s="26" t="b">
        <v>0</v>
      </c>
      <c r="D13" s="21"/>
      <c r="E13" s="21"/>
      <c r="F13" s="21"/>
      <c r="G13" s="21"/>
      <c r="I13" s="20">
        <v>10</v>
      </c>
      <c r="J13" s="20" t="s">
        <v>1342</v>
      </c>
      <c r="O13" t="s">
        <v>1995</v>
      </c>
    </row>
    <row r="14" spans="1:19" x14ac:dyDescent="0.3">
      <c r="A14" s="2" t="s">
        <v>303</v>
      </c>
      <c r="B14" s="26">
        <v>100</v>
      </c>
      <c r="I14" s="20">
        <v>11</v>
      </c>
      <c r="J14" s="20" t="s">
        <v>1343</v>
      </c>
    </row>
    <row r="15" spans="1:19" x14ac:dyDescent="0.3">
      <c r="A15" s="7" t="s">
        <v>1944</v>
      </c>
      <c r="B15" s="7" t="b">
        <v>1</v>
      </c>
      <c r="I15" s="20">
        <v>12</v>
      </c>
      <c r="J15" s="20" t="s">
        <v>1344</v>
      </c>
      <c r="O15" t="s">
        <v>1997</v>
      </c>
    </row>
    <row r="16" spans="1:19" x14ac:dyDescent="0.3">
      <c r="B16"/>
      <c r="I16" s="20">
        <v>13</v>
      </c>
      <c r="J16" s="20" t="s">
        <v>1345</v>
      </c>
      <c r="O16" t="s">
        <v>1998</v>
      </c>
    </row>
    <row r="17" spans="1:10" ht="57.6" x14ac:dyDescent="0.3">
      <c r="A17" s="36" t="s">
        <v>875</v>
      </c>
      <c r="B17" s="69" t="s">
        <v>1041</v>
      </c>
      <c r="I17" s="20">
        <v>14</v>
      </c>
      <c r="J17" s="20" t="s">
        <v>1346</v>
      </c>
    </row>
    <row r="18" spans="1:10" ht="57.6" x14ac:dyDescent="0.3">
      <c r="A18" s="36" t="s">
        <v>877</v>
      </c>
      <c r="B18" s="69" t="s">
        <v>1075</v>
      </c>
      <c r="D18" s="90"/>
      <c r="I18" s="20">
        <v>15</v>
      </c>
      <c r="J18" s="20" t="s">
        <v>1347</v>
      </c>
    </row>
    <row r="19" spans="1:10" x14ac:dyDescent="0.3">
      <c r="B19"/>
      <c r="I19" s="20">
        <v>16</v>
      </c>
      <c r="J19" s="20" t="s">
        <v>1348</v>
      </c>
    </row>
    <row r="20" spans="1:10" x14ac:dyDescent="0.3">
      <c r="I20" s="20">
        <v>17</v>
      </c>
      <c r="J20" s="20" t="s">
        <v>1349</v>
      </c>
    </row>
    <row r="21" spans="1:10" x14ac:dyDescent="0.3">
      <c r="I21" s="20">
        <v>18</v>
      </c>
      <c r="J21" s="20" t="s">
        <v>1350</v>
      </c>
    </row>
    <row r="22" spans="1:10" x14ac:dyDescent="0.3">
      <c r="B22"/>
      <c r="I22" s="20">
        <v>19</v>
      </c>
      <c r="J22" s="20" t="s">
        <v>1351</v>
      </c>
    </row>
    <row r="23" spans="1:10" x14ac:dyDescent="0.3">
      <c r="B23"/>
      <c r="I23" s="20">
        <v>20</v>
      </c>
      <c r="J23" s="20" t="s">
        <v>1352</v>
      </c>
    </row>
    <row r="24" spans="1:10" x14ac:dyDescent="0.3">
      <c r="B24"/>
      <c r="I24" s="21"/>
      <c r="J24" s="21"/>
    </row>
    <row r="25" spans="1:10" x14ac:dyDescent="0.3">
      <c r="B25"/>
      <c r="I25" s="21"/>
      <c r="J25" s="21"/>
    </row>
    <row r="26" spans="1:10" x14ac:dyDescent="0.3">
      <c r="A26" s="1"/>
      <c r="B26"/>
      <c r="I26" s="21"/>
      <c r="J26" s="21"/>
    </row>
    <row r="27" spans="1:10" x14ac:dyDescent="0.3">
      <c r="I27" s="21"/>
      <c r="J27" s="21"/>
    </row>
    <row r="28" spans="1:10" x14ac:dyDescent="0.3">
      <c r="I28" s="21"/>
      <c r="J28" s="21"/>
    </row>
    <row r="29" spans="1:10" x14ac:dyDescent="0.3">
      <c r="B29"/>
      <c r="I29" s="21"/>
      <c r="J29" s="21"/>
    </row>
    <row r="30" spans="1:10" x14ac:dyDescent="0.3">
      <c r="A30" s="192" t="s">
        <v>943</v>
      </c>
      <c r="B30" s="192"/>
      <c r="I30" s="21"/>
      <c r="J30" s="21"/>
    </row>
    <row r="31" spans="1:10" x14ac:dyDescent="0.3">
      <c r="A31" s="2" t="s">
        <v>942</v>
      </c>
      <c r="B31" s="2">
        <v>4</v>
      </c>
      <c r="I31" s="21"/>
      <c r="J31" s="21"/>
    </row>
    <row r="32" spans="1:10" ht="43.2" x14ac:dyDescent="0.3">
      <c r="A32" s="2" t="s">
        <v>957</v>
      </c>
      <c r="B32" s="36" t="s">
        <v>2342</v>
      </c>
      <c r="I32" s="21"/>
      <c r="J32" s="21"/>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row r="41" spans="2:2" x14ac:dyDescent="0.3">
      <c r="B41"/>
    </row>
    <row r="42" spans="2:2" x14ac:dyDescent="0.3">
      <c r="B42"/>
    </row>
    <row r="43" spans="2:2" x14ac:dyDescent="0.3">
      <c r="B43"/>
    </row>
    <row r="44" spans="2:2" x14ac:dyDescent="0.3">
      <c r="B44"/>
    </row>
    <row r="45" spans="2:2" x14ac:dyDescent="0.3">
      <c r="B45"/>
    </row>
    <row r="46" spans="2:2" x14ac:dyDescent="0.3">
      <c r="B46"/>
    </row>
    <row r="47" spans="2:2" x14ac:dyDescent="0.3">
      <c r="B47"/>
    </row>
    <row r="48" spans="2:2" x14ac:dyDescent="0.3">
      <c r="B48"/>
    </row>
    <row r="49" spans="2:2" x14ac:dyDescent="0.3">
      <c r="B49"/>
    </row>
    <row r="50" spans="2:2" x14ac:dyDescent="0.3">
      <c r="B50"/>
    </row>
    <row r="51" spans="2:2" x14ac:dyDescent="0.3">
      <c r="B51"/>
    </row>
    <row r="52" spans="2:2" x14ac:dyDescent="0.3">
      <c r="B52"/>
    </row>
    <row r="53" spans="2:2" x14ac:dyDescent="0.3">
      <c r="B53"/>
    </row>
    <row r="54" spans="2:2" x14ac:dyDescent="0.3">
      <c r="B54"/>
    </row>
    <row r="55" spans="2:2" x14ac:dyDescent="0.3">
      <c r="B55"/>
    </row>
    <row r="56" spans="2:2" x14ac:dyDescent="0.3">
      <c r="B56"/>
    </row>
    <row r="57" spans="2:2" x14ac:dyDescent="0.3">
      <c r="B57"/>
    </row>
    <row r="58" spans="2:2" x14ac:dyDescent="0.3">
      <c r="B58"/>
    </row>
    <row r="59" spans="2:2" x14ac:dyDescent="0.3">
      <c r="B59"/>
    </row>
    <row r="60" spans="2:2" x14ac:dyDescent="0.3">
      <c r="B60"/>
    </row>
    <row r="61" spans="2:2" x14ac:dyDescent="0.3">
      <c r="B61"/>
    </row>
    <row r="62" spans="2:2" x14ac:dyDescent="0.3">
      <c r="B62"/>
    </row>
    <row r="63" spans="2:2" x14ac:dyDescent="0.3">
      <c r="B63"/>
    </row>
    <row r="64" spans="2: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sheetData>
  <sheetProtection selectLockedCells="1"/>
  <mergeCells count="6">
    <mergeCell ref="A30:B30"/>
    <mergeCell ref="R2:S2"/>
    <mergeCell ref="O2:P2"/>
    <mergeCell ref="I2:J2"/>
    <mergeCell ref="D2:G2"/>
    <mergeCell ref="L2:M2"/>
  </mergeCells>
  <phoneticPr fontId="12" type="noConversion"/>
  <hyperlinks>
    <hyperlink ref="B17" r:id="rId1" xr:uid="{B4E02214-B3C5-4913-93EF-4B4544EB8484}"/>
    <hyperlink ref="B18" r:id="rId2" xr:uid="{93C65500-50E4-45B3-8093-964B192CFC1E}"/>
  </hyperlinks>
  <pageMargins left="0.7" right="0.7" top="0.75" bottom="0.75" header="0.3" footer="0.3"/>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0E873-9DAF-430E-837C-B5B2DB8AA32A}">
  <sheetPr codeName="Sheet5"/>
  <dimension ref="A1:B68"/>
  <sheetViews>
    <sheetView tabSelected="1" topLeftCell="A52" workbookViewId="0">
      <selection activeCell="A64" sqref="A64"/>
    </sheetView>
  </sheetViews>
  <sheetFormatPr defaultRowHeight="14.4" x14ac:dyDescent="0.3"/>
  <cols>
    <col min="1" max="1" width="35.21875" customWidth="1"/>
  </cols>
  <sheetData>
    <row r="1" spans="1:2" x14ac:dyDescent="0.3">
      <c r="A1" t="s">
        <v>1945</v>
      </c>
    </row>
    <row r="2" spans="1:2" x14ac:dyDescent="0.3">
      <c r="B2" s="112" t="s">
        <v>1946</v>
      </c>
    </row>
    <row r="3" spans="1:2" x14ac:dyDescent="0.3">
      <c r="B3" s="112" t="s">
        <v>1947</v>
      </c>
    </row>
    <row r="4" spans="1:2" x14ac:dyDescent="0.3">
      <c r="B4" t="s">
        <v>1991</v>
      </c>
    </row>
    <row r="5" spans="1:2" x14ac:dyDescent="0.3">
      <c r="A5" s="112" t="s">
        <v>1948</v>
      </c>
    </row>
    <row r="6" spans="1:2" x14ac:dyDescent="0.3">
      <c r="A6" s="113" t="s">
        <v>1949</v>
      </c>
    </row>
    <row r="7" spans="1:2" x14ac:dyDescent="0.3">
      <c r="B7" s="116" t="s">
        <v>1990</v>
      </c>
    </row>
    <row r="8" spans="1:2" x14ac:dyDescent="0.3">
      <c r="B8" s="113" t="s">
        <v>1950</v>
      </c>
    </row>
    <row r="10" spans="1:2" x14ac:dyDescent="0.3">
      <c r="A10" s="112" t="s">
        <v>1951</v>
      </c>
    </row>
    <row r="12" spans="1:2" x14ac:dyDescent="0.3">
      <c r="A12" t="s">
        <v>1952</v>
      </c>
    </row>
    <row r="14" spans="1:2" x14ac:dyDescent="0.3">
      <c r="A14" s="112" t="s">
        <v>1953</v>
      </c>
    </row>
    <row r="16" spans="1:2" x14ac:dyDescent="0.3">
      <c r="A16" t="s">
        <v>1954</v>
      </c>
    </row>
    <row r="18" spans="1:1" x14ac:dyDescent="0.3">
      <c r="A18" s="113" t="s">
        <v>1955</v>
      </c>
    </row>
    <row r="20" spans="1:1" x14ac:dyDescent="0.3">
      <c r="A20" t="s">
        <v>1956</v>
      </c>
    </row>
    <row r="22" spans="1:1" x14ac:dyDescent="0.3">
      <c r="A22" t="s">
        <v>1957</v>
      </c>
    </row>
    <row r="24" spans="1:1" x14ac:dyDescent="0.3">
      <c r="A24" s="113" t="s">
        <v>1958</v>
      </c>
    </row>
    <row r="25" spans="1:1" x14ac:dyDescent="0.3">
      <c r="A25" s="117" t="s">
        <v>1959</v>
      </c>
    </row>
    <row r="26" spans="1:1" x14ac:dyDescent="0.3">
      <c r="A26" s="112" t="s">
        <v>1960</v>
      </c>
    </row>
    <row r="27" spans="1:1" x14ac:dyDescent="0.3">
      <c r="A27" s="112" t="s">
        <v>1961</v>
      </c>
    </row>
    <row r="28" spans="1:1" x14ac:dyDescent="0.3">
      <c r="A28" s="113" t="s">
        <v>1962</v>
      </c>
    </row>
    <row r="29" spans="1:1" x14ac:dyDescent="0.3">
      <c r="A29" s="112" t="s">
        <v>1963</v>
      </c>
    </row>
    <row r="30" spans="1:1" x14ac:dyDescent="0.3">
      <c r="A30" s="116" t="s">
        <v>1989</v>
      </c>
    </row>
    <row r="31" spans="1:1" x14ac:dyDescent="0.3">
      <c r="A31" s="112" t="s">
        <v>1988</v>
      </c>
    </row>
    <row r="32" spans="1:1" x14ac:dyDescent="0.3">
      <c r="A32" s="116" t="s">
        <v>1987</v>
      </c>
    </row>
    <row r="33" spans="1:2" x14ac:dyDescent="0.3">
      <c r="A33" s="112" t="s">
        <v>1964</v>
      </c>
    </row>
    <row r="34" spans="1:2" x14ac:dyDescent="0.3">
      <c r="A34" s="112" t="s">
        <v>1965</v>
      </c>
    </row>
    <row r="35" spans="1:2" x14ac:dyDescent="0.3">
      <c r="A35" s="112" t="s">
        <v>1966</v>
      </c>
    </row>
    <row r="37" spans="1:2" x14ac:dyDescent="0.3">
      <c r="A37" s="112" t="s">
        <v>1967</v>
      </c>
    </row>
    <row r="39" spans="1:2" x14ac:dyDescent="0.3">
      <c r="A39" t="s">
        <v>1968</v>
      </c>
    </row>
    <row r="40" spans="1:2" x14ac:dyDescent="0.3">
      <c r="B40" t="s">
        <v>1969</v>
      </c>
    </row>
    <row r="41" spans="1:2" x14ac:dyDescent="0.3">
      <c r="B41" t="s">
        <v>1970</v>
      </c>
    </row>
    <row r="42" spans="1:2" x14ac:dyDescent="0.3">
      <c r="B42" t="s">
        <v>1971</v>
      </c>
    </row>
    <row r="43" spans="1:2" x14ac:dyDescent="0.3">
      <c r="B43" t="s">
        <v>1972</v>
      </c>
    </row>
    <row r="46" spans="1:2" x14ac:dyDescent="0.3">
      <c r="A46" t="s">
        <v>1992</v>
      </c>
    </row>
    <row r="47" spans="1:2" x14ac:dyDescent="0.3">
      <c r="A47" s="120"/>
    </row>
    <row r="48" spans="1:2" x14ac:dyDescent="0.3">
      <c r="A48" s="117" t="s">
        <v>2036</v>
      </c>
    </row>
    <row r="49" spans="1:1" x14ac:dyDescent="0.3">
      <c r="A49" s="112" t="s">
        <v>2031</v>
      </c>
    </row>
    <row r="50" spans="1:1" x14ac:dyDescent="0.3">
      <c r="A50" s="112" t="s">
        <v>2032</v>
      </c>
    </row>
    <row r="51" spans="1:1" x14ac:dyDescent="0.3">
      <c r="A51" s="112" t="s">
        <v>2033</v>
      </c>
    </row>
    <row r="52" spans="1:1" x14ac:dyDescent="0.3">
      <c r="A52" s="112" t="s">
        <v>2034</v>
      </c>
    </row>
    <row r="53" spans="1:1" x14ac:dyDescent="0.3">
      <c r="A53" s="112" t="s">
        <v>2035</v>
      </c>
    </row>
    <row r="54" spans="1:1" x14ac:dyDescent="0.3">
      <c r="A54" s="112" t="s">
        <v>2037</v>
      </c>
    </row>
    <row r="55" spans="1:1" x14ac:dyDescent="0.3">
      <c r="A55" s="112" t="s">
        <v>2040</v>
      </c>
    </row>
    <row r="58" spans="1:1" x14ac:dyDescent="0.3">
      <c r="A58" s="120"/>
    </row>
    <row r="59" spans="1:1" x14ac:dyDescent="0.3">
      <c r="A59" s="112" t="s">
        <v>2335</v>
      </c>
    </row>
    <row r="60" spans="1:1" x14ac:dyDescent="0.3">
      <c r="A60" s="112" t="s">
        <v>2336</v>
      </c>
    </row>
    <row r="61" spans="1:1" x14ac:dyDescent="0.3">
      <c r="A61" s="112" t="s">
        <v>2337</v>
      </c>
    </row>
    <row r="62" spans="1:1" x14ac:dyDescent="0.3">
      <c r="A62" s="112" t="s">
        <v>2338</v>
      </c>
    </row>
    <row r="63" spans="1:1" x14ac:dyDescent="0.3">
      <c r="A63" s="112" t="s">
        <v>2340</v>
      </c>
    </row>
    <row r="64" spans="1:1" x14ac:dyDescent="0.3">
      <c r="A64" t="s">
        <v>2339</v>
      </c>
    </row>
    <row r="65" spans="1:1" x14ac:dyDescent="0.3">
      <c r="A65" s="202" t="s">
        <v>2372</v>
      </c>
    </row>
    <row r="66" spans="1:1" x14ac:dyDescent="0.3">
      <c r="A66" s="112" t="s">
        <v>2360</v>
      </c>
    </row>
    <row r="68" spans="1:1" x14ac:dyDescent="0.3">
      <c r="A68" t="s">
        <v>2361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19E16-0922-44CD-A290-39DABEABCE61}">
  <sheetPr codeName="Sheet15"/>
  <dimension ref="A1:F586"/>
  <sheetViews>
    <sheetView topLeftCell="A69" workbookViewId="0">
      <selection activeCell="A52" sqref="A52"/>
    </sheetView>
  </sheetViews>
  <sheetFormatPr defaultRowHeight="14.4" x14ac:dyDescent="0.3"/>
  <cols>
    <col min="1" max="1" width="13.109375" bestFit="1" customWidth="1"/>
    <col min="2" max="2" width="28.44140625" bestFit="1" customWidth="1"/>
    <col min="3" max="3" width="11.44140625" bestFit="1" customWidth="1"/>
    <col min="4" max="4" width="6.88671875" bestFit="1" customWidth="1"/>
    <col min="5" max="5" width="15.5546875" bestFit="1" customWidth="1"/>
    <col min="6" max="6" width="4" bestFit="1" customWidth="1"/>
  </cols>
  <sheetData>
    <row r="1" spans="1:6" x14ac:dyDescent="0.3">
      <c r="A1" t="s">
        <v>310</v>
      </c>
      <c r="B1" t="s">
        <v>307</v>
      </c>
      <c r="C1" t="s">
        <v>308</v>
      </c>
      <c r="D1" t="s">
        <v>309</v>
      </c>
      <c r="E1" t="s">
        <v>1</v>
      </c>
      <c r="F1" t="s">
        <v>306</v>
      </c>
    </row>
    <row r="2" spans="1:6" x14ac:dyDescent="0.3">
      <c r="A2" t="s">
        <v>1353</v>
      </c>
      <c r="B2" t="s">
        <v>311</v>
      </c>
      <c r="C2" s="35">
        <v>39722</v>
      </c>
      <c r="D2" t="s">
        <v>312</v>
      </c>
      <c r="E2" t="s">
        <v>313</v>
      </c>
      <c r="F2">
        <v>1</v>
      </c>
    </row>
    <row r="3" spans="1:6" x14ac:dyDescent="0.3">
      <c r="A3" t="s">
        <v>1354</v>
      </c>
      <c r="B3" t="s">
        <v>315</v>
      </c>
      <c r="C3" s="35">
        <v>41045</v>
      </c>
      <c r="D3" t="s">
        <v>316</v>
      </c>
      <c r="E3" t="s">
        <v>313</v>
      </c>
      <c r="F3">
        <v>2</v>
      </c>
    </row>
    <row r="4" spans="1:6" x14ac:dyDescent="0.3">
      <c r="A4" t="s">
        <v>1355</v>
      </c>
      <c r="B4" t="s">
        <v>214</v>
      </c>
      <c r="C4" s="35">
        <v>40997</v>
      </c>
      <c r="D4" t="s">
        <v>312</v>
      </c>
      <c r="E4" t="s">
        <v>319</v>
      </c>
      <c r="F4">
        <v>3</v>
      </c>
    </row>
    <row r="5" spans="1:6" x14ac:dyDescent="0.3">
      <c r="A5" t="s">
        <v>1356</v>
      </c>
      <c r="B5" t="s">
        <v>42</v>
      </c>
      <c r="C5" s="35">
        <v>40251</v>
      </c>
      <c r="D5" t="s">
        <v>316</v>
      </c>
      <c r="E5" t="s">
        <v>319</v>
      </c>
      <c r="F5">
        <v>4</v>
      </c>
    </row>
    <row r="6" spans="1:6" x14ac:dyDescent="0.3">
      <c r="A6" t="s">
        <v>1357</v>
      </c>
      <c r="B6" t="s">
        <v>56</v>
      </c>
      <c r="C6" s="35">
        <v>41255</v>
      </c>
      <c r="D6" t="s">
        <v>316</v>
      </c>
      <c r="E6" t="s">
        <v>322</v>
      </c>
      <c r="F6">
        <v>5</v>
      </c>
    </row>
    <row r="7" spans="1:6" x14ac:dyDescent="0.3">
      <c r="A7" t="s">
        <v>1358</v>
      </c>
      <c r="B7" t="s">
        <v>324</v>
      </c>
      <c r="C7" s="35">
        <v>39162</v>
      </c>
      <c r="D7" t="s">
        <v>316</v>
      </c>
      <c r="E7" t="s">
        <v>317</v>
      </c>
      <c r="F7">
        <v>6</v>
      </c>
    </row>
    <row r="8" spans="1:6" x14ac:dyDescent="0.3">
      <c r="A8" t="s">
        <v>1359</v>
      </c>
      <c r="B8" t="s">
        <v>326</v>
      </c>
      <c r="C8" s="35">
        <v>39162</v>
      </c>
      <c r="D8" t="s">
        <v>312</v>
      </c>
      <c r="E8" t="s">
        <v>317</v>
      </c>
      <c r="F8">
        <v>7</v>
      </c>
    </row>
    <row r="9" spans="1:6" x14ac:dyDescent="0.3">
      <c r="A9" t="s">
        <v>1360</v>
      </c>
      <c r="B9" t="s">
        <v>328</v>
      </c>
      <c r="C9" s="35">
        <v>38256</v>
      </c>
      <c r="D9" t="s">
        <v>312</v>
      </c>
      <c r="E9" t="s">
        <v>317</v>
      </c>
      <c r="F9">
        <v>8</v>
      </c>
    </row>
    <row r="10" spans="1:6" x14ac:dyDescent="0.3">
      <c r="A10" t="s">
        <v>1361</v>
      </c>
      <c r="B10" t="s">
        <v>224</v>
      </c>
      <c r="C10" s="35">
        <v>41177</v>
      </c>
      <c r="D10" t="s">
        <v>312</v>
      </c>
      <c r="E10" t="s">
        <v>317</v>
      </c>
      <c r="F10">
        <v>9</v>
      </c>
    </row>
    <row r="11" spans="1:6" x14ac:dyDescent="0.3">
      <c r="A11" t="s">
        <v>1362</v>
      </c>
      <c r="B11" t="s">
        <v>176</v>
      </c>
      <c r="C11" s="35">
        <v>41661</v>
      </c>
      <c r="D11" t="s">
        <v>312</v>
      </c>
      <c r="E11" t="s">
        <v>332</v>
      </c>
      <c r="F11">
        <v>10</v>
      </c>
    </row>
    <row r="12" spans="1:6" x14ac:dyDescent="0.3">
      <c r="A12" t="s">
        <v>1363</v>
      </c>
      <c r="B12" t="s">
        <v>334</v>
      </c>
      <c r="C12" s="35">
        <v>35727</v>
      </c>
      <c r="D12" t="s">
        <v>312</v>
      </c>
      <c r="E12" t="s">
        <v>313</v>
      </c>
      <c r="F12">
        <v>11</v>
      </c>
    </row>
    <row r="13" spans="1:6" x14ac:dyDescent="0.3">
      <c r="A13" t="s">
        <v>1364</v>
      </c>
      <c r="B13" t="s">
        <v>335</v>
      </c>
      <c r="C13" s="35">
        <v>40015</v>
      </c>
      <c r="D13" t="s">
        <v>312</v>
      </c>
      <c r="E13" t="s">
        <v>336</v>
      </c>
      <c r="F13">
        <v>12</v>
      </c>
    </row>
    <row r="14" spans="1:6" x14ac:dyDescent="0.3">
      <c r="A14" t="s">
        <v>1365</v>
      </c>
      <c r="B14" t="s">
        <v>53</v>
      </c>
      <c r="C14" s="35">
        <v>40856</v>
      </c>
      <c r="D14" t="s">
        <v>316</v>
      </c>
      <c r="E14" t="s">
        <v>338</v>
      </c>
      <c r="F14">
        <v>13</v>
      </c>
    </row>
    <row r="15" spans="1:6" x14ac:dyDescent="0.3">
      <c r="A15" t="s">
        <v>1366</v>
      </c>
      <c r="B15" t="s">
        <v>118</v>
      </c>
      <c r="C15" s="35">
        <v>39611</v>
      </c>
      <c r="D15" t="s">
        <v>316</v>
      </c>
      <c r="E15" t="s">
        <v>313</v>
      </c>
      <c r="F15">
        <v>14</v>
      </c>
    </row>
    <row r="16" spans="1:6" x14ac:dyDescent="0.3">
      <c r="A16" t="s">
        <v>1367</v>
      </c>
      <c r="B16" t="s">
        <v>109</v>
      </c>
      <c r="C16" s="35">
        <v>41886</v>
      </c>
      <c r="D16" t="s">
        <v>316</v>
      </c>
      <c r="E16" t="s">
        <v>313</v>
      </c>
      <c r="F16">
        <v>15</v>
      </c>
    </row>
    <row r="17" spans="1:6" x14ac:dyDescent="0.3">
      <c r="A17" t="s">
        <v>1368</v>
      </c>
      <c r="B17" t="s">
        <v>116</v>
      </c>
      <c r="C17" s="35">
        <v>40311</v>
      </c>
      <c r="D17" t="s">
        <v>312</v>
      </c>
      <c r="E17" t="s">
        <v>330</v>
      </c>
      <c r="F17">
        <v>16</v>
      </c>
    </row>
    <row r="18" spans="1:6" x14ac:dyDescent="0.3">
      <c r="A18" t="s">
        <v>1369</v>
      </c>
      <c r="B18" t="s">
        <v>62</v>
      </c>
      <c r="C18" s="35">
        <v>41191</v>
      </c>
      <c r="D18" t="s">
        <v>316</v>
      </c>
      <c r="E18" t="s">
        <v>330</v>
      </c>
      <c r="F18">
        <v>17</v>
      </c>
    </row>
    <row r="19" spans="1:6" x14ac:dyDescent="0.3">
      <c r="A19" t="s">
        <v>1370</v>
      </c>
      <c r="B19" t="s">
        <v>70</v>
      </c>
      <c r="C19" s="35">
        <v>40706</v>
      </c>
      <c r="D19" t="s">
        <v>316</v>
      </c>
      <c r="E19" t="s">
        <v>338</v>
      </c>
      <c r="F19">
        <v>18</v>
      </c>
    </row>
    <row r="20" spans="1:6" x14ac:dyDescent="0.3">
      <c r="A20" t="s">
        <v>1371</v>
      </c>
      <c r="B20" t="s">
        <v>345</v>
      </c>
      <c r="C20" s="35">
        <v>41808</v>
      </c>
      <c r="D20" t="s">
        <v>316</v>
      </c>
      <c r="E20" t="s">
        <v>330</v>
      </c>
      <c r="F20">
        <v>19</v>
      </c>
    </row>
    <row r="21" spans="1:6" x14ac:dyDescent="0.3">
      <c r="A21" t="s">
        <v>1372</v>
      </c>
      <c r="B21" t="s">
        <v>347</v>
      </c>
      <c r="C21" s="35">
        <v>39765</v>
      </c>
      <c r="D21" t="s">
        <v>312</v>
      </c>
      <c r="E21" t="s">
        <v>330</v>
      </c>
      <c r="F21">
        <v>20</v>
      </c>
    </row>
    <row r="22" spans="1:6" x14ac:dyDescent="0.3">
      <c r="A22" t="s">
        <v>1373</v>
      </c>
      <c r="B22" t="s">
        <v>120</v>
      </c>
      <c r="C22" s="35">
        <v>41178</v>
      </c>
      <c r="D22" t="s">
        <v>312</v>
      </c>
      <c r="E22" t="s">
        <v>332</v>
      </c>
      <c r="F22">
        <v>21</v>
      </c>
    </row>
    <row r="23" spans="1:6" x14ac:dyDescent="0.3">
      <c r="A23" t="s">
        <v>1374</v>
      </c>
      <c r="B23" t="s">
        <v>113</v>
      </c>
      <c r="C23" s="35">
        <v>38783</v>
      </c>
      <c r="D23" t="s">
        <v>316</v>
      </c>
      <c r="E23" t="s">
        <v>330</v>
      </c>
      <c r="F23">
        <v>22</v>
      </c>
    </row>
    <row r="24" spans="1:6" x14ac:dyDescent="0.3">
      <c r="A24" t="s">
        <v>1375</v>
      </c>
      <c r="B24" t="s">
        <v>39</v>
      </c>
      <c r="C24" s="35">
        <v>41383</v>
      </c>
      <c r="D24" t="s">
        <v>316</v>
      </c>
      <c r="E24" t="s">
        <v>330</v>
      </c>
      <c r="F24">
        <v>23</v>
      </c>
    </row>
    <row r="25" spans="1:6" x14ac:dyDescent="0.3">
      <c r="A25" t="s">
        <v>1376</v>
      </c>
      <c r="B25" t="s">
        <v>352</v>
      </c>
      <c r="C25" s="35">
        <v>37513</v>
      </c>
      <c r="D25" t="s">
        <v>312</v>
      </c>
      <c r="E25" t="s">
        <v>336</v>
      </c>
      <c r="F25">
        <v>24</v>
      </c>
    </row>
    <row r="26" spans="1:6" x14ac:dyDescent="0.3">
      <c r="A26" t="s">
        <v>1377</v>
      </c>
      <c r="B26" t="s">
        <v>354</v>
      </c>
      <c r="C26" s="35">
        <v>40870</v>
      </c>
      <c r="D26" t="s">
        <v>312</v>
      </c>
      <c r="E26" t="s">
        <v>355</v>
      </c>
      <c r="F26">
        <v>25</v>
      </c>
    </row>
    <row r="27" spans="1:6" x14ac:dyDescent="0.3">
      <c r="A27" t="s">
        <v>1378</v>
      </c>
      <c r="B27" t="s">
        <v>356</v>
      </c>
      <c r="C27" s="35">
        <v>31388</v>
      </c>
      <c r="D27" t="s">
        <v>312</v>
      </c>
      <c r="E27" t="s">
        <v>319</v>
      </c>
      <c r="F27">
        <v>26</v>
      </c>
    </row>
    <row r="28" spans="1:6" x14ac:dyDescent="0.3">
      <c r="A28" t="s">
        <v>1379</v>
      </c>
      <c r="B28" t="s">
        <v>101</v>
      </c>
      <c r="C28" s="35">
        <v>39576</v>
      </c>
      <c r="D28" t="s">
        <v>316</v>
      </c>
      <c r="E28" t="s">
        <v>313</v>
      </c>
      <c r="F28">
        <v>27</v>
      </c>
    </row>
    <row r="29" spans="1:6" x14ac:dyDescent="0.3">
      <c r="A29" t="s">
        <v>1380</v>
      </c>
      <c r="B29" t="s">
        <v>358</v>
      </c>
      <c r="C29" s="35">
        <v>22992</v>
      </c>
      <c r="D29" t="s">
        <v>312</v>
      </c>
      <c r="E29" t="s">
        <v>355</v>
      </c>
      <c r="F29">
        <v>28</v>
      </c>
    </row>
    <row r="30" spans="1:6" x14ac:dyDescent="0.3">
      <c r="A30" t="s">
        <v>1381</v>
      </c>
      <c r="B30" t="s">
        <v>359</v>
      </c>
      <c r="C30" s="35">
        <v>39377</v>
      </c>
      <c r="D30" t="s">
        <v>312</v>
      </c>
      <c r="E30" t="s">
        <v>313</v>
      </c>
      <c r="F30">
        <v>29</v>
      </c>
    </row>
    <row r="31" spans="1:6" x14ac:dyDescent="0.3">
      <c r="A31" t="s">
        <v>1382</v>
      </c>
      <c r="B31" t="s">
        <v>108</v>
      </c>
      <c r="C31" s="35">
        <v>40500</v>
      </c>
      <c r="D31" t="s">
        <v>312</v>
      </c>
      <c r="E31" t="s">
        <v>330</v>
      </c>
      <c r="F31">
        <v>30</v>
      </c>
    </row>
    <row r="32" spans="1:6" x14ac:dyDescent="0.3">
      <c r="A32" t="s">
        <v>1383</v>
      </c>
      <c r="B32" t="s">
        <v>203</v>
      </c>
      <c r="C32" s="35">
        <v>39800</v>
      </c>
      <c r="D32" t="s">
        <v>312</v>
      </c>
      <c r="E32" t="s">
        <v>313</v>
      </c>
      <c r="F32">
        <v>31</v>
      </c>
    </row>
    <row r="33" spans="1:6" x14ac:dyDescent="0.3">
      <c r="A33" t="s">
        <v>1384</v>
      </c>
      <c r="B33" t="s">
        <v>363</v>
      </c>
      <c r="C33" s="35">
        <v>25095</v>
      </c>
      <c r="D33" t="s">
        <v>312</v>
      </c>
      <c r="E33" t="s">
        <v>313</v>
      </c>
      <c r="F33">
        <v>32</v>
      </c>
    </row>
    <row r="34" spans="1:6" x14ac:dyDescent="0.3">
      <c r="A34" t="s">
        <v>1385</v>
      </c>
      <c r="B34" t="s">
        <v>133</v>
      </c>
      <c r="C34" s="35">
        <v>39824</v>
      </c>
      <c r="D34" t="s">
        <v>316</v>
      </c>
      <c r="E34" t="s">
        <v>322</v>
      </c>
      <c r="F34">
        <v>33</v>
      </c>
    </row>
    <row r="35" spans="1:6" x14ac:dyDescent="0.3">
      <c r="A35" t="s">
        <v>1386</v>
      </c>
      <c r="B35" t="s">
        <v>67</v>
      </c>
      <c r="C35" s="35">
        <v>40488</v>
      </c>
      <c r="D35" t="s">
        <v>316</v>
      </c>
      <c r="E35" t="s">
        <v>367</v>
      </c>
      <c r="F35">
        <v>34</v>
      </c>
    </row>
    <row r="36" spans="1:6" x14ac:dyDescent="0.3">
      <c r="A36" t="s">
        <v>1387</v>
      </c>
      <c r="B36" t="s">
        <v>366</v>
      </c>
      <c r="C36" s="35">
        <v>40683</v>
      </c>
      <c r="D36" t="s">
        <v>312</v>
      </c>
      <c r="E36" t="s">
        <v>332</v>
      </c>
      <c r="F36">
        <v>35</v>
      </c>
    </row>
    <row r="37" spans="1:6" x14ac:dyDescent="0.3">
      <c r="A37" t="s">
        <v>1388</v>
      </c>
      <c r="B37" t="s">
        <v>105</v>
      </c>
      <c r="C37" s="35">
        <v>39332</v>
      </c>
      <c r="D37" t="s">
        <v>312</v>
      </c>
      <c r="E37" t="s">
        <v>367</v>
      </c>
      <c r="F37">
        <v>36</v>
      </c>
    </row>
    <row r="38" spans="1:6" x14ac:dyDescent="0.3">
      <c r="A38" t="s">
        <v>1389</v>
      </c>
      <c r="B38" t="s">
        <v>88</v>
      </c>
      <c r="C38" s="35">
        <v>39423</v>
      </c>
      <c r="D38" t="s">
        <v>316</v>
      </c>
      <c r="E38" t="s">
        <v>367</v>
      </c>
      <c r="F38">
        <v>37</v>
      </c>
    </row>
    <row r="39" spans="1:6" x14ac:dyDescent="0.3">
      <c r="A39" t="s">
        <v>1390</v>
      </c>
      <c r="B39" t="s">
        <v>370</v>
      </c>
      <c r="C39" s="35">
        <v>39388</v>
      </c>
      <c r="D39" t="s">
        <v>312</v>
      </c>
      <c r="E39" t="s">
        <v>317</v>
      </c>
      <c r="F39">
        <v>38</v>
      </c>
    </row>
    <row r="40" spans="1:6" x14ac:dyDescent="0.3">
      <c r="A40" t="s">
        <v>1391</v>
      </c>
      <c r="B40" t="s">
        <v>372</v>
      </c>
      <c r="C40" s="35">
        <v>41221</v>
      </c>
      <c r="D40" t="s">
        <v>316</v>
      </c>
      <c r="E40" t="s">
        <v>317</v>
      </c>
      <c r="F40">
        <v>39</v>
      </c>
    </row>
    <row r="41" spans="1:6" x14ac:dyDescent="0.3">
      <c r="A41" t="s">
        <v>1392</v>
      </c>
      <c r="B41" t="s">
        <v>211</v>
      </c>
      <c r="C41" s="35">
        <v>39269</v>
      </c>
      <c r="D41" t="s">
        <v>312</v>
      </c>
      <c r="E41" t="s">
        <v>332</v>
      </c>
      <c r="F41">
        <v>40</v>
      </c>
    </row>
    <row r="42" spans="1:6" x14ac:dyDescent="0.3">
      <c r="A42" t="s">
        <v>1393</v>
      </c>
      <c r="B42" t="s">
        <v>374</v>
      </c>
      <c r="C42" s="35">
        <v>40495</v>
      </c>
      <c r="D42" t="s">
        <v>316</v>
      </c>
      <c r="E42" t="s">
        <v>330</v>
      </c>
      <c r="F42">
        <v>41</v>
      </c>
    </row>
    <row r="43" spans="1:6" x14ac:dyDescent="0.3">
      <c r="A43" t="s">
        <v>1394</v>
      </c>
      <c r="B43" t="s">
        <v>376</v>
      </c>
      <c r="C43" s="35">
        <v>42611</v>
      </c>
      <c r="D43" t="s">
        <v>312</v>
      </c>
      <c r="E43" t="s">
        <v>332</v>
      </c>
      <c r="F43">
        <v>42</v>
      </c>
    </row>
    <row r="44" spans="1:6" x14ac:dyDescent="0.3">
      <c r="A44" t="s">
        <v>1395</v>
      </c>
      <c r="B44" t="s">
        <v>378</v>
      </c>
      <c r="C44" s="35">
        <v>42607</v>
      </c>
      <c r="D44" t="s">
        <v>312</v>
      </c>
      <c r="E44" t="s">
        <v>330</v>
      </c>
      <c r="F44">
        <v>43</v>
      </c>
    </row>
    <row r="45" spans="1:6" x14ac:dyDescent="0.3">
      <c r="A45" t="s">
        <v>1396</v>
      </c>
      <c r="B45" t="s">
        <v>119</v>
      </c>
      <c r="C45" s="35">
        <v>41695</v>
      </c>
      <c r="D45" t="s">
        <v>312</v>
      </c>
      <c r="E45" t="s">
        <v>332</v>
      </c>
      <c r="F45">
        <v>44</v>
      </c>
    </row>
    <row r="46" spans="1:6" x14ac:dyDescent="0.3">
      <c r="A46" t="s">
        <v>1397</v>
      </c>
      <c r="B46" t="s">
        <v>83</v>
      </c>
      <c r="C46" s="35">
        <v>41757</v>
      </c>
      <c r="D46" t="s">
        <v>312</v>
      </c>
      <c r="E46" t="s">
        <v>313</v>
      </c>
      <c r="F46">
        <v>45</v>
      </c>
    </row>
    <row r="47" spans="1:6" x14ac:dyDescent="0.3">
      <c r="A47" t="s">
        <v>1398</v>
      </c>
      <c r="B47" t="s">
        <v>138</v>
      </c>
      <c r="C47" s="35">
        <v>41851</v>
      </c>
      <c r="D47" t="s">
        <v>316</v>
      </c>
      <c r="E47" t="s">
        <v>332</v>
      </c>
      <c r="F47">
        <v>46</v>
      </c>
    </row>
    <row r="48" spans="1:6" x14ac:dyDescent="0.3">
      <c r="A48" t="s">
        <v>1399</v>
      </c>
      <c r="B48" t="s">
        <v>382</v>
      </c>
      <c r="C48" s="35">
        <v>42078</v>
      </c>
      <c r="D48" t="s">
        <v>312</v>
      </c>
      <c r="E48" t="s">
        <v>322</v>
      </c>
      <c r="F48">
        <v>47</v>
      </c>
    </row>
    <row r="49" spans="1:6" x14ac:dyDescent="0.3">
      <c r="A49" t="s">
        <v>1400</v>
      </c>
      <c r="B49" t="s">
        <v>182</v>
      </c>
      <c r="C49" s="35">
        <v>41887</v>
      </c>
      <c r="D49" t="s">
        <v>312</v>
      </c>
      <c r="E49" t="s">
        <v>317</v>
      </c>
      <c r="F49">
        <v>48</v>
      </c>
    </row>
    <row r="50" spans="1:6" x14ac:dyDescent="0.3">
      <c r="A50" t="s">
        <v>1401</v>
      </c>
      <c r="B50" t="s">
        <v>107</v>
      </c>
      <c r="C50" s="35">
        <v>41606</v>
      </c>
      <c r="D50" t="s">
        <v>312</v>
      </c>
      <c r="E50" t="s">
        <v>313</v>
      </c>
      <c r="F50">
        <v>49</v>
      </c>
    </row>
    <row r="51" spans="1:6" x14ac:dyDescent="0.3">
      <c r="A51" t="s">
        <v>1402</v>
      </c>
      <c r="B51" t="s">
        <v>103</v>
      </c>
      <c r="C51" s="35">
        <v>42079</v>
      </c>
      <c r="D51" t="s">
        <v>316</v>
      </c>
      <c r="E51" t="s">
        <v>313</v>
      </c>
      <c r="F51">
        <v>50</v>
      </c>
    </row>
    <row r="52" spans="1:6" x14ac:dyDescent="0.3">
      <c r="A52" t="s">
        <v>1403</v>
      </c>
      <c r="B52" t="s">
        <v>95</v>
      </c>
      <c r="C52" s="35">
        <v>42740</v>
      </c>
      <c r="D52" t="s">
        <v>312</v>
      </c>
      <c r="E52" t="s">
        <v>332</v>
      </c>
      <c r="F52">
        <v>51</v>
      </c>
    </row>
    <row r="53" spans="1:6" x14ac:dyDescent="0.3">
      <c r="A53" t="s">
        <v>1404</v>
      </c>
      <c r="B53" t="s">
        <v>198</v>
      </c>
      <c r="C53" s="35">
        <v>40846</v>
      </c>
      <c r="D53" t="s">
        <v>312</v>
      </c>
      <c r="E53" t="s">
        <v>367</v>
      </c>
      <c r="F53">
        <v>52</v>
      </c>
    </row>
    <row r="54" spans="1:6" x14ac:dyDescent="0.3">
      <c r="A54" t="s">
        <v>1405</v>
      </c>
      <c r="B54" t="s">
        <v>388</v>
      </c>
      <c r="C54" s="35">
        <v>36351</v>
      </c>
      <c r="D54" t="s">
        <v>316</v>
      </c>
      <c r="E54" t="s">
        <v>336</v>
      </c>
      <c r="F54">
        <v>53</v>
      </c>
    </row>
    <row r="55" spans="1:6" x14ac:dyDescent="0.3">
      <c r="A55" t="s">
        <v>1406</v>
      </c>
      <c r="B55" t="s">
        <v>390</v>
      </c>
      <c r="C55" s="35">
        <v>39940</v>
      </c>
      <c r="D55" t="s">
        <v>316</v>
      </c>
      <c r="E55" t="s">
        <v>367</v>
      </c>
      <c r="F55">
        <v>54</v>
      </c>
    </row>
    <row r="56" spans="1:6" x14ac:dyDescent="0.3">
      <c r="A56" t="s">
        <v>1407</v>
      </c>
      <c r="B56" t="s">
        <v>392</v>
      </c>
      <c r="C56" s="35">
        <v>40077</v>
      </c>
      <c r="D56" t="s">
        <v>316</v>
      </c>
      <c r="E56" t="s">
        <v>332</v>
      </c>
      <c r="F56">
        <v>55</v>
      </c>
    </row>
    <row r="57" spans="1:6" x14ac:dyDescent="0.3">
      <c r="A57" t="s">
        <v>1408</v>
      </c>
      <c r="B57" t="s">
        <v>393</v>
      </c>
      <c r="C57" s="35">
        <v>40412</v>
      </c>
      <c r="D57" t="s">
        <v>312</v>
      </c>
      <c r="E57" t="s">
        <v>336</v>
      </c>
      <c r="F57">
        <v>56</v>
      </c>
    </row>
    <row r="58" spans="1:6" x14ac:dyDescent="0.3">
      <c r="A58" t="s">
        <v>1409</v>
      </c>
      <c r="B58" t="s">
        <v>395</v>
      </c>
      <c r="C58" s="35">
        <v>42503</v>
      </c>
      <c r="D58" t="s">
        <v>312</v>
      </c>
      <c r="E58" t="s">
        <v>330</v>
      </c>
      <c r="F58">
        <v>57</v>
      </c>
    </row>
    <row r="59" spans="1:6" x14ac:dyDescent="0.3">
      <c r="A59" t="s">
        <v>1410</v>
      </c>
      <c r="B59" t="s">
        <v>280</v>
      </c>
      <c r="C59" s="35">
        <v>40186</v>
      </c>
      <c r="D59" t="s">
        <v>312</v>
      </c>
      <c r="E59" t="s">
        <v>332</v>
      </c>
      <c r="F59">
        <v>58</v>
      </c>
    </row>
    <row r="60" spans="1:6" x14ac:dyDescent="0.3">
      <c r="A60" t="s">
        <v>1411</v>
      </c>
      <c r="B60" t="s">
        <v>45</v>
      </c>
      <c r="C60" s="35">
        <v>41518</v>
      </c>
      <c r="D60" t="s">
        <v>316</v>
      </c>
      <c r="E60" t="s">
        <v>367</v>
      </c>
      <c r="F60">
        <v>59</v>
      </c>
    </row>
    <row r="61" spans="1:6" x14ac:dyDescent="0.3">
      <c r="A61" t="s">
        <v>1412</v>
      </c>
      <c r="B61" t="s">
        <v>167</v>
      </c>
      <c r="C61" s="35">
        <v>42386</v>
      </c>
      <c r="D61" t="s">
        <v>312</v>
      </c>
      <c r="E61" t="s">
        <v>336</v>
      </c>
      <c r="F61">
        <v>60</v>
      </c>
    </row>
    <row r="62" spans="1:6" x14ac:dyDescent="0.3">
      <c r="A62" t="s">
        <v>1413</v>
      </c>
      <c r="B62" t="s">
        <v>161</v>
      </c>
      <c r="C62" s="35">
        <v>41524</v>
      </c>
      <c r="D62" t="s">
        <v>312</v>
      </c>
      <c r="E62" t="s">
        <v>332</v>
      </c>
      <c r="F62">
        <v>61</v>
      </c>
    </row>
    <row r="63" spans="1:6" x14ac:dyDescent="0.3">
      <c r="A63" t="s">
        <v>1414</v>
      </c>
      <c r="B63" t="s">
        <v>140</v>
      </c>
      <c r="C63" s="35">
        <v>40640</v>
      </c>
      <c r="D63" t="s">
        <v>312</v>
      </c>
      <c r="E63" t="s">
        <v>317</v>
      </c>
      <c r="F63">
        <v>62</v>
      </c>
    </row>
    <row r="64" spans="1:6" x14ac:dyDescent="0.3">
      <c r="A64" t="s">
        <v>1415</v>
      </c>
      <c r="B64" t="s">
        <v>48</v>
      </c>
      <c r="C64" s="35">
        <v>41142</v>
      </c>
      <c r="D64" t="s">
        <v>316</v>
      </c>
      <c r="E64" t="s">
        <v>313</v>
      </c>
      <c r="F64">
        <v>63</v>
      </c>
    </row>
    <row r="65" spans="1:6" x14ac:dyDescent="0.3">
      <c r="A65" t="s">
        <v>1416</v>
      </c>
      <c r="B65" t="s">
        <v>49</v>
      </c>
      <c r="C65" s="35">
        <v>40363</v>
      </c>
      <c r="D65" t="s">
        <v>316</v>
      </c>
      <c r="E65" t="s">
        <v>322</v>
      </c>
      <c r="F65">
        <v>64</v>
      </c>
    </row>
    <row r="66" spans="1:6" x14ac:dyDescent="0.3">
      <c r="A66" t="s">
        <v>1417</v>
      </c>
      <c r="B66" t="s">
        <v>402</v>
      </c>
      <c r="C66" s="35">
        <v>40518</v>
      </c>
      <c r="D66" t="s">
        <v>312</v>
      </c>
      <c r="E66" t="s">
        <v>332</v>
      </c>
      <c r="F66">
        <v>65</v>
      </c>
    </row>
    <row r="67" spans="1:6" x14ac:dyDescent="0.3">
      <c r="A67" t="s">
        <v>1418</v>
      </c>
      <c r="B67" t="s">
        <v>158</v>
      </c>
      <c r="C67" s="35">
        <v>38197</v>
      </c>
      <c r="D67" t="s">
        <v>316</v>
      </c>
      <c r="E67" t="s">
        <v>355</v>
      </c>
      <c r="F67">
        <v>66</v>
      </c>
    </row>
    <row r="68" spans="1:6" x14ac:dyDescent="0.3">
      <c r="A68" t="s">
        <v>1419</v>
      </c>
      <c r="B68" t="s">
        <v>403</v>
      </c>
      <c r="C68" s="35">
        <v>38994</v>
      </c>
      <c r="D68" t="s">
        <v>316</v>
      </c>
      <c r="E68" t="s">
        <v>355</v>
      </c>
      <c r="F68">
        <v>67</v>
      </c>
    </row>
    <row r="69" spans="1:6" x14ac:dyDescent="0.3">
      <c r="A69" t="s">
        <v>1420</v>
      </c>
      <c r="B69" t="s">
        <v>405</v>
      </c>
      <c r="C69" s="35">
        <v>41554</v>
      </c>
      <c r="D69" t="s">
        <v>316</v>
      </c>
      <c r="E69" t="s">
        <v>332</v>
      </c>
      <c r="F69">
        <v>68</v>
      </c>
    </row>
    <row r="70" spans="1:6" x14ac:dyDescent="0.3">
      <c r="A70" t="s">
        <v>1421</v>
      </c>
      <c r="B70" t="s">
        <v>55</v>
      </c>
      <c r="C70" s="35">
        <v>40512</v>
      </c>
      <c r="D70" t="s">
        <v>316</v>
      </c>
      <c r="E70" t="s">
        <v>332</v>
      </c>
      <c r="F70">
        <v>69</v>
      </c>
    </row>
    <row r="71" spans="1:6" x14ac:dyDescent="0.3">
      <c r="A71" t="s">
        <v>1422</v>
      </c>
      <c r="B71" t="s">
        <v>164</v>
      </c>
      <c r="C71" s="35">
        <v>39359</v>
      </c>
      <c r="D71" t="s">
        <v>316</v>
      </c>
      <c r="E71" t="s">
        <v>322</v>
      </c>
      <c r="F71">
        <v>70</v>
      </c>
    </row>
    <row r="72" spans="1:6" x14ac:dyDescent="0.3">
      <c r="A72" t="s">
        <v>1423</v>
      </c>
      <c r="B72" t="s">
        <v>43</v>
      </c>
      <c r="C72" s="35">
        <v>40414</v>
      </c>
      <c r="D72" t="s">
        <v>316</v>
      </c>
      <c r="E72" t="s">
        <v>336</v>
      </c>
      <c r="F72">
        <v>71</v>
      </c>
    </row>
    <row r="73" spans="1:6" x14ac:dyDescent="0.3">
      <c r="A73" t="s">
        <v>1424</v>
      </c>
      <c r="B73" t="s">
        <v>410</v>
      </c>
      <c r="C73" s="35">
        <v>40384</v>
      </c>
      <c r="D73" t="s">
        <v>312</v>
      </c>
      <c r="E73" t="s">
        <v>319</v>
      </c>
      <c r="F73">
        <v>72</v>
      </c>
    </row>
    <row r="74" spans="1:6" x14ac:dyDescent="0.3">
      <c r="A74" t="s">
        <v>1425</v>
      </c>
      <c r="B74" t="s">
        <v>411</v>
      </c>
      <c r="C74" s="35">
        <v>36943</v>
      </c>
      <c r="D74" t="s">
        <v>312</v>
      </c>
      <c r="E74" t="s">
        <v>336</v>
      </c>
      <c r="F74">
        <v>73</v>
      </c>
    </row>
    <row r="75" spans="1:6" x14ac:dyDescent="0.3">
      <c r="A75" t="s">
        <v>1426</v>
      </c>
      <c r="B75" t="s">
        <v>92</v>
      </c>
      <c r="C75" s="35">
        <v>34444</v>
      </c>
      <c r="D75" t="s">
        <v>316</v>
      </c>
      <c r="E75" t="s">
        <v>367</v>
      </c>
      <c r="F75">
        <v>74</v>
      </c>
    </row>
    <row r="76" spans="1:6" x14ac:dyDescent="0.3">
      <c r="A76" t="s">
        <v>1427</v>
      </c>
      <c r="B76" t="s">
        <v>414</v>
      </c>
      <c r="C76" s="35">
        <v>41860</v>
      </c>
      <c r="D76" t="s">
        <v>316</v>
      </c>
      <c r="E76" t="s">
        <v>336</v>
      </c>
      <c r="F76">
        <v>75</v>
      </c>
    </row>
    <row r="77" spans="1:6" x14ac:dyDescent="0.3">
      <c r="A77" t="s">
        <v>1428</v>
      </c>
      <c r="B77" t="s">
        <v>416</v>
      </c>
      <c r="C77" s="35">
        <v>41294</v>
      </c>
      <c r="D77" t="s">
        <v>312</v>
      </c>
      <c r="E77" t="s">
        <v>319</v>
      </c>
      <c r="F77">
        <v>76</v>
      </c>
    </row>
    <row r="78" spans="1:6" x14ac:dyDescent="0.3">
      <c r="A78" t="s">
        <v>1429</v>
      </c>
      <c r="B78" t="s">
        <v>418</v>
      </c>
      <c r="C78" s="35">
        <v>38548</v>
      </c>
      <c r="D78" t="s">
        <v>312</v>
      </c>
      <c r="E78" t="s">
        <v>336</v>
      </c>
      <c r="F78">
        <v>77</v>
      </c>
    </row>
    <row r="79" spans="1:6" x14ac:dyDescent="0.3">
      <c r="A79" t="s">
        <v>1430</v>
      </c>
      <c r="B79" t="s">
        <v>420</v>
      </c>
      <c r="C79" s="35">
        <v>41782</v>
      </c>
      <c r="D79" t="s">
        <v>312</v>
      </c>
      <c r="E79" t="s">
        <v>355</v>
      </c>
      <c r="F79">
        <v>78</v>
      </c>
    </row>
    <row r="80" spans="1:6" x14ac:dyDescent="0.3">
      <c r="A80" t="s">
        <v>1431</v>
      </c>
      <c r="B80" t="s">
        <v>422</v>
      </c>
      <c r="C80" s="35">
        <v>40541</v>
      </c>
      <c r="D80" t="s">
        <v>312</v>
      </c>
      <c r="E80" t="s">
        <v>330</v>
      </c>
      <c r="F80">
        <v>79</v>
      </c>
    </row>
    <row r="81" spans="1:6" x14ac:dyDescent="0.3">
      <c r="A81" t="s">
        <v>1432</v>
      </c>
      <c r="B81" t="s">
        <v>423</v>
      </c>
      <c r="C81" s="35">
        <v>41197</v>
      </c>
      <c r="D81" t="s">
        <v>312</v>
      </c>
      <c r="E81" t="s">
        <v>330</v>
      </c>
      <c r="F81">
        <v>80</v>
      </c>
    </row>
    <row r="82" spans="1:6" x14ac:dyDescent="0.3">
      <c r="A82" t="s">
        <v>1433</v>
      </c>
      <c r="B82" t="s">
        <v>424</v>
      </c>
      <c r="C82" s="35">
        <v>42262</v>
      </c>
      <c r="D82" t="s">
        <v>312</v>
      </c>
      <c r="E82" t="s">
        <v>355</v>
      </c>
      <c r="F82">
        <v>81</v>
      </c>
    </row>
    <row r="83" spans="1:6" x14ac:dyDescent="0.3">
      <c r="A83" t="s">
        <v>1434</v>
      </c>
      <c r="B83" t="s">
        <v>207</v>
      </c>
      <c r="C83" s="35">
        <v>40697</v>
      </c>
      <c r="D83" t="s">
        <v>312</v>
      </c>
      <c r="E83" t="s">
        <v>336</v>
      </c>
      <c r="F83">
        <v>82</v>
      </c>
    </row>
    <row r="84" spans="1:6" x14ac:dyDescent="0.3">
      <c r="A84" t="s">
        <v>1435</v>
      </c>
      <c r="B84" t="s">
        <v>426</v>
      </c>
      <c r="C84" s="35">
        <v>42562</v>
      </c>
      <c r="D84" t="s">
        <v>312</v>
      </c>
      <c r="E84" t="s">
        <v>355</v>
      </c>
      <c r="F84">
        <v>83</v>
      </c>
    </row>
    <row r="85" spans="1:6" x14ac:dyDescent="0.3">
      <c r="A85" t="s">
        <v>1436</v>
      </c>
      <c r="B85" t="s">
        <v>428</v>
      </c>
      <c r="C85" s="35">
        <v>41556</v>
      </c>
      <c r="D85" t="s">
        <v>312</v>
      </c>
      <c r="E85" t="s">
        <v>336</v>
      </c>
      <c r="F85">
        <v>84</v>
      </c>
    </row>
    <row r="86" spans="1:6" x14ac:dyDescent="0.3">
      <c r="A86" t="s">
        <v>1437</v>
      </c>
      <c r="B86" t="s">
        <v>429</v>
      </c>
      <c r="C86" s="35">
        <v>43023</v>
      </c>
      <c r="D86" t="s">
        <v>312</v>
      </c>
      <c r="E86" t="s">
        <v>330</v>
      </c>
      <c r="F86">
        <v>85</v>
      </c>
    </row>
    <row r="87" spans="1:6" x14ac:dyDescent="0.3">
      <c r="A87" t="s">
        <v>1438</v>
      </c>
      <c r="B87" t="s">
        <v>431</v>
      </c>
      <c r="C87" s="35">
        <v>40697</v>
      </c>
      <c r="D87" t="s">
        <v>312</v>
      </c>
      <c r="E87" t="s">
        <v>336</v>
      </c>
      <c r="F87">
        <v>86</v>
      </c>
    </row>
    <row r="88" spans="1:6" x14ac:dyDescent="0.3">
      <c r="A88" t="s">
        <v>1439</v>
      </c>
      <c r="B88" t="s">
        <v>432</v>
      </c>
      <c r="C88" s="35">
        <v>39479</v>
      </c>
      <c r="D88" t="s">
        <v>312</v>
      </c>
      <c r="E88" t="s">
        <v>330</v>
      </c>
      <c r="F88">
        <v>87</v>
      </c>
    </row>
    <row r="89" spans="1:6" x14ac:dyDescent="0.3">
      <c r="A89" t="s">
        <v>1440</v>
      </c>
      <c r="B89" t="s">
        <v>434</v>
      </c>
      <c r="C89" s="35">
        <v>39066</v>
      </c>
      <c r="D89" t="s">
        <v>312</v>
      </c>
      <c r="E89" t="s">
        <v>367</v>
      </c>
      <c r="F89">
        <v>88</v>
      </c>
    </row>
    <row r="90" spans="1:6" x14ac:dyDescent="0.3">
      <c r="A90" t="s">
        <v>1441</v>
      </c>
      <c r="B90" t="s">
        <v>436</v>
      </c>
      <c r="C90" s="35">
        <v>40963</v>
      </c>
      <c r="D90" t="s">
        <v>312</v>
      </c>
      <c r="E90" t="s">
        <v>336</v>
      </c>
      <c r="F90">
        <v>89</v>
      </c>
    </row>
    <row r="91" spans="1:6" x14ac:dyDescent="0.3">
      <c r="A91" t="s">
        <v>1442</v>
      </c>
      <c r="B91" t="s">
        <v>260</v>
      </c>
      <c r="C91" s="35">
        <v>40902</v>
      </c>
      <c r="D91" t="s">
        <v>312</v>
      </c>
      <c r="E91" t="s">
        <v>336</v>
      </c>
      <c r="F91">
        <v>90</v>
      </c>
    </row>
    <row r="92" spans="1:6" x14ac:dyDescent="0.3">
      <c r="A92" t="s">
        <v>1443</v>
      </c>
      <c r="B92" t="s">
        <v>245</v>
      </c>
      <c r="C92" s="35">
        <v>42098</v>
      </c>
      <c r="D92" t="s">
        <v>312</v>
      </c>
      <c r="E92" t="s">
        <v>336</v>
      </c>
      <c r="F92">
        <v>91</v>
      </c>
    </row>
    <row r="93" spans="1:6" x14ac:dyDescent="0.3">
      <c r="A93" t="s">
        <v>1444</v>
      </c>
      <c r="B93" t="s">
        <v>130</v>
      </c>
      <c r="C93" s="35">
        <v>42223</v>
      </c>
      <c r="D93" t="s">
        <v>312</v>
      </c>
      <c r="E93" t="s">
        <v>322</v>
      </c>
      <c r="F93">
        <v>92</v>
      </c>
    </row>
    <row r="94" spans="1:6" x14ac:dyDescent="0.3">
      <c r="A94" t="s">
        <v>1445</v>
      </c>
      <c r="B94" t="s">
        <v>441</v>
      </c>
      <c r="C94" s="35">
        <v>41229</v>
      </c>
      <c r="D94" t="s">
        <v>316</v>
      </c>
      <c r="E94" t="s">
        <v>367</v>
      </c>
      <c r="F94">
        <v>93</v>
      </c>
    </row>
    <row r="95" spans="1:6" x14ac:dyDescent="0.3">
      <c r="A95" t="s">
        <v>1446</v>
      </c>
      <c r="B95" t="s">
        <v>443</v>
      </c>
      <c r="C95" s="35">
        <v>40456</v>
      </c>
      <c r="D95" t="s">
        <v>312</v>
      </c>
      <c r="E95" t="s">
        <v>313</v>
      </c>
      <c r="F95">
        <v>94</v>
      </c>
    </row>
    <row r="96" spans="1:6" x14ac:dyDescent="0.3">
      <c r="A96" t="s">
        <v>1447</v>
      </c>
      <c r="B96" t="s">
        <v>444</v>
      </c>
      <c r="C96" s="35">
        <v>38735</v>
      </c>
      <c r="D96" t="s">
        <v>312</v>
      </c>
      <c r="E96" t="s">
        <v>336</v>
      </c>
      <c r="F96">
        <v>95</v>
      </c>
    </row>
    <row r="97" spans="1:6" x14ac:dyDescent="0.3">
      <c r="A97" t="s">
        <v>1448</v>
      </c>
      <c r="B97" t="s">
        <v>87</v>
      </c>
      <c r="C97" s="35">
        <v>38370</v>
      </c>
      <c r="D97" t="s">
        <v>316</v>
      </c>
      <c r="E97" t="s">
        <v>336</v>
      </c>
      <c r="F97">
        <v>96</v>
      </c>
    </row>
    <row r="98" spans="1:6" x14ac:dyDescent="0.3">
      <c r="A98" t="s">
        <v>1449</v>
      </c>
      <c r="B98" t="s">
        <v>447</v>
      </c>
      <c r="C98" s="35">
        <v>39017</v>
      </c>
      <c r="D98" t="s">
        <v>312</v>
      </c>
      <c r="E98" t="s">
        <v>338</v>
      </c>
      <c r="F98">
        <v>97</v>
      </c>
    </row>
    <row r="99" spans="1:6" x14ac:dyDescent="0.3">
      <c r="A99" t="s">
        <v>1450</v>
      </c>
      <c r="B99" t="s">
        <v>449</v>
      </c>
      <c r="C99" s="35">
        <v>35431</v>
      </c>
      <c r="D99" t="s">
        <v>312</v>
      </c>
      <c r="E99" t="s">
        <v>336</v>
      </c>
      <c r="F99">
        <v>98</v>
      </c>
    </row>
    <row r="100" spans="1:6" x14ac:dyDescent="0.3">
      <c r="A100" t="s">
        <v>1451</v>
      </c>
      <c r="B100" t="s">
        <v>451</v>
      </c>
      <c r="C100" s="35">
        <v>41126</v>
      </c>
      <c r="D100" t="s">
        <v>312</v>
      </c>
      <c r="E100" t="s">
        <v>336</v>
      </c>
      <c r="F100">
        <v>99</v>
      </c>
    </row>
    <row r="101" spans="1:6" x14ac:dyDescent="0.3">
      <c r="A101" t="s">
        <v>1452</v>
      </c>
      <c r="B101" t="s">
        <v>452</v>
      </c>
      <c r="C101" s="35">
        <v>40154</v>
      </c>
      <c r="D101" t="s">
        <v>312</v>
      </c>
      <c r="E101" t="s">
        <v>367</v>
      </c>
      <c r="F101">
        <v>100</v>
      </c>
    </row>
    <row r="102" spans="1:6" x14ac:dyDescent="0.3">
      <c r="A102" t="s">
        <v>1453</v>
      </c>
      <c r="B102" t="s">
        <v>454</v>
      </c>
      <c r="C102" s="35">
        <v>41437</v>
      </c>
      <c r="D102" t="s">
        <v>312</v>
      </c>
      <c r="E102" t="s">
        <v>367</v>
      </c>
      <c r="F102">
        <v>101</v>
      </c>
    </row>
    <row r="103" spans="1:6" x14ac:dyDescent="0.3">
      <c r="A103" t="s">
        <v>1454</v>
      </c>
      <c r="B103" t="s">
        <v>456</v>
      </c>
      <c r="C103" s="35">
        <v>38116</v>
      </c>
      <c r="D103" t="s">
        <v>312</v>
      </c>
      <c r="E103" t="s">
        <v>330</v>
      </c>
      <c r="F103">
        <v>102</v>
      </c>
    </row>
    <row r="104" spans="1:6" x14ac:dyDescent="0.3">
      <c r="A104" t="s">
        <v>1455</v>
      </c>
      <c r="B104" t="s">
        <v>100</v>
      </c>
      <c r="C104" s="35">
        <v>37971</v>
      </c>
      <c r="D104" t="s">
        <v>316</v>
      </c>
      <c r="E104" t="s">
        <v>336</v>
      </c>
      <c r="F104">
        <v>103</v>
      </c>
    </row>
    <row r="105" spans="1:6" x14ac:dyDescent="0.3">
      <c r="A105" t="s">
        <v>1456</v>
      </c>
      <c r="B105" t="s">
        <v>132</v>
      </c>
      <c r="C105" s="35">
        <v>40217</v>
      </c>
      <c r="D105" t="s">
        <v>312</v>
      </c>
      <c r="E105" t="s">
        <v>319</v>
      </c>
      <c r="F105">
        <v>104</v>
      </c>
    </row>
    <row r="106" spans="1:6" x14ac:dyDescent="0.3">
      <c r="A106" t="s">
        <v>1457</v>
      </c>
      <c r="B106" t="s">
        <v>460</v>
      </c>
      <c r="C106" s="35">
        <v>42466</v>
      </c>
      <c r="D106" t="s">
        <v>312</v>
      </c>
      <c r="E106" t="s">
        <v>355</v>
      </c>
      <c r="F106">
        <v>105</v>
      </c>
    </row>
    <row r="107" spans="1:6" x14ac:dyDescent="0.3">
      <c r="A107" t="s">
        <v>1458</v>
      </c>
      <c r="B107" t="s">
        <v>461</v>
      </c>
      <c r="C107" s="35">
        <v>40132</v>
      </c>
      <c r="D107" t="s">
        <v>316</v>
      </c>
      <c r="E107" t="s">
        <v>338</v>
      </c>
      <c r="F107">
        <v>106</v>
      </c>
    </row>
    <row r="108" spans="1:6" x14ac:dyDescent="0.3">
      <c r="A108" t="s">
        <v>1459</v>
      </c>
      <c r="B108" t="s">
        <v>463</v>
      </c>
      <c r="C108" s="35">
        <v>40799</v>
      </c>
      <c r="D108" t="s">
        <v>316</v>
      </c>
      <c r="E108" t="s">
        <v>338</v>
      </c>
      <c r="F108">
        <v>107</v>
      </c>
    </row>
    <row r="109" spans="1:6" x14ac:dyDescent="0.3">
      <c r="A109" t="s">
        <v>1460</v>
      </c>
      <c r="B109" t="s">
        <v>465</v>
      </c>
      <c r="C109" s="35">
        <v>40136</v>
      </c>
      <c r="D109" t="s">
        <v>316</v>
      </c>
      <c r="E109" t="s">
        <v>338</v>
      </c>
      <c r="F109">
        <v>108</v>
      </c>
    </row>
    <row r="110" spans="1:6" x14ac:dyDescent="0.3">
      <c r="A110" t="s">
        <v>1461</v>
      </c>
      <c r="B110" t="s">
        <v>467</v>
      </c>
      <c r="C110" s="35">
        <v>40821</v>
      </c>
      <c r="D110" t="s">
        <v>312</v>
      </c>
      <c r="E110" t="s">
        <v>317</v>
      </c>
      <c r="F110">
        <v>109</v>
      </c>
    </row>
    <row r="111" spans="1:6" x14ac:dyDescent="0.3">
      <c r="A111" t="s">
        <v>1462</v>
      </c>
      <c r="B111" t="s">
        <v>250</v>
      </c>
      <c r="C111" s="35">
        <v>40191</v>
      </c>
      <c r="D111" t="s">
        <v>312</v>
      </c>
      <c r="E111" t="s">
        <v>338</v>
      </c>
      <c r="F111">
        <v>110</v>
      </c>
    </row>
    <row r="112" spans="1:6" x14ac:dyDescent="0.3">
      <c r="A112" t="s">
        <v>1463</v>
      </c>
      <c r="B112" t="s">
        <v>470</v>
      </c>
      <c r="C112" s="35">
        <v>41603</v>
      </c>
      <c r="D112" t="s">
        <v>312</v>
      </c>
      <c r="E112" t="s">
        <v>332</v>
      </c>
      <c r="F112">
        <v>111</v>
      </c>
    </row>
    <row r="113" spans="1:6" x14ac:dyDescent="0.3">
      <c r="A113" t="s">
        <v>1464</v>
      </c>
      <c r="B113" t="s">
        <v>471</v>
      </c>
      <c r="C113" s="35">
        <v>40858</v>
      </c>
      <c r="D113" t="s">
        <v>316</v>
      </c>
      <c r="E113" t="s">
        <v>338</v>
      </c>
      <c r="F113">
        <v>112</v>
      </c>
    </row>
    <row r="114" spans="1:6" x14ac:dyDescent="0.3">
      <c r="A114" t="s">
        <v>1465</v>
      </c>
      <c r="B114" t="s">
        <v>473</v>
      </c>
      <c r="C114" s="35">
        <v>41976</v>
      </c>
      <c r="D114" t="s">
        <v>312</v>
      </c>
      <c r="E114" t="s">
        <v>313</v>
      </c>
      <c r="F114">
        <v>113</v>
      </c>
    </row>
    <row r="115" spans="1:6" x14ac:dyDescent="0.3">
      <c r="A115" t="s">
        <v>1466</v>
      </c>
      <c r="B115" t="s">
        <v>474</v>
      </c>
      <c r="C115" s="35">
        <v>39861</v>
      </c>
      <c r="D115" t="s">
        <v>316</v>
      </c>
      <c r="E115" t="s">
        <v>338</v>
      </c>
      <c r="F115">
        <v>114</v>
      </c>
    </row>
    <row r="116" spans="1:6" x14ac:dyDescent="0.3">
      <c r="A116" t="s">
        <v>1467</v>
      </c>
      <c r="B116" t="s">
        <v>476</v>
      </c>
      <c r="C116" s="35">
        <v>40208</v>
      </c>
      <c r="D116" t="s">
        <v>312</v>
      </c>
      <c r="E116" t="s">
        <v>319</v>
      </c>
      <c r="F116">
        <v>115</v>
      </c>
    </row>
    <row r="117" spans="1:6" x14ac:dyDescent="0.3">
      <c r="A117" t="s">
        <v>1468</v>
      </c>
      <c r="B117" t="s">
        <v>477</v>
      </c>
      <c r="C117" s="35">
        <v>41032</v>
      </c>
      <c r="D117" t="s">
        <v>316</v>
      </c>
      <c r="E117" t="s">
        <v>338</v>
      </c>
      <c r="F117">
        <v>116</v>
      </c>
    </row>
    <row r="118" spans="1:6" x14ac:dyDescent="0.3">
      <c r="A118" t="s">
        <v>1469</v>
      </c>
      <c r="B118" t="s">
        <v>479</v>
      </c>
      <c r="C118" s="35">
        <v>40917</v>
      </c>
      <c r="D118" t="s">
        <v>316</v>
      </c>
      <c r="E118" t="s">
        <v>338</v>
      </c>
      <c r="F118">
        <v>117</v>
      </c>
    </row>
    <row r="119" spans="1:6" x14ac:dyDescent="0.3">
      <c r="A119" t="s">
        <v>1470</v>
      </c>
      <c r="B119" t="s">
        <v>84</v>
      </c>
      <c r="C119" s="35">
        <v>41263</v>
      </c>
      <c r="D119" t="s">
        <v>312</v>
      </c>
      <c r="E119" t="s">
        <v>336</v>
      </c>
      <c r="F119">
        <v>118</v>
      </c>
    </row>
    <row r="120" spans="1:6" x14ac:dyDescent="0.3">
      <c r="A120" t="s">
        <v>1471</v>
      </c>
      <c r="B120" t="s">
        <v>482</v>
      </c>
      <c r="C120" s="35">
        <v>39548</v>
      </c>
      <c r="D120" t="s">
        <v>312</v>
      </c>
      <c r="E120" t="s">
        <v>336</v>
      </c>
      <c r="F120">
        <v>119</v>
      </c>
    </row>
    <row r="121" spans="1:6" x14ac:dyDescent="0.3">
      <c r="A121" t="s">
        <v>1472</v>
      </c>
      <c r="B121" t="s">
        <v>484</v>
      </c>
      <c r="C121" s="35">
        <v>39496</v>
      </c>
      <c r="D121" t="s">
        <v>312</v>
      </c>
      <c r="E121" t="s">
        <v>355</v>
      </c>
      <c r="F121">
        <v>120</v>
      </c>
    </row>
    <row r="122" spans="1:6" x14ac:dyDescent="0.3">
      <c r="A122" t="s">
        <v>1473</v>
      </c>
      <c r="B122" t="s">
        <v>137</v>
      </c>
      <c r="C122" s="35">
        <v>39933</v>
      </c>
      <c r="D122" t="s">
        <v>312</v>
      </c>
      <c r="E122" t="s">
        <v>338</v>
      </c>
      <c r="F122">
        <v>121</v>
      </c>
    </row>
    <row r="123" spans="1:6" x14ac:dyDescent="0.3">
      <c r="A123" t="s">
        <v>1474</v>
      </c>
      <c r="B123" t="s">
        <v>486</v>
      </c>
      <c r="C123" s="35">
        <v>40406</v>
      </c>
      <c r="D123" t="s">
        <v>312</v>
      </c>
      <c r="E123" t="s">
        <v>322</v>
      </c>
      <c r="F123">
        <v>122</v>
      </c>
    </row>
    <row r="124" spans="1:6" x14ac:dyDescent="0.3">
      <c r="A124" t="s">
        <v>1475</v>
      </c>
      <c r="B124" t="s">
        <v>117</v>
      </c>
      <c r="C124" s="35">
        <v>39337</v>
      </c>
      <c r="D124" t="s">
        <v>312</v>
      </c>
      <c r="E124" t="s">
        <v>322</v>
      </c>
      <c r="F124">
        <v>123</v>
      </c>
    </row>
    <row r="125" spans="1:6" x14ac:dyDescent="0.3">
      <c r="A125" t="s">
        <v>1476</v>
      </c>
      <c r="B125" t="s">
        <v>216</v>
      </c>
      <c r="C125" s="35">
        <v>41286</v>
      </c>
      <c r="D125" t="s">
        <v>312</v>
      </c>
      <c r="E125" t="s">
        <v>338</v>
      </c>
      <c r="F125">
        <v>124</v>
      </c>
    </row>
    <row r="126" spans="1:6" x14ac:dyDescent="0.3">
      <c r="A126" t="s">
        <v>1477</v>
      </c>
      <c r="B126" t="s">
        <v>489</v>
      </c>
      <c r="C126" s="35">
        <v>40325</v>
      </c>
      <c r="D126" t="s">
        <v>312</v>
      </c>
      <c r="E126" t="s">
        <v>338</v>
      </c>
      <c r="F126">
        <v>125</v>
      </c>
    </row>
    <row r="127" spans="1:6" x14ac:dyDescent="0.3">
      <c r="A127" t="s">
        <v>1478</v>
      </c>
      <c r="B127" t="s">
        <v>491</v>
      </c>
      <c r="C127" s="35">
        <v>39565</v>
      </c>
      <c r="D127" t="s">
        <v>312</v>
      </c>
      <c r="E127" t="s">
        <v>338</v>
      </c>
      <c r="F127">
        <v>126</v>
      </c>
    </row>
    <row r="128" spans="1:6" x14ac:dyDescent="0.3">
      <c r="A128" t="s">
        <v>1479</v>
      </c>
      <c r="B128" t="s">
        <v>149</v>
      </c>
      <c r="C128" s="35">
        <v>39955</v>
      </c>
      <c r="D128" t="s">
        <v>312</v>
      </c>
      <c r="E128" t="s">
        <v>322</v>
      </c>
      <c r="F128">
        <v>127</v>
      </c>
    </row>
    <row r="129" spans="1:6" x14ac:dyDescent="0.3">
      <c r="A129" t="s">
        <v>1480</v>
      </c>
      <c r="B129" t="s">
        <v>494</v>
      </c>
      <c r="C129" s="35">
        <v>40813</v>
      </c>
      <c r="D129" t="s">
        <v>316</v>
      </c>
      <c r="E129" t="s">
        <v>355</v>
      </c>
      <c r="F129">
        <v>128</v>
      </c>
    </row>
    <row r="130" spans="1:6" x14ac:dyDescent="0.3">
      <c r="A130" t="s">
        <v>1481</v>
      </c>
      <c r="B130" t="s">
        <v>146</v>
      </c>
      <c r="C130" s="35">
        <v>40658</v>
      </c>
      <c r="D130" t="s">
        <v>312</v>
      </c>
      <c r="E130" t="s">
        <v>336</v>
      </c>
      <c r="F130">
        <v>129</v>
      </c>
    </row>
    <row r="131" spans="1:6" x14ac:dyDescent="0.3">
      <c r="A131" t="s">
        <v>1482</v>
      </c>
      <c r="B131" t="s">
        <v>188</v>
      </c>
      <c r="C131" s="35">
        <v>39659</v>
      </c>
      <c r="D131" t="s">
        <v>312</v>
      </c>
      <c r="E131" t="s">
        <v>332</v>
      </c>
      <c r="F131">
        <v>130</v>
      </c>
    </row>
    <row r="132" spans="1:6" x14ac:dyDescent="0.3">
      <c r="A132" t="s">
        <v>1483</v>
      </c>
      <c r="B132" t="s">
        <v>497</v>
      </c>
      <c r="C132" s="35">
        <v>39072</v>
      </c>
      <c r="D132" t="s">
        <v>312</v>
      </c>
      <c r="E132" t="s">
        <v>319</v>
      </c>
      <c r="F132">
        <v>131</v>
      </c>
    </row>
    <row r="133" spans="1:6" x14ac:dyDescent="0.3">
      <c r="A133" t="s">
        <v>1484</v>
      </c>
      <c r="B133" t="s">
        <v>498</v>
      </c>
      <c r="C133" s="35">
        <v>41009</v>
      </c>
      <c r="D133" t="s">
        <v>312</v>
      </c>
      <c r="E133" t="s">
        <v>330</v>
      </c>
      <c r="F133">
        <v>132</v>
      </c>
    </row>
    <row r="134" spans="1:6" x14ac:dyDescent="0.3">
      <c r="A134" t="s">
        <v>1485</v>
      </c>
      <c r="B134" t="s">
        <v>499</v>
      </c>
      <c r="C134" s="35">
        <v>40544</v>
      </c>
      <c r="D134" t="s">
        <v>312</v>
      </c>
      <c r="E134" t="s">
        <v>336</v>
      </c>
      <c r="F134">
        <v>133</v>
      </c>
    </row>
    <row r="135" spans="1:6" x14ac:dyDescent="0.3">
      <c r="A135" t="s">
        <v>1486</v>
      </c>
      <c r="B135" t="s">
        <v>500</v>
      </c>
      <c r="C135" s="35">
        <v>37748</v>
      </c>
      <c r="D135" t="s">
        <v>316</v>
      </c>
      <c r="E135" t="s">
        <v>336</v>
      </c>
      <c r="F135">
        <v>134</v>
      </c>
    </row>
    <row r="136" spans="1:6" x14ac:dyDescent="0.3">
      <c r="A136" t="s">
        <v>1487</v>
      </c>
      <c r="B136" t="s">
        <v>168</v>
      </c>
      <c r="C136" s="35">
        <v>39827</v>
      </c>
      <c r="D136" t="s">
        <v>312</v>
      </c>
      <c r="E136" t="s">
        <v>336</v>
      </c>
      <c r="F136">
        <v>135</v>
      </c>
    </row>
    <row r="137" spans="1:6" x14ac:dyDescent="0.3">
      <c r="A137" t="s">
        <v>1488</v>
      </c>
      <c r="B137" t="s">
        <v>503</v>
      </c>
      <c r="C137" s="35">
        <v>39583</v>
      </c>
      <c r="D137" t="s">
        <v>316</v>
      </c>
      <c r="E137" t="s">
        <v>355</v>
      </c>
      <c r="F137">
        <v>136</v>
      </c>
    </row>
    <row r="138" spans="1:6" x14ac:dyDescent="0.3">
      <c r="A138" t="s">
        <v>1489</v>
      </c>
      <c r="B138" t="s">
        <v>97</v>
      </c>
      <c r="C138" s="35">
        <v>40590</v>
      </c>
      <c r="D138" t="s">
        <v>312</v>
      </c>
      <c r="E138" t="s">
        <v>336</v>
      </c>
      <c r="F138">
        <v>137</v>
      </c>
    </row>
    <row r="139" spans="1:6" x14ac:dyDescent="0.3">
      <c r="A139" t="s">
        <v>1490</v>
      </c>
      <c r="B139" t="s">
        <v>112</v>
      </c>
      <c r="C139" s="35">
        <v>39631</v>
      </c>
      <c r="D139" t="s">
        <v>312</v>
      </c>
      <c r="E139" t="s">
        <v>336</v>
      </c>
      <c r="F139">
        <v>138</v>
      </c>
    </row>
    <row r="140" spans="1:6" x14ac:dyDescent="0.3">
      <c r="A140" t="s">
        <v>1491</v>
      </c>
      <c r="B140" t="s">
        <v>506</v>
      </c>
      <c r="C140" s="35">
        <v>37661</v>
      </c>
      <c r="D140" t="s">
        <v>312</v>
      </c>
      <c r="E140" t="s">
        <v>336</v>
      </c>
      <c r="F140">
        <v>139</v>
      </c>
    </row>
    <row r="141" spans="1:6" x14ac:dyDescent="0.3">
      <c r="A141" t="s">
        <v>1492</v>
      </c>
      <c r="B141" t="s">
        <v>226</v>
      </c>
      <c r="C141" s="35">
        <v>40112</v>
      </c>
      <c r="D141" t="s">
        <v>316</v>
      </c>
      <c r="E141" t="s">
        <v>313</v>
      </c>
      <c r="F141">
        <v>140</v>
      </c>
    </row>
    <row r="142" spans="1:6" x14ac:dyDescent="0.3">
      <c r="A142" t="s">
        <v>1493</v>
      </c>
      <c r="B142" t="s">
        <v>508</v>
      </c>
      <c r="C142" s="35">
        <v>40392</v>
      </c>
      <c r="D142" t="s">
        <v>312</v>
      </c>
      <c r="E142" t="s">
        <v>355</v>
      </c>
      <c r="F142">
        <v>141</v>
      </c>
    </row>
    <row r="143" spans="1:6" x14ac:dyDescent="0.3">
      <c r="A143" t="s">
        <v>1494</v>
      </c>
      <c r="B143" t="s">
        <v>509</v>
      </c>
      <c r="C143" s="35">
        <v>39640</v>
      </c>
      <c r="D143" t="s">
        <v>316</v>
      </c>
      <c r="E143" t="s">
        <v>338</v>
      </c>
      <c r="F143">
        <v>142</v>
      </c>
    </row>
    <row r="144" spans="1:6" x14ac:dyDescent="0.3">
      <c r="A144" t="s">
        <v>1495</v>
      </c>
      <c r="B144" t="s">
        <v>166</v>
      </c>
      <c r="C144" s="35">
        <v>41214</v>
      </c>
      <c r="D144" t="s">
        <v>316</v>
      </c>
      <c r="E144" t="s">
        <v>313</v>
      </c>
      <c r="F144">
        <v>143</v>
      </c>
    </row>
    <row r="145" spans="1:6" x14ac:dyDescent="0.3">
      <c r="A145" t="s">
        <v>1496</v>
      </c>
      <c r="B145" t="s">
        <v>44</v>
      </c>
      <c r="C145" s="35">
        <v>41183</v>
      </c>
      <c r="D145" t="s">
        <v>316</v>
      </c>
      <c r="E145" t="s">
        <v>332</v>
      </c>
      <c r="F145">
        <v>144</v>
      </c>
    </row>
    <row r="146" spans="1:6" x14ac:dyDescent="0.3">
      <c r="A146" t="s">
        <v>1497</v>
      </c>
      <c r="B146" t="s">
        <v>512</v>
      </c>
      <c r="C146" s="35">
        <v>40747</v>
      </c>
      <c r="D146" t="s">
        <v>312</v>
      </c>
      <c r="E146" t="s">
        <v>338</v>
      </c>
      <c r="F146">
        <v>145</v>
      </c>
    </row>
    <row r="147" spans="1:6" x14ac:dyDescent="0.3">
      <c r="A147" t="s">
        <v>1498</v>
      </c>
      <c r="B147" t="s">
        <v>514</v>
      </c>
      <c r="C147" s="35">
        <v>40483</v>
      </c>
      <c r="D147" t="s">
        <v>316</v>
      </c>
      <c r="E147" t="s">
        <v>322</v>
      </c>
      <c r="F147">
        <v>146</v>
      </c>
    </row>
    <row r="148" spans="1:6" x14ac:dyDescent="0.3">
      <c r="A148" t="s">
        <v>1499</v>
      </c>
      <c r="B148" t="s">
        <v>516</v>
      </c>
      <c r="C148" s="35">
        <v>41330</v>
      </c>
      <c r="D148" t="s">
        <v>316</v>
      </c>
      <c r="E148" t="s">
        <v>330</v>
      </c>
      <c r="F148">
        <v>147</v>
      </c>
    </row>
    <row r="149" spans="1:6" x14ac:dyDescent="0.3">
      <c r="A149" t="s">
        <v>1500</v>
      </c>
      <c r="B149" t="s">
        <v>197</v>
      </c>
      <c r="C149" s="35">
        <v>41530</v>
      </c>
      <c r="D149" t="s">
        <v>312</v>
      </c>
      <c r="E149" t="s">
        <v>336</v>
      </c>
      <c r="F149">
        <v>148</v>
      </c>
    </row>
    <row r="150" spans="1:6" x14ac:dyDescent="0.3">
      <c r="A150" t="s">
        <v>1501</v>
      </c>
      <c r="B150" t="s">
        <v>519</v>
      </c>
      <c r="C150" s="35">
        <v>40397</v>
      </c>
      <c r="D150" t="s">
        <v>316</v>
      </c>
      <c r="E150" t="s">
        <v>367</v>
      </c>
      <c r="F150">
        <v>149</v>
      </c>
    </row>
    <row r="151" spans="1:6" x14ac:dyDescent="0.3">
      <c r="A151" t="s">
        <v>1502</v>
      </c>
      <c r="B151" t="s">
        <v>251</v>
      </c>
      <c r="C151" s="35">
        <v>40941</v>
      </c>
      <c r="D151" t="s">
        <v>312</v>
      </c>
      <c r="E151" t="s">
        <v>322</v>
      </c>
      <c r="F151">
        <v>150</v>
      </c>
    </row>
    <row r="152" spans="1:6" x14ac:dyDescent="0.3">
      <c r="A152" t="s">
        <v>1503</v>
      </c>
      <c r="B152" t="s">
        <v>201</v>
      </c>
      <c r="C152" s="35">
        <v>42055</v>
      </c>
      <c r="D152" t="s">
        <v>316</v>
      </c>
      <c r="E152" t="s">
        <v>332</v>
      </c>
      <c r="F152">
        <v>151</v>
      </c>
    </row>
    <row r="153" spans="1:6" x14ac:dyDescent="0.3">
      <c r="A153" t="s">
        <v>1504</v>
      </c>
      <c r="B153" t="s">
        <v>523</v>
      </c>
      <c r="C153" s="35">
        <v>39352</v>
      </c>
      <c r="D153" t="s">
        <v>316</v>
      </c>
      <c r="E153" t="s">
        <v>330</v>
      </c>
      <c r="F153">
        <v>152</v>
      </c>
    </row>
    <row r="154" spans="1:6" x14ac:dyDescent="0.3">
      <c r="A154" t="s">
        <v>1505</v>
      </c>
      <c r="B154" t="s">
        <v>525</v>
      </c>
      <c r="C154" s="35">
        <v>40138</v>
      </c>
      <c r="D154" t="s">
        <v>312</v>
      </c>
      <c r="E154" t="s">
        <v>355</v>
      </c>
      <c r="F154">
        <v>153</v>
      </c>
    </row>
    <row r="155" spans="1:6" x14ac:dyDescent="0.3">
      <c r="A155" t="s">
        <v>1506</v>
      </c>
      <c r="B155" t="s">
        <v>526</v>
      </c>
      <c r="C155" s="35">
        <v>40244</v>
      </c>
      <c r="D155" t="s">
        <v>312</v>
      </c>
      <c r="E155" t="s">
        <v>330</v>
      </c>
      <c r="F155">
        <v>154</v>
      </c>
    </row>
    <row r="156" spans="1:6" x14ac:dyDescent="0.3">
      <c r="A156" t="s">
        <v>1507</v>
      </c>
      <c r="B156" t="s">
        <v>221</v>
      </c>
      <c r="C156" s="35">
        <v>40023</v>
      </c>
      <c r="D156" t="s">
        <v>312</v>
      </c>
      <c r="E156" t="s">
        <v>367</v>
      </c>
      <c r="F156">
        <v>155</v>
      </c>
    </row>
    <row r="157" spans="1:6" x14ac:dyDescent="0.3">
      <c r="A157" t="s">
        <v>1508</v>
      </c>
      <c r="B157" t="s">
        <v>528</v>
      </c>
      <c r="C157" s="35">
        <v>41766</v>
      </c>
      <c r="D157" t="s">
        <v>312</v>
      </c>
      <c r="E157" t="s">
        <v>332</v>
      </c>
      <c r="F157">
        <v>156</v>
      </c>
    </row>
    <row r="158" spans="1:6" x14ac:dyDescent="0.3">
      <c r="A158" t="s">
        <v>1509</v>
      </c>
      <c r="B158" t="s">
        <v>530</v>
      </c>
      <c r="C158" s="35">
        <v>40900</v>
      </c>
      <c r="D158" t="s">
        <v>312</v>
      </c>
      <c r="E158" t="s">
        <v>332</v>
      </c>
      <c r="F158">
        <v>157</v>
      </c>
    </row>
    <row r="159" spans="1:6" x14ac:dyDescent="0.3">
      <c r="A159" t="s">
        <v>1510</v>
      </c>
      <c r="B159" t="s">
        <v>532</v>
      </c>
      <c r="C159" s="35">
        <v>41817</v>
      </c>
      <c r="D159" t="s">
        <v>316</v>
      </c>
      <c r="E159" t="s">
        <v>336</v>
      </c>
      <c r="F159">
        <v>158</v>
      </c>
    </row>
    <row r="160" spans="1:6" x14ac:dyDescent="0.3">
      <c r="A160" t="s">
        <v>1511</v>
      </c>
      <c r="B160" t="s">
        <v>229</v>
      </c>
      <c r="C160" s="35">
        <v>40905</v>
      </c>
      <c r="D160" t="s">
        <v>312</v>
      </c>
      <c r="E160" t="s">
        <v>336</v>
      </c>
      <c r="F160">
        <v>159</v>
      </c>
    </row>
    <row r="161" spans="1:6" x14ac:dyDescent="0.3">
      <c r="A161" t="s">
        <v>1512</v>
      </c>
      <c r="B161" t="s">
        <v>219</v>
      </c>
      <c r="C161" s="35">
        <v>41392</v>
      </c>
      <c r="D161" t="s">
        <v>312</v>
      </c>
      <c r="E161" t="s">
        <v>319</v>
      </c>
      <c r="F161">
        <v>160</v>
      </c>
    </row>
    <row r="162" spans="1:6" x14ac:dyDescent="0.3">
      <c r="A162" t="s">
        <v>1513</v>
      </c>
      <c r="B162" t="s">
        <v>535</v>
      </c>
      <c r="C162" s="35">
        <v>41511</v>
      </c>
      <c r="D162" t="s">
        <v>312</v>
      </c>
      <c r="E162" t="s">
        <v>330</v>
      </c>
      <c r="F162">
        <v>161</v>
      </c>
    </row>
    <row r="163" spans="1:6" x14ac:dyDescent="0.3">
      <c r="A163" t="s">
        <v>1514</v>
      </c>
      <c r="B163" t="s">
        <v>129</v>
      </c>
      <c r="C163" s="35">
        <v>40040</v>
      </c>
      <c r="D163" t="s">
        <v>312</v>
      </c>
      <c r="E163" t="s">
        <v>336</v>
      </c>
      <c r="F163">
        <v>162</v>
      </c>
    </row>
    <row r="164" spans="1:6" x14ac:dyDescent="0.3">
      <c r="A164" t="s">
        <v>1515</v>
      </c>
      <c r="B164" t="s">
        <v>89</v>
      </c>
      <c r="C164" s="35">
        <v>39464</v>
      </c>
      <c r="D164" t="s">
        <v>316</v>
      </c>
      <c r="E164" t="s">
        <v>313</v>
      </c>
      <c r="F164">
        <v>163</v>
      </c>
    </row>
    <row r="165" spans="1:6" x14ac:dyDescent="0.3">
      <c r="A165" t="s">
        <v>1516</v>
      </c>
      <c r="B165" t="s">
        <v>243</v>
      </c>
      <c r="C165" s="35">
        <v>40758</v>
      </c>
      <c r="D165" t="s">
        <v>312</v>
      </c>
      <c r="E165" t="s">
        <v>355</v>
      </c>
      <c r="F165">
        <v>164</v>
      </c>
    </row>
    <row r="166" spans="1:6" x14ac:dyDescent="0.3">
      <c r="A166" t="s">
        <v>1517</v>
      </c>
      <c r="B166" t="s">
        <v>206</v>
      </c>
      <c r="C166" s="35">
        <v>41717</v>
      </c>
      <c r="D166" t="s">
        <v>312</v>
      </c>
      <c r="E166" t="s">
        <v>319</v>
      </c>
      <c r="F166">
        <v>165</v>
      </c>
    </row>
    <row r="167" spans="1:6" x14ac:dyDescent="0.3">
      <c r="A167" t="s">
        <v>1518</v>
      </c>
      <c r="B167" t="s">
        <v>539</v>
      </c>
      <c r="C167" s="35">
        <v>40813</v>
      </c>
      <c r="D167" t="s">
        <v>312</v>
      </c>
      <c r="E167" t="s">
        <v>332</v>
      </c>
      <c r="F167">
        <v>166</v>
      </c>
    </row>
    <row r="168" spans="1:6" x14ac:dyDescent="0.3">
      <c r="A168" t="s">
        <v>1519</v>
      </c>
      <c r="B168" t="s">
        <v>104</v>
      </c>
      <c r="C168" s="35">
        <v>42746</v>
      </c>
      <c r="D168" t="s">
        <v>312</v>
      </c>
      <c r="E168" t="s">
        <v>336</v>
      </c>
      <c r="F168">
        <v>167</v>
      </c>
    </row>
    <row r="169" spans="1:6" x14ac:dyDescent="0.3">
      <c r="A169" t="s">
        <v>1520</v>
      </c>
      <c r="B169" t="s">
        <v>541</v>
      </c>
      <c r="C169" s="35">
        <v>41948</v>
      </c>
      <c r="D169" t="s">
        <v>312</v>
      </c>
      <c r="E169" t="s">
        <v>336</v>
      </c>
      <c r="F169">
        <v>168</v>
      </c>
    </row>
    <row r="170" spans="1:6" x14ac:dyDescent="0.3">
      <c r="A170" t="s">
        <v>1521</v>
      </c>
      <c r="B170" t="s">
        <v>542</v>
      </c>
      <c r="C170" s="35">
        <v>41161</v>
      </c>
      <c r="D170" t="s">
        <v>316</v>
      </c>
      <c r="E170" t="s">
        <v>336</v>
      </c>
      <c r="F170">
        <v>169</v>
      </c>
    </row>
    <row r="171" spans="1:6" x14ac:dyDescent="0.3">
      <c r="A171" t="s">
        <v>1522</v>
      </c>
      <c r="B171" t="s">
        <v>544</v>
      </c>
      <c r="C171" s="35">
        <v>41562</v>
      </c>
      <c r="D171" t="s">
        <v>312</v>
      </c>
      <c r="E171" t="s">
        <v>355</v>
      </c>
      <c r="F171">
        <v>170</v>
      </c>
    </row>
    <row r="172" spans="1:6" x14ac:dyDescent="0.3">
      <c r="A172" t="s">
        <v>1523</v>
      </c>
      <c r="B172" t="s">
        <v>546</v>
      </c>
      <c r="C172" s="35">
        <v>40091</v>
      </c>
      <c r="D172" t="s">
        <v>316</v>
      </c>
      <c r="E172" t="s">
        <v>355</v>
      </c>
      <c r="F172">
        <v>171</v>
      </c>
    </row>
    <row r="173" spans="1:6" x14ac:dyDescent="0.3">
      <c r="A173" t="s">
        <v>1524</v>
      </c>
      <c r="B173" t="s">
        <v>547</v>
      </c>
      <c r="C173" s="35">
        <v>41572</v>
      </c>
      <c r="D173" t="s">
        <v>316</v>
      </c>
      <c r="E173" t="s">
        <v>355</v>
      </c>
      <c r="F173">
        <v>172</v>
      </c>
    </row>
    <row r="174" spans="1:6" x14ac:dyDescent="0.3">
      <c r="A174" t="s">
        <v>1525</v>
      </c>
      <c r="B174" t="s">
        <v>549</v>
      </c>
      <c r="C174" s="35">
        <v>41134</v>
      </c>
      <c r="D174" t="s">
        <v>316</v>
      </c>
      <c r="E174" t="s">
        <v>322</v>
      </c>
      <c r="F174">
        <v>173</v>
      </c>
    </row>
    <row r="175" spans="1:6" x14ac:dyDescent="0.3">
      <c r="A175" t="s">
        <v>1526</v>
      </c>
      <c r="B175" t="s">
        <v>550</v>
      </c>
      <c r="C175" s="35">
        <v>41435</v>
      </c>
      <c r="D175" t="s">
        <v>316</v>
      </c>
      <c r="E175" t="s">
        <v>355</v>
      </c>
      <c r="F175">
        <v>174</v>
      </c>
    </row>
    <row r="176" spans="1:6" x14ac:dyDescent="0.3">
      <c r="A176" t="s">
        <v>1527</v>
      </c>
      <c r="B176" t="s">
        <v>59</v>
      </c>
      <c r="C176" s="35">
        <v>41598</v>
      </c>
      <c r="D176" t="s">
        <v>316</v>
      </c>
      <c r="E176" t="s">
        <v>332</v>
      </c>
      <c r="F176">
        <v>175</v>
      </c>
    </row>
    <row r="177" spans="1:6" x14ac:dyDescent="0.3">
      <c r="A177" t="s">
        <v>1528</v>
      </c>
      <c r="B177" t="s">
        <v>551</v>
      </c>
      <c r="C177" s="35">
        <v>40409</v>
      </c>
      <c r="D177" t="s">
        <v>312</v>
      </c>
      <c r="E177" t="s">
        <v>317</v>
      </c>
      <c r="F177">
        <v>176</v>
      </c>
    </row>
    <row r="178" spans="1:6" x14ac:dyDescent="0.3">
      <c r="A178" t="s">
        <v>1529</v>
      </c>
      <c r="B178" t="s">
        <v>177</v>
      </c>
      <c r="C178" s="35">
        <v>41288</v>
      </c>
      <c r="D178" t="s">
        <v>312</v>
      </c>
      <c r="E178" t="s">
        <v>322</v>
      </c>
      <c r="F178">
        <v>177</v>
      </c>
    </row>
    <row r="179" spans="1:6" x14ac:dyDescent="0.3">
      <c r="A179" t="s">
        <v>1530</v>
      </c>
      <c r="B179" t="s">
        <v>553</v>
      </c>
      <c r="C179" s="35">
        <v>30829</v>
      </c>
      <c r="D179" t="s">
        <v>312</v>
      </c>
      <c r="E179" t="s">
        <v>322</v>
      </c>
      <c r="F179">
        <v>178</v>
      </c>
    </row>
    <row r="180" spans="1:6" x14ac:dyDescent="0.3">
      <c r="A180" t="s">
        <v>1531</v>
      </c>
      <c r="B180" t="s">
        <v>131</v>
      </c>
      <c r="C180" s="35">
        <v>40968</v>
      </c>
      <c r="D180" t="s">
        <v>312</v>
      </c>
      <c r="E180" t="s">
        <v>322</v>
      </c>
      <c r="F180">
        <v>179</v>
      </c>
    </row>
    <row r="181" spans="1:6" x14ac:dyDescent="0.3">
      <c r="A181" t="s">
        <v>1532</v>
      </c>
      <c r="B181" t="s">
        <v>124</v>
      </c>
      <c r="C181" s="35">
        <v>41695</v>
      </c>
      <c r="D181" t="s">
        <v>316</v>
      </c>
      <c r="E181" t="s">
        <v>322</v>
      </c>
      <c r="F181">
        <v>180</v>
      </c>
    </row>
    <row r="182" spans="1:6" x14ac:dyDescent="0.3">
      <c r="A182" t="s">
        <v>1533</v>
      </c>
      <c r="B182" t="s">
        <v>195</v>
      </c>
      <c r="C182" s="35">
        <v>42006</v>
      </c>
      <c r="D182" t="s">
        <v>316</v>
      </c>
      <c r="E182" t="s">
        <v>336</v>
      </c>
      <c r="F182">
        <v>181</v>
      </c>
    </row>
    <row r="183" spans="1:6" x14ac:dyDescent="0.3">
      <c r="A183" t="s">
        <v>1534</v>
      </c>
      <c r="B183" t="s">
        <v>558</v>
      </c>
      <c r="C183" s="35">
        <v>41593</v>
      </c>
      <c r="D183" t="s">
        <v>312</v>
      </c>
      <c r="E183" t="s">
        <v>322</v>
      </c>
      <c r="F183">
        <v>182</v>
      </c>
    </row>
    <row r="184" spans="1:6" x14ac:dyDescent="0.3">
      <c r="A184" t="s">
        <v>1535</v>
      </c>
      <c r="B184" t="s">
        <v>254</v>
      </c>
      <c r="C184" s="35">
        <v>40467</v>
      </c>
      <c r="D184" t="s">
        <v>312</v>
      </c>
      <c r="E184" t="s">
        <v>330</v>
      </c>
      <c r="F184">
        <v>183</v>
      </c>
    </row>
    <row r="185" spans="1:6" x14ac:dyDescent="0.3">
      <c r="A185" t="s">
        <v>1536</v>
      </c>
      <c r="B185" t="s">
        <v>560</v>
      </c>
      <c r="C185" s="35">
        <v>40406</v>
      </c>
      <c r="D185" t="s">
        <v>312</v>
      </c>
      <c r="E185" t="s">
        <v>313</v>
      </c>
      <c r="F185">
        <v>184</v>
      </c>
    </row>
    <row r="186" spans="1:6" x14ac:dyDescent="0.3">
      <c r="A186" t="s">
        <v>1537</v>
      </c>
      <c r="B186" t="s">
        <v>145</v>
      </c>
      <c r="C186" s="35">
        <v>42081</v>
      </c>
      <c r="D186" t="s">
        <v>312</v>
      </c>
      <c r="E186" t="s">
        <v>319</v>
      </c>
      <c r="F186">
        <v>185</v>
      </c>
    </row>
    <row r="187" spans="1:6" x14ac:dyDescent="0.3">
      <c r="A187" t="s">
        <v>1538</v>
      </c>
      <c r="B187" t="s">
        <v>563</v>
      </c>
      <c r="C187" s="35">
        <v>32775</v>
      </c>
      <c r="D187" t="s">
        <v>312</v>
      </c>
      <c r="E187" t="s">
        <v>330</v>
      </c>
      <c r="F187">
        <v>186</v>
      </c>
    </row>
    <row r="188" spans="1:6" x14ac:dyDescent="0.3">
      <c r="A188" t="s">
        <v>1539</v>
      </c>
      <c r="B188" t="s">
        <v>564</v>
      </c>
      <c r="C188" s="35">
        <v>40222</v>
      </c>
      <c r="D188" t="s">
        <v>312</v>
      </c>
      <c r="E188" t="s">
        <v>322</v>
      </c>
      <c r="F188">
        <v>187</v>
      </c>
    </row>
    <row r="189" spans="1:6" x14ac:dyDescent="0.3">
      <c r="A189" t="s">
        <v>1540</v>
      </c>
      <c r="B189" t="s">
        <v>565</v>
      </c>
      <c r="C189" s="35">
        <v>38381</v>
      </c>
      <c r="D189" t="s">
        <v>316</v>
      </c>
      <c r="E189" t="s">
        <v>336</v>
      </c>
      <c r="F189">
        <v>188</v>
      </c>
    </row>
    <row r="190" spans="1:6" x14ac:dyDescent="0.3">
      <c r="A190" t="s">
        <v>1541</v>
      </c>
      <c r="B190" t="s">
        <v>172</v>
      </c>
      <c r="C190" s="35">
        <v>39755</v>
      </c>
      <c r="D190" t="s">
        <v>312</v>
      </c>
      <c r="E190" t="s">
        <v>355</v>
      </c>
      <c r="F190">
        <v>189</v>
      </c>
    </row>
    <row r="191" spans="1:6" x14ac:dyDescent="0.3">
      <c r="A191" t="s">
        <v>1542</v>
      </c>
      <c r="B191" t="s">
        <v>568</v>
      </c>
      <c r="C191" s="35">
        <v>41914</v>
      </c>
      <c r="D191" t="s">
        <v>312</v>
      </c>
      <c r="E191" t="s">
        <v>336</v>
      </c>
      <c r="F191">
        <v>190</v>
      </c>
    </row>
    <row r="192" spans="1:6" x14ac:dyDescent="0.3">
      <c r="A192" t="s">
        <v>1543</v>
      </c>
      <c r="B192" t="s">
        <v>179</v>
      </c>
      <c r="C192" s="35">
        <v>37603</v>
      </c>
      <c r="D192" t="s">
        <v>316</v>
      </c>
      <c r="E192" t="s">
        <v>322</v>
      </c>
      <c r="F192">
        <v>191</v>
      </c>
    </row>
    <row r="193" spans="1:6" x14ac:dyDescent="0.3">
      <c r="A193" t="s">
        <v>1544</v>
      </c>
      <c r="B193" t="s">
        <v>570</v>
      </c>
      <c r="C193" s="35">
        <v>42274</v>
      </c>
      <c r="D193" t="s">
        <v>316</v>
      </c>
      <c r="E193" t="s">
        <v>336</v>
      </c>
      <c r="F193">
        <v>192</v>
      </c>
    </row>
    <row r="194" spans="1:6" x14ac:dyDescent="0.3">
      <c r="A194" t="s">
        <v>1545</v>
      </c>
      <c r="B194" t="s">
        <v>572</v>
      </c>
      <c r="C194" s="35">
        <v>41397</v>
      </c>
      <c r="D194" t="s">
        <v>316</v>
      </c>
      <c r="E194" t="s">
        <v>313</v>
      </c>
      <c r="F194">
        <v>193</v>
      </c>
    </row>
    <row r="195" spans="1:6" x14ac:dyDescent="0.3">
      <c r="A195" t="s">
        <v>1546</v>
      </c>
      <c r="B195" t="s">
        <v>574</v>
      </c>
      <c r="C195" s="35">
        <v>41755</v>
      </c>
      <c r="D195" t="s">
        <v>312</v>
      </c>
      <c r="E195" t="s">
        <v>355</v>
      </c>
      <c r="F195">
        <v>194</v>
      </c>
    </row>
    <row r="196" spans="1:6" x14ac:dyDescent="0.3">
      <c r="A196" t="s">
        <v>1547</v>
      </c>
      <c r="B196" t="s">
        <v>576</v>
      </c>
      <c r="C196" s="35">
        <v>27470</v>
      </c>
      <c r="D196" t="s">
        <v>312</v>
      </c>
      <c r="E196" t="s">
        <v>319</v>
      </c>
      <c r="F196">
        <v>195</v>
      </c>
    </row>
    <row r="197" spans="1:6" x14ac:dyDescent="0.3">
      <c r="A197" t="s">
        <v>1548</v>
      </c>
      <c r="B197" t="s">
        <v>578</v>
      </c>
      <c r="C197" s="35">
        <v>42661</v>
      </c>
      <c r="D197" t="s">
        <v>312</v>
      </c>
      <c r="E197" t="s">
        <v>313</v>
      </c>
      <c r="F197">
        <v>196</v>
      </c>
    </row>
    <row r="198" spans="1:6" x14ac:dyDescent="0.3">
      <c r="A198" t="s">
        <v>1549</v>
      </c>
      <c r="B198" t="s">
        <v>580</v>
      </c>
      <c r="C198" s="35">
        <v>41142</v>
      </c>
      <c r="D198" t="s">
        <v>312</v>
      </c>
      <c r="E198" t="s">
        <v>332</v>
      </c>
      <c r="F198">
        <v>197</v>
      </c>
    </row>
    <row r="199" spans="1:6" x14ac:dyDescent="0.3">
      <c r="A199" t="s">
        <v>1550</v>
      </c>
      <c r="B199" t="s">
        <v>581</v>
      </c>
      <c r="C199" s="35">
        <v>39274</v>
      </c>
      <c r="D199" t="s">
        <v>312</v>
      </c>
      <c r="E199" t="s">
        <v>332</v>
      </c>
      <c r="F199">
        <v>198</v>
      </c>
    </row>
    <row r="200" spans="1:6" x14ac:dyDescent="0.3">
      <c r="A200" t="s">
        <v>1551</v>
      </c>
      <c r="B200" t="s">
        <v>143</v>
      </c>
      <c r="C200" s="35">
        <v>41111</v>
      </c>
      <c r="D200" t="s">
        <v>316</v>
      </c>
      <c r="E200" t="s">
        <v>330</v>
      </c>
      <c r="F200">
        <v>199</v>
      </c>
    </row>
    <row r="201" spans="1:6" x14ac:dyDescent="0.3">
      <c r="A201" t="s">
        <v>1552</v>
      </c>
      <c r="B201" t="s">
        <v>120</v>
      </c>
      <c r="C201" s="35">
        <v>41459</v>
      </c>
      <c r="D201" t="s">
        <v>312</v>
      </c>
      <c r="E201" t="s">
        <v>319</v>
      </c>
      <c r="F201">
        <v>200</v>
      </c>
    </row>
    <row r="202" spans="1:6" x14ac:dyDescent="0.3">
      <c r="A202" t="s">
        <v>1553</v>
      </c>
      <c r="B202" t="s">
        <v>585</v>
      </c>
      <c r="C202" s="35">
        <v>38969</v>
      </c>
      <c r="D202" t="s">
        <v>312</v>
      </c>
      <c r="E202" t="s">
        <v>319</v>
      </c>
      <c r="F202">
        <v>201</v>
      </c>
    </row>
    <row r="203" spans="1:6" x14ac:dyDescent="0.3">
      <c r="A203" t="s">
        <v>1554</v>
      </c>
      <c r="B203" t="s">
        <v>586</v>
      </c>
      <c r="C203" s="35">
        <v>40603</v>
      </c>
      <c r="D203" t="s">
        <v>316</v>
      </c>
      <c r="E203" t="s">
        <v>319</v>
      </c>
      <c r="F203">
        <v>202</v>
      </c>
    </row>
    <row r="204" spans="1:6" x14ac:dyDescent="0.3">
      <c r="A204" t="s">
        <v>1555</v>
      </c>
      <c r="B204" t="s">
        <v>587</v>
      </c>
      <c r="C204" s="35">
        <v>39697</v>
      </c>
      <c r="D204" t="s">
        <v>312</v>
      </c>
      <c r="E204" t="s">
        <v>332</v>
      </c>
      <c r="F204">
        <v>203</v>
      </c>
    </row>
    <row r="205" spans="1:6" x14ac:dyDescent="0.3">
      <c r="A205" t="s">
        <v>1556</v>
      </c>
      <c r="B205" t="s">
        <v>200</v>
      </c>
      <c r="C205" s="35">
        <v>40095</v>
      </c>
      <c r="D205" t="s">
        <v>316</v>
      </c>
      <c r="E205" t="s">
        <v>336</v>
      </c>
      <c r="F205">
        <v>204</v>
      </c>
    </row>
    <row r="206" spans="1:6" x14ac:dyDescent="0.3">
      <c r="A206" t="s">
        <v>1557</v>
      </c>
      <c r="B206" t="s">
        <v>589</v>
      </c>
      <c r="C206" s="35">
        <v>38383</v>
      </c>
      <c r="D206" t="s">
        <v>312</v>
      </c>
      <c r="E206" t="s">
        <v>322</v>
      </c>
      <c r="F206">
        <v>205</v>
      </c>
    </row>
    <row r="207" spans="1:6" x14ac:dyDescent="0.3">
      <c r="A207" t="s">
        <v>1558</v>
      </c>
      <c r="B207" t="s">
        <v>209</v>
      </c>
      <c r="C207" s="35">
        <v>41322</v>
      </c>
      <c r="D207" t="s">
        <v>312</v>
      </c>
      <c r="E207" t="s">
        <v>336</v>
      </c>
      <c r="F207">
        <v>206</v>
      </c>
    </row>
    <row r="208" spans="1:6" x14ac:dyDescent="0.3">
      <c r="A208" t="s">
        <v>1559</v>
      </c>
      <c r="B208" t="s">
        <v>591</v>
      </c>
      <c r="C208" s="35">
        <v>41989</v>
      </c>
      <c r="D208" t="s">
        <v>312</v>
      </c>
      <c r="E208" t="s">
        <v>319</v>
      </c>
      <c r="F208">
        <v>207</v>
      </c>
    </row>
    <row r="209" spans="1:6" x14ac:dyDescent="0.3">
      <c r="A209" t="s">
        <v>1560</v>
      </c>
      <c r="B209" t="s">
        <v>593</v>
      </c>
      <c r="C209" s="35">
        <v>40744</v>
      </c>
      <c r="D209" t="s">
        <v>312</v>
      </c>
      <c r="E209" t="s">
        <v>355</v>
      </c>
      <c r="F209">
        <v>208</v>
      </c>
    </row>
    <row r="210" spans="1:6" x14ac:dyDescent="0.3">
      <c r="A210" t="s">
        <v>1561</v>
      </c>
      <c r="B210" t="s">
        <v>594</v>
      </c>
      <c r="C210" s="35">
        <v>29598</v>
      </c>
      <c r="D210" t="s">
        <v>312</v>
      </c>
      <c r="E210" t="s">
        <v>355</v>
      </c>
      <c r="F210">
        <v>209</v>
      </c>
    </row>
    <row r="211" spans="1:6" x14ac:dyDescent="0.3">
      <c r="A211" t="s">
        <v>1562</v>
      </c>
      <c r="B211" t="s">
        <v>595</v>
      </c>
      <c r="C211" s="35">
        <v>40631</v>
      </c>
      <c r="D211" t="s">
        <v>316</v>
      </c>
      <c r="E211" t="s">
        <v>322</v>
      </c>
      <c r="F211">
        <v>210</v>
      </c>
    </row>
    <row r="212" spans="1:6" x14ac:dyDescent="0.3">
      <c r="A212" t="s">
        <v>1563</v>
      </c>
      <c r="B212" t="s">
        <v>217</v>
      </c>
      <c r="C212" s="35">
        <v>39819</v>
      </c>
      <c r="D212" t="s">
        <v>312</v>
      </c>
      <c r="E212" t="s">
        <v>322</v>
      </c>
      <c r="F212">
        <v>211</v>
      </c>
    </row>
    <row r="213" spans="1:6" x14ac:dyDescent="0.3">
      <c r="A213" t="s">
        <v>1564</v>
      </c>
      <c r="B213" t="s">
        <v>597</v>
      </c>
      <c r="C213" s="35">
        <v>38569</v>
      </c>
      <c r="D213" t="s">
        <v>312</v>
      </c>
      <c r="E213" t="s">
        <v>317</v>
      </c>
      <c r="F213">
        <v>212</v>
      </c>
    </row>
    <row r="214" spans="1:6" x14ac:dyDescent="0.3">
      <c r="A214" t="s">
        <v>1565</v>
      </c>
      <c r="B214" t="s">
        <v>599</v>
      </c>
      <c r="C214" s="35">
        <v>40489</v>
      </c>
      <c r="D214" t="s">
        <v>312</v>
      </c>
      <c r="E214" t="s">
        <v>313</v>
      </c>
      <c r="F214">
        <v>213</v>
      </c>
    </row>
    <row r="215" spans="1:6" x14ac:dyDescent="0.3">
      <c r="A215" t="s">
        <v>1566</v>
      </c>
      <c r="B215" t="s">
        <v>601</v>
      </c>
      <c r="C215" s="35">
        <v>36503</v>
      </c>
      <c r="D215" t="s">
        <v>312</v>
      </c>
      <c r="E215" t="s">
        <v>319</v>
      </c>
      <c r="F215">
        <v>214</v>
      </c>
    </row>
    <row r="216" spans="1:6" x14ac:dyDescent="0.3">
      <c r="A216" t="s">
        <v>1567</v>
      </c>
      <c r="B216" t="s">
        <v>603</v>
      </c>
      <c r="C216" s="35">
        <v>41881</v>
      </c>
      <c r="D216" t="s">
        <v>312</v>
      </c>
      <c r="E216" t="s">
        <v>330</v>
      </c>
      <c r="F216">
        <v>215</v>
      </c>
    </row>
    <row r="217" spans="1:6" x14ac:dyDescent="0.3">
      <c r="A217" t="s">
        <v>1568</v>
      </c>
      <c r="B217" t="s">
        <v>604</v>
      </c>
      <c r="C217" s="35">
        <v>40936</v>
      </c>
      <c r="D217" t="s">
        <v>316</v>
      </c>
      <c r="E217" t="s">
        <v>330</v>
      </c>
      <c r="F217">
        <v>216</v>
      </c>
    </row>
    <row r="218" spans="1:6" x14ac:dyDescent="0.3">
      <c r="A218" t="s">
        <v>1569</v>
      </c>
      <c r="B218" t="s">
        <v>605</v>
      </c>
      <c r="C218" s="35">
        <v>38617</v>
      </c>
      <c r="D218" t="s">
        <v>316</v>
      </c>
      <c r="E218" t="s">
        <v>322</v>
      </c>
      <c r="F218">
        <v>217</v>
      </c>
    </row>
    <row r="219" spans="1:6" x14ac:dyDescent="0.3">
      <c r="A219" t="s">
        <v>1570</v>
      </c>
      <c r="B219" t="s">
        <v>606</v>
      </c>
      <c r="C219" s="35">
        <v>36058</v>
      </c>
      <c r="D219" t="s">
        <v>312</v>
      </c>
      <c r="E219" t="s">
        <v>322</v>
      </c>
      <c r="F219">
        <v>218</v>
      </c>
    </row>
    <row r="220" spans="1:6" x14ac:dyDescent="0.3">
      <c r="A220" t="s">
        <v>1571</v>
      </c>
      <c r="B220" t="s">
        <v>99</v>
      </c>
      <c r="C220" s="35">
        <v>40002</v>
      </c>
      <c r="D220" t="s">
        <v>312</v>
      </c>
      <c r="E220" t="s">
        <v>332</v>
      </c>
      <c r="F220">
        <v>219</v>
      </c>
    </row>
    <row r="221" spans="1:6" x14ac:dyDescent="0.3">
      <c r="A221" t="s">
        <v>1572</v>
      </c>
      <c r="B221" t="s">
        <v>609</v>
      </c>
      <c r="C221" s="35">
        <v>40957</v>
      </c>
      <c r="D221" t="s">
        <v>312</v>
      </c>
      <c r="E221" t="s">
        <v>355</v>
      </c>
      <c r="F221">
        <v>220</v>
      </c>
    </row>
    <row r="222" spans="1:6" x14ac:dyDescent="0.3">
      <c r="A222" t="s">
        <v>1573</v>
      </c>
      <c r="B222" t="s">
        <v>134</v>
      </c>
      <c r="C222" s="35">
        <v>42637</v>
      </c>
      <c r="D222" t="s">
        <v>316</v>
      </c>
      <c r="E222" t="s">
        <v>336</v>
      </c>
      <c r="F222">
        <v>221</v>
      </c>
    </row>
    <row r="223" spans="1:6" x14ac:dyDescent="0.3">
      <c r="A223" t="s">
        <v>1574</v>
      </c>
      <c r="B223" t="s">
        <v>57</v>
      </c>
      <c r="C223" s="35">
        <v>40277</v>
      </c>
      <c r="D223" t="s">
        <v>316</v>
      </c>
      <c r="E223" t="s">
        <v>322</v>
      </c>
      <c r="F223">
        <v>222</v>
      </c>
    </row>
    <row r="224" spans="1:6" x14ac:dyDescent="0.3">
      <c r="A224" t="s">
        <v>1575</v>
      </c>
      <c r="B224" t="s">
        <v>94</v>
      </c>
      <c r="C224" s="35">
        <v>41671</v>
      </c>
      <c r="D224" t="s">
        <v>316</v>
      </c>
      <c r="E224" t="s">
        <v>322</v>
      </c>
      <c r="F224">
        <v>223</v>
      </c>
    </row>
    <row r="225" spans="1:6" x14ac:dyDescent="0.3">
      <c r="A225" t="s">
        <v>1576</v>
      </c>
      <c r="B225" t="s">
        <v>613</v>
      </c>
      <c r="C225" s="35">
        <v>39143</v>
      </c>
      <c r="D225" t="s">
        <v>316</v>
      </c>
      <c r="E225" t="s">
        <v>322</v>
      </c>
      <c r="F225">
        <v>224</v>
      </c>
    </row>
    <row r="226" spans="1:6" x14ac:dyDescent="0.3">
      <c r="A226" t="s">
        <v>1577</v>
      </c>
      <c r="B226" t="s">
        <v>233</v>
      </c>
      <c r="C226" s="35">
        <v>38950</v>
      </c>
      <c r="D226" t="s">
        <v>312</v>
      </c>
      <c r="E226" t="s">
        <v>330</v>
      </c>
      <c r="F226">
        <v>225</v>
      </c>
    </row>
    <row r="227" spans="1:6" x14ac:dyDescent="0.3">
      <c r="A227" t="s">
        <v>1578</v>
      </c>
      <c r="B227" t="s">
        <v>616</v>
      </c>
      <c r="C227" s="35">
        <v>39647</v>
      </c>
      <c r="D227" t="s">
        <v>312</v>
      </c>
      <c r="E227" t="s">
        <v>332</v>
      </c>
      <c r="F227">
        <v>226</v>
      </c>
    </row>
    <row r="228" spans="1:6" x14ac:dyDescent="0.3">
      <c r="A228" t="s">
        <v>1579</v>
      </c>
      <c r="B228" t="s">
        <v>184</v>
      </c>
      <c r="C228" s="35">
        <v>39465</v>
      </c>
      <c r="D228" t="s">
        <v>312</v>
      </c>
      <c r="E228" t="s">
        <v>332</v>
      </c>
      <c r="F228">
        <v>227</v>
      </c>
    </row>
    <row r="229" spans="1:6" x14ac:dyDescent="0.3">
      <c r="A229" t="s">
        <v>1580</v>
      </c>
      <c r="B229" t="s">
        <v>139</v>
      </c>
      <c r="C229" s="35">
        <v>42572</v>
      </c>
      <c r="D229" t="s">
        <v>316</v>
      </c>
      <c r="E229" t="s">
        <v>367</v>
      </c>
      <c r="F229">
        <v>228</v>
      </c>
    </row>
    <row r="230" spans="1:6" x14ac:dyDescent="0.3">
      <c r="A230" t="s">
        <v>1581</v>
      </c>
      <c r="B230" t="s">
        <v>618</v>
      </c>
      <c r="C230" s="35">
        <v>42696</v>
      </c>
      <c r="D230" t="s">
        <v>312</v>
      </c>
      <c r="E230" t="s">
        <v>322</v>
      </c>
      <c r="F230">
        <v>229</v>
      </c>
    </row>
    <row r="231" spans="1:6" x14ac:dyDescent="0.3">
      <c r="A231" t="s">
        <v>1582</v>
      </c>
      <c r="B231" t="s">
        <v>151</v>
      </c>
      <c r="C231" s="35">
        <v>42636</v>
      </c>
      <c r="D231" t="s">
        <v>312</v>
      </c>
      <c r="E231" t="s">
        <v>313</v>
      </c>
      <c r="F231">
        <v>230</v>
      </c>
    </row>
    <row r="232" spans="1:6" x14ac:dyDescent="0.3">
      <c r="A232" t="s">
        <v>1583</v>
      </c>
      <c r="B232" t="s">
        <v>620</v>
      </c>
      <c r="C232" s="35">
        <v>42291</v>
      </c>
      <c r="D232" t="s">
        <v>316</v>
      </c>
      <c r="E232" t="s">
        <v>317</v>
      </c>
      <c r="F232">
        <v>231</v>
      </c>
    </row>
    <row r="233" spans="1:6" x14ac:dyDescent="0.3">
      <c r="A233" t="s">
        <v>1584</v>
      </c>
      <c r="B233" t="s">
        <v>69</v>
      </c>
      <c r="C233" s="35">
        <v>41282</v>
      </c>
      <c r="D233" t="s">
        <v>316</v>
      </c>
      <c r="E233" t="s">
        <v>367</v>
      </c>
      <c r="F233">
        <v>232</v>
      </c>
    </row>
    <row r="234" spans="1:6" x14ac:dyDescent="0.3">
      <c r="A234" t="s">
        <v>1585</v>
      </c>
      <c r="B234" t="s">
        <v>623</v>
      </c>
      <c r="C234" s="35">
        <v>39402</v>
      </c>
      <c r="D234" t="s">
        <v>312</v>
      </c>
      <c r="E234" t="s">
        <v>322</v>
      </c>
      <c r="F234">
        <v>233</v>
      </c>
    </row>
    <row r="235" spans="1:6" x14ac:dyDescent="0.3">
      <c r="A235" t="s">
        <v>1586</v>
      </c>
      <c r="B235" t="s">
        <v>150</v>
      </c>
      <c r="C235" s="35">
        <v>38817</v>
      </c>
      <c r="D235" t="s">
        <v>312</v>
      </c>
      <c r="E235" t="s">
        <v>332</v>
      </c>
      <c r="F235">
        <v>234</v>
      </c>
    </row>
    <row r="236" spans="1:6" x14ac:dyDescent="0.3">
      <c r="A236" t="s">
        <v>1587</v>
      </c>
      <c r="B236" t="s">
        <v>196</v>
      </c>
      <c r="C236" s="35">
        <v>41823</v>
      </c>
      <c r="D236" t="s">
        <v>312</v>
      </c>
      <c r="E236" t="s">
        <v>317</v>
      </c>
      <c r="F236">
        <v>235</v>
      </c>
    </row>
    <row r="237" spans="1:6" x14ac:dyDescent="0.3">
      <c r="A237" t="s">
        <v>1588</v>
      </c>
      <c r="B237" t="s">
        <v>181</v>
      </c>
      <c r="C237" s="35">
        <v>42284</v>
      </c>
      <c r="D237" t="s">
        <v>312</v>
      </c>
      <c r="E237" t="s">
        <v>319</v>
      </c>
      <c r="F237">
        <v>236</v>
      </c>
    </row>
    <row r="238" spans="1:6" x14ac:dyDescent="0.3">
      <c r="A238" t="s">
        <v>1589</v>
      </c>
      <c r="B238" t="s">
        <v>170</v>
      </c>
      <c r="C238" s="35">
        <v>42193</v>
      </c>
      <c r="D238" t="s">
        <v>312</v>
      </c>
      <c r="E238" t="s">
        <v>322</v>
      </c>
      <c r="F238">
        <v>237</v>
      </c>
    </row>
    <row r="239" spans="1:6" x14ac:dyDescent="0.3">
      <c r="A239" t="s">
        <v>1590</v>
      </c>
      <c r="B239" t="s">
        <v>626</v>
      </c>
      <c r="C239" s="35">
        <v>41246</v>
      </c>
      <c r="D239" t="s">
        <v>312</v>
      </c>
      <c r="E239" t="s">
        <v>322</v>
      </c>
      <c r="F239">
        <v>238</v>
      </c>
    </row>
    <row r="240" spans="1:6" x14ac:dyDescent="0.3">
      <c r="A240" t="s">
        <v>1591</v>
      </c>
      <c r="B240" t="s">
        <v>215</v>
      </c>
      <c r="C240" s="35">
        <v>41662</v>
      </c>
      <c r="D240" t="s">
        <v>312</v>
      </c>
      <c r="E240" t="s">
        <v>628</v>
      </c>
      <c r="F240">
        <v>239</v>
      </c>
    </row>
    <row r="241" spans="1:6" x14ac:dyDescent="0.3">
      <c r="A241" t="s">
        <v>1592</v>
      </c>
      <c r="B241" t="s">
        <v>126</v>
      </c>
      <c r="C241" s="35">
        <v>41906</v>
      </c>
      <c r="D241" t="s">
        <v>312</v>
      </c>
      <c r="E241" t="s">
        <v>355</v>
      </c>
      <c r="F241">
        <v>240</v>
      </c>
    </row>
    <row r="242" spans="1:6" x14ac:dyDescent="0.3">
      <c r="A242" t="s">
        <v>1593</v>
      </c>
      <c r="B242" t="s">
        <v>227</v>
      </c>
      <c r="C242" s="35">
        <v>42057</v>
      </c>
      <c r="D242" t="s">
        <v>312</v>
      </c>
      <c r="E242" t="s">
        <v>322</v>
      </c>
      <c r="F242">
        <v>241</v>
      </c>
    </row>
    <row r="243" spans="1:6" x14ac:dyDescent="0.3">
      <c r="A243" t="s">
        <v>1594</v>
      </c>
      <c r="B243" t="s">
        <v>259</v>
      </c>
      <c r="C243" s="35">
        <v>40991</v>
      </c>
      <c r="D243" t="s">
        <v>312</v>
      </c>
      <c r="E243" t="s">
        <v>322</v>
      </c>
      <c r="F243">
        <v>242</v>
      </c>
    </row>
    <row r="244" spans="1:6" x14ac:dyDescent="0.3">
      <c r="A244" t="s">
        <v>1595</v>
      </c>
      <c r="B244" t="s">
        <v>148</v>
      </c>
      <c r="C244" s="35">
        <v>42041</v>
      </c>
      <c r="D244" t="s">
        <v>312</v>
      </c>
      <c r="E244" t="s">
        <v>319</v>
      </c>
      <c r="F244">
        <v>243</v>
      </c>
    </row>
    <row r="245" spans="1:6" x14ac:dyDescent="0.3">
      <c r="A245" t="s">
        <v>1596</v>
      </c>
      <c r="B245" t="s">
        <v>634</v>
      </c>
      <c r="C245" s="35">
        <v>41101</v>
      </c>
      <c r="D245" t="s">
        <v>312</v>
      </c>
      <c r="E245" t="s">
        <v>355</v>
      </c>
      <c r="F245">
        <v>244</v>
      </c>
    </row>
    <row r="246" spans="1:6" x14ac:dyDescent="0.3">
      <c r="A246" t="s">
        <v>1597</v>
      </c>
      <c r="B246" t="s">
        <v>635</v>
      </c>
      <c r="C246" s="35">
        <v>40030</v>
      </c>
      <c r="D246" t="s">
        <v>312</v>
      </c>
      <c r="E246" t="s">
        <v>319</v>
      </c>
      <c r="F246">
        <v>245</v>
      </c>
    </row>
    <row r="247" spans="1:6" x14ac:dyDescent="0.3">
      <c r="A247" t="s">
        <v>1598</v>
      </c>
      <c r="B247" t="s">
        <v>636</v>
      </c>
      <c r="C247" s="35">
        <v>39952</v>
      </c>
      <c r="D247" t="s">
        <v>312</v>
      </c>
      <c r="E247" t="s">
        <v>319</v>
      </c>
      <c r="F247">
        <v>246</v>
      </c>
    </row>
    <row r="248" spans="1:6" x14ac:dyDescent="0.3">
      <c r="A248" t="s">
        <v>1599</v>
      </c>
      <c r="B248" t="s">
        <v>637</v>
      </c>
      <c r="C248" s="35">
        <v>45475</v>
      </c>
      <c r="D248" t="s">
        <v>316</v>
      </c>
      <c r="E248" t="s">
        <v>355</v>
      </c>
      <c r="F248">
        <v>247</v>
      </c>
    </row>
    <row r="249" spans="1:6" x14ac:dyDescent="0.3">
      <c r="A249" t="s">
        <v>1600</v>
      </c>
      <c r="B249" t="s">
        <v>638</v>
      </c>
      <c r="C249" s="35">
        <v>42655</v>
      </c>
      <c r="D249" t="s">
        <v>312</v>
      </c>
      <c r="E249" t="s">
        <v>355</v>
      </c>
      <c r="F249">
        <v>248</v>
      </c>
    </row>
    <row r="250" spans="1:6" x14ac:dyDescent="0.3">
      <c r="A250" t="s">
        <v>1601</v>
      </c>
      <c r="B250" t="s">
        <v>639</v>
      </c>
      <c r="C250" s="35">
        <v>41055</v>
      </c>
      <c r="D250" t="s">
        <v>316</v>
      </c>
      <c r="E250" t="s">
        <v>319</v>
      </c>
      <c r="F250">
        <v>249</v>
      </c>
    </row>
    <row r="251" spans="1:6" x14ac:dyDescent="0.3">
      <c r="A251" t="s">
        <v>1602</v>
      </c>
      <c r="B251" t="s">
        <v>641</v>
      </c>
      <c r="C251" s="35">
        <v>29221</v>
      </c>
      <c r="D251" t="s">
        <v>312</v>
      </c>
      <c r="E251" t="s">
        <v>332</v>
      </c>
      <c r="F251">
        <v>250</v>
      </c>
    </row>
    <row r="252" spans="1:6" x14ac:dyDescent="0.3">
      <c r="A252" t="s">
        <v>1603</v>
      </c>
      <c r="B252" t="s">
        <v>183</v>
      </c>
      <c r="C252" s="35">
        <v>40903</v>
      </c>
      <c r="D252" t="s">
        <v>312</v>
      </c>
      <c r="E252" t="s">
        <v>332</v>
      </c>
      <c r="F252">
        <v>251</v>
      </c>
    </row>
    <row r="253" spans="1:6" x14ac:dyDescent="0.3">
      <c r="A253" t="s">
        <v>1604</v>
      </c>
      <c r="B253" t="s">
        <v>644</v>
      </c>
      <c r="C253" s="35">
        <v>40801</v>
      </c>
      <c r="D253" t="s">
        <v>312</v>
      </c>
      <c r="E253" t="s">
        <v>322</v>
      </c>
      <c r="F253">
        <v>252</v>
      </c>
    </row>
    <row r="254" spans="1:6" x14ac:dyDescent="0.3">
      <c r="A254" t="s">
        <v>1605</v>
      </c>
      <c r="B254" t="s">
        <v>646</v>
      </c>
      <c r="C254" s="35">
        <v>40570</v>
      </c>
      <c r="D254" t="s">
        <v>312</v>
      </c>
      <c r="E254" t="s">
        <v>336</v>
      </c>
      <c r="F254">
        <v>253</v>
      </c>
    </row>
    <row r="255" spans="1:6" x14ac:dyDescent="0.3">
      <c r="A255" t="s">
        <v>1606</v>
      </c>
      <c r="B255" t="s">
        <v>647</v>
      </c>
      <c r="C255" s="35">
        <v>40262</v>
      </c>
      <c r="D255" t="s">
        <v>312</v>
      </c>
      <c r="E255" t="s">
        <v>317</v>
      </c>
      <c r="F255">
        <v>254</v>
      </c>
    </row>
    <row r="256" spans="1:6" x14ac:dyDescent="0.3">
      <c r="A256" t="s">
        <v>1607</v>
      </c>
      <c r="B256" t="s">
        <v>46</v>
      </c>
      <c r="C256" s="35">
        <v>40775</v>
      </c>
      <c r="D256" t="s">
        <v>316</v>
      </c>
      <c r="E256" t="s">
        <v>367</v>
      </c>
      <c r="F256">
        <v>255</v>
      </c>
    </row>
    <row r="257" spans="1:6" x14ac:dyDescent="0.3">
      <c r="A257" t="s">
        <v>1608</v>
      </c>
      <c r="B257" t="s">
        <v>151</v>
      </c>
      <c r="C257" s="35">
        <v>41803</v>
      </c>
      <c r="D257" t="s">
        <v>316</v>
      </c>
      <c r="E257" t="s">
        <v>319</v>
      </c>
      <c r="F257">
        <v>256</v>
      </c>
    </row>
    <row r="258" spans="1:6" x14ac:dyDescent="0.3">
      <c r="A258" t="s">
        <v>1609</v>
      </c>
      <c r="B258" t="s">
        <v>144</v>
      </c>
      <c r="C258" s="35">
        <v>41803</v>
      </c>
      <c r="D258" t="s">
        <v>316</v>
      </c>
      <c r="E258" t="s">
        <v>319</v>
      </c>
      <c r="F258">
        <v>257</v>
      </c>
    </row>
    <row r="259" spans="1:6" x14ac:dyDescent="0.3">
      <c r="A259" t="s">
        <v>1610</v>
      </c>
      <c r="B259" t="s">
        <v>190</v>
      </c>
      <c r="C259" s="35">
        <v>39751</v>
      </c>
      <c r="D259" t="s">
        <v>316</v>
      </c>
      <c r="E259" t="s">
        <v>322</v>
      </c>
      <c r="F259">
        <v>258</v>
      </c>
    </row>
    <row r="260" spans="1:6" x14ac:dyDescent="0.3">
      <c r="A260" t="s">
        <v>1611</v>
      </c>
      <c r="B260" t="s">
        <v>651</v>
      </c>
      <c r="C260" s="35">
        <v>40762</v>
      </c>
      <c r="D260" t="s">
        <v>312</v>
      </c>
      <c r="E260" t="s">
        <v>330</v>
      </c>
      <c r="F260">
        <v>259</v>
      </c>
    </row>
    <row r="261" spans="1:6" x14ac:dyDescent="0.3">
      <c r="A261" t="s">
        <v>1612</v>
      </c>
      <c r="B261" t="s">
        <v>652</v>
      </c>
      <c r="C261" s="35">
        <v>40255</v>
      </c>
      <c r="D261" t="s">
        <v>316</v>
      </c>
      <c r="E261" t="s">
        <v>332</v>
      </c>
      <c r="F261">
        <v>260</v>
      </c>
    </row>
    <row r="262" spans="1:6" x14ac:dyDescent="0.3">
      <c r="A262" t="s">
        <v>1613</v>
      </c>
      <c r="B262" t="s">
        <v>202</v>
      </c>
      <c r="C262" s="35">
        <v>40521</v>
      </c>
      <c r="D262" t="s">
        <v>312</v>
      </c>
      <c r="E262" t="s">
        <v>322</v>
      </c>
      <c r="F262">
        <v>261</v>
      </c>
    </row>
    <row r="263" spans="1:6" x14ac:dyDescent="0.3">
      <c r="A263" t="s">
        <v>1614</v>
      </c>
      <c r="B263" t="s">
        <v>160</v>
      </c>
      <c r="C263" s="35">
        <v>43280</v>
      </c>
      <c r="D263" t="s">
        <v>312</v>
      </c>
      <c r="E263" t="s">
        <v>313</v>
      </c>
      <c r="F263">
        <v>262</v>
      </c>
    </row>
    <row r="264" spans="1:6" x14ac:dyDescent="0.3">
      <c r="A264" t="s">
        <v>1615</v>
      </c>
      <c r="B264" t="s">
        <v>225</v>
      </c>
      <c r="C264" s="35">
        <v>40240</v>
      </c>
      <c r="D264" t="s">
        <v>312</v>
      </c>
      <c r="E264" t="s">
        <v>336</v>
      </c>
      <c r="F264">
        <v>263</v>
      </c>
    </row>
    <row r="265" spans="1:6" x14ac:dyDescent="0.3">
      <c r="A265" t="s">
        <v>1616</v>
      </c>
      <c r="B265" t="s">
        <v>654</v>
      </c>
      <c r="C265" s="35">
        <v>38925</v>
      </c>
      <c r="D265" t="s">
        <v>316</v>
      </c>
      <c r="E265" t="s">
        <v>332</v>
      </c>
      <c r="F265">
        <v>264</v>
      </c>
    </row>
    <row r="266" spans="1:6" x14ac:dyDescent="0.3">
      <c r="A266" t="s">
        <v>1617</v>
      </c>
      <c r="B266" t="s">
        <v>656</v>
      </c>
      <c r="C266" s="35">
        <v>37292</v>
      </c>
      <c r="D266" t="s">
        <v>312</v>
      </c>
      <c r="E266" t="s">
        <v>338</v>
      </c>
      <c r="F266">
        <v>265</v>
      </c>
    </row>
    <row r="267" spans="1:6" x14ac:dyDescent="0.3">
      <c r="A267" t="s">
        <v>1618</v>
      </c>
      <c r="B267" t="s">
        <v>657</v>
      </c>
      <c r="C267" s="35">
        <v>36043</v>
      </c>
      <c r="D267" t="s">
        <v>312</v>
      </c>
      <c r="E267" t="s">
        <v>322</v>
      </c>
      <c r="F267">
        <v>266</v>
      </c>
    </row>
    <row r="268" spans="1:6" x14ac:dyDescent="0.3">
      <c r="A268" t="s">
        <v>1619</v>
      </c>
      <c r="B268" t="s">
        <v>189</v>
      </c>
      <c r="C268" s="35">
        <v>34912</v>
      </c>
      <c r="D268" t="s">
        <v>316</v>
      </c>
      <c r="E268" t="s">
        <v>332</v>
      </c>
      <c r="F268">
        <v>267</v>
      </c>
    </row>
    <row r="269" spans="1:6" x14ac:dyDescent="0.3">
      <c r="A269" t="s">
        <v>1620</v>
      </c>
      <c r="B269" t="s">
        <v>499</v>
      </c>
      <c r="C269" s="35">
        <v>40544</v>
      </c>
      <c r="D269" t="s">
        <v>312</v>
      </c>
      <c r="E269" t="s">
        <v>336</v>
      </c>
      <c r="F269">
        <v>268</v>
      </c>
    </row>
    <row r="270" spans="1:6" x14ac:dyDescent="0.3">
      <c r="A270" t="s">
        <v>1621</v>
      </c>
      <c r="B270" t="s">
        <v>658</v>
      </c>
      <c r="C270" s="35">
        <v>39248</v>
      </c>
      <c r="D270" t="s">
        <v>312</v>
      </c>
      <c r="E270" t="s">
        <v>628</v>
      </c>
      <c r="F270">
        <v>269</v>
      </c>
    </row>
    <row r="271" spans="1:6" x14ac:dyDescent="0.3">
      <c r="A271" t="s">
        <v>1622</v>
      </c>
      <c r="B271" t="s">
        <v>659</v>
      </c>
      <c r="C271" s="35">
        <v>39779</v>
      </c>
      <c r="D271" t="s">
        <v>312</v>
      </c>
      <c r="E271" t="s">
        <v>319</v>
      </c>
      <c r="F271">
        <v>270</v>
      </c>
    </row>
    <row r="272" spans="1:6" x14ac:dyDescent="0.3">
      <c r="A272" t="s">
        <v>1623</v>
      </c>
      <c r="B272" t="s">
        <v>157</v>
      </c>
      <c r="C272" s="35">
        <v>39160</v>
      </c>
      <c r="D272" t="s">
        <v>312</v>
      </c>
      <c r="E272" t="s">
        <v>332</v>
      </c>
      <c r="F272">
        <v>271</v>
      </c>
    </row>
    <row r="273" spans="1:6" x14ac:dyDescent="0.3">
      <c r="A273" t="s">
        <v>1624</v>
      </c>
      <c r="B273" t="s">
        <v>244</v>
      </c>
      <c r="C273" s="35">
        <v>40213</v>
      </c>
      <c r="D273" t="s">
        <v>312</v>
      </c>
      <c r="E273" t="s">
        <v>319</v>
      </c>
      <c r="F273">
        <v>272</v>
      </c>
    </row>
    <row r="274" spans="1:6" x14ac:dyDescent="0.3">
      <c r="A274" t="s">
        <v>1625</v>
      </c>
      <c r="B274" t="s">
        <v>165</v>
      </c>
      <c r="C274" s="35">
        <v>39279</v>
      </c>
      <c r="D274" t="s">
        <v>316</v>
      </c>
      <c r="E274" t="s">
        <v>332</v>
      </c>
      <c r="F274">
        <v>273</v>
      </c>
    </row>
    <row r="275" spans="1:6" x14ac:dyDescent="0.3">
      <c r="A275" t="s">
        <v>1626</v>
      </c>
      <c r="B275" t="s">
        <v>662</v>
      </c>
      <c r="C275" s="35">
        <v>39435</v>
      </c>
      <c r="D275" t="s">
        <v>316</v>
      </c>
      <c r="E275" t="s">
        <v>319</v>
      </c>
      <c r="F275">
        <v>274</v>
      </c>
    </row>
    <row r="276" spans="1:6" x14ac:dyDescent="0.3">
      <c r="A276" t="s">
        <v>1627</v>
      </c>
      <c r="B276" t="s">
        <v>153</v>
      </c>
      <c r="C276" s="35">
        <v>42261</v>
      </c>
      <c r="D276" t="s">
        <v>312</v>
      </c>
      <c r="E276" t="s">
        <v>330</v>
      </c>
      <c r="F276">
        <v>275</v>
      </c>
    </row>
    <row r="277" spans="1:6" x14ac:dyDescent="0.3">
      <c r="A277" t="s">
        <v>1628</v>
      </c>
      <c r="B277" t="s">
        <v>187</v>
      </c>
      <c r="C277" s="35">
        <v>41299</v>
      </c>
      <c r="D277" t="s">
        <v>312</v>
      </c>
      <c r="E277" t="s">
        <v>367</v>
      </c>
      <c r="F277">
        <v>276</v>
      </c>
    </row>
    <row r="278" spans="1:6" x14ac:dyDescent="0.3">
      <c r="A278" t="s">
        <v>1629</v>
      </c>
      <c r="B278" t="s">
        <v>93</v>
      </c>
      <c r="C278" s="35">
        <v>39665</v>
      </c>
      <c r="D278" t="s">
        <v>316</v>
      </c>
      <c r="E278" t="s">
        <v>313</v>
      </c>
      <c r="F278">
        <v>277</v>
      </c>
    </row>
    <row r="279" spans="1:6" x14ac:dyDescent="0.3">
      <c r="A279" t="s">
        <v>1630</v>
      </c>
      <c r="B279" t="s">
        <v>666</v>
      </c>
      <c r="C279" s="35">
        <v>34963</v>
      </c>
      <c r="D279" t="s">
        <v>312</v>
      </c>
      <c r="E279" t="s">
        <v>336</v>
      </c>
      <c r="F279">
        <v>278</v>
      </c>
    </row>
    <row r="280" spans="1:6" x14ac:dyDescent="0.3">
      <c r="A280" t="s">
        <v>1631</v>
      </c>
      <c r="B280" t="s">
        <v>668</v>
      </c>
      <c r="C280" s="35">
        <v>37897</v>
      </c>
      <c r="D280" t="s">
        <v>312</v>
      </c>
      <c r="E280" t="s">
        <v>336</v>
      </c>
      <c r="F280">
        <v>279</v>
      </c>
    </row>
    <row r="281" spans="1:6" x14ac:dyDescent="0.3">
      <c r="A281" t="s">
        <v>1632</v>
      </c>
      <c r="B281" t="s">
        <v>670</v>
      </c>
      <c r="C281" s="35">
        <v>41971</v>
      </c>
      <c r="D281" t="s">
        <v>312</v>
      </c>
      <c r="E281" t="s">
        <v>336</v>
      </c>
      <c r="F281">
        <v>280</v>
      </c>
    </row>
    <row r="282" spans="1:6" x14ac:dyDescent="0.3">
      <c r="A282" t="s">
        <v>1633</v>
      </c>
      <c r="B282" t="s">
        <v>91</v>
      </c>
      <c r="C282" s="35">
        <v>38967</v>
      </c>
      <c r="D282" t="s">
        <v>312</v>
      </c>
      <c r="E282" t="s">
        <v>317</v>
      </c>
      <c r="F282">
        <v>281</v>
      </c>
    </row>
    <row r="283" spans="1:6" x14ac:dyDescent="0.3">
      <c r="A283" t="s">
        <v>1634</v>
      </c>
      <c r="B283" t="s">
        <v>210</v>
      </c>
      <c r="C283" s="35">
        <v>41219</v>
      </c>
      <c r="D283" t="s">
        <v>312</v>
      </c>
      <c r="E283" t="s">
        <v>317</v>
      </c>
      <c r="F283">
        <v>282</v>
      </c>
    </row>
    <row r="284" spans="1:6" x14ac:dyDescent="0.3">
      <c r="A284" t="s">
        <v>1635</v>
      </c>
      <c r="B284" t="s">
        <v>68</v>
      </c>
      <c r="C284" s="35">
        <v>40858</v>
      </c>
      <c r="D284" t="s">
        <v>316</v>
      </c>
      <c r="E284" t="s">
        <v>313</v>
      </c>
      <c r="F284">
        <v>283</v>
      </c>
    </row>
    <row r="285" spans="1:6" x14ac:dyDescent="0.3">
      <c r="A285" t="s">
        <v>1636</v>
      </c>
      <c r="B285" t="s">
        <v>248</v>
      </c>
      <c r="C285" s="35">
        <v>39789</v>
      </c>
      <c r="D285" t="s">
        <v>312</v>
      </c>
      <c r="E285" t="s">
        <v>313</v>
      </c>
      <c r="F285">
        <v>284</v>
      </c>
    </row>
    <row r="286" spans="1:6" x14ac:dyDescent="0.3">
      <c r="A286" t="s">
        <v>1637</v>
      </c>
      <c r="B286" t="s">
        <v>205</v>
      </c>
      <c r="C286" s="35">
        <v>39705</v>
      </c>
      <c r="D286" t="s">
        <v>312</v>
      </c>
      <c r="E286" t="s">
        <v>336</v>
      </c>
      <c r="F286">
        <v>285</v>
      </c>
    </row>
    <row r="287" spans="1:6" x14ac:dyDescent="0.3">
      <c r="A287" t="s">
        <v>1638</v>
      </c>
      <c r="B287" t="s">
        <v>136</v>
      </c>
      <c r="C287" s="35">
        <v>41326</v>
      </c>
      <c r="D287" t="s">
        <v>312</v>
      </c>
      <c r="E287" t="s">
        <v>336</v>
      </c>
      <c r="F287">
        <v>286</v>
      </c>
    </row>
    <row r="288" spans="1:6" x14ac:dyDescent="0.3">
      <c r="A288" t="s">
        <v>1639</v>
      </c>
      <c r="B288" t="s">
        <v>65</v>
      </c>
      <c r="C288" s="35">
        <v>40843</v>
      </c>
      <c r="D288" t="s">
        <v>312</v>
      </c>
      <c r="E288" t="s">
        <v>317</v>
      </c>
      <c r="F288">
        <v>287</v>
      </c>
    </row>
    <row r="289" spans="1:6" x14ac:dyDescent="0.3">
      <c r="A289" t="s">
        <v>1640</v>
      </c>
      <c r="B289" t="s">
        <v>96</v>
      </c>
      <c r="C289" s="35">
        <v>41760</v>
      </c>
      <c r="D289" t="s">
        <v>312</v>
      </c>
      <c r="E289" t="s">
        <v>336</v>
      </c>
      <c r="F289">
        <v>288</v>
      </c>
    </row>
    <row r="290" spans="1:6" x14ac:dyDescent="0.3">
      <c r="A290" t="s">
        <v>1641</v>
      </c>
      <c r="B290" t="s">
        <v>90</v>
      </c>
      <c r="C290" s="35">
        <v>42444</v>
      </c>
      <c r="D290" t="s">
        <v>312</v>
      </c>
      <c r="E290" t="s">
        <v>336</v>
      </c>
      <c r="F290">
        <v>289</v>
      </c>
    </row>
    <row r="291" spans="1:6" x14ac:dyDescent="0.3">
      <c r="A291" t="s">
        <v>1642</v>
      </c>
      <c r="B291" t="s">
        <v>162</v>
      </c>
      <c r="C291" s="35">
        <v>41187</v>
      </c>
      <c r="D291" t="s">
        <v>312</v>
      </c>
      <c r="E291" t="s">
        <v>336</v>
      </c>
      <c r="F291">
        <v>290</v>
      </c>
    </row>
    <row r="292" spans="1:6" x14ac:dyDescent="0.3">
      <c r="A292" t="s">
        <v>1643</v>
      </c>
      <c r="B292" t="s">
        <v>682</v>
      </c>
      <c r="C292" s="35">
        <v>39875</v>
      </c>
      <c r="D292" t="s">
        <v>316</v>
      </c>
      <c r="E292" t="s">
        <v>319</v>
      </c>
      <c r="F292">
        <v>291</v>
      </c>
    </row>
    <row r="293" spans="1:6" x14ac:dyDescent="0.3">
      <c r="A293" t="s">
        <v>1644</v>
      </c>
      <c r="B293" t="s">
        <v>684</v>
      </c>
      <c r="C293" s="35">
        <v>40917</v>
      </c>
      <c r="D293" t="s">
        <v>312</v>
      </c>
      <c r="E293" t="s">
        <v>319</v>
      </c>
      <c r="F293">
        <v>292</v>
      </c>
    </row>
    <row r="294" spans="1:6" x14ac:dyDescent="0.3">
      <c r="A294" t="s">
        <v>1645</v>
      </c>
      <c r="B294" t="s">
        <v>686</v>
      </c>
      <c r="C294" s="35">
        <v>41729</v>
      </c>
      <c r="D294" t="s">
        <v>316</v>
      </c>
      <c r="E294" t="s">
        <v>319</v>
      </c>
      <c r="F294">
        <v>293</v>
      </c>
    </row>
    <row r="295" spans="1:6" x14ac:dyDescent="0.3">
      <c r="A295" t="s">
        <v>1646</v>
      </c>
      <c r="B295" t="s">
        <v>688</v>
      </c>
      <c r="C295" s="35">
        <v>41981</v>
      </c>
      <c r="D295" t="s">
        <v>312</v>
      </c>
      <c r="E295" t="s">
        <v>317</v>
      </c>
      <c r="F295">
        <v>294</v>
      </c>
    </row>
    <row r="296" spans="1:6" x14ac:dyDescent="0.3">
      <c r="A296" t="s">
        <v>1647</v>
      </c>
      <c r="B296" t="s">
        <v>47</v>
      </c>
      <c r="C296" s="35">
        <v>41340</v>
      </c>
      <c r="D296" t="s">
        <v>316</v>
      </c>
      <c r="E296" t="s">
        <v>319</v>
      </c>
      <c r="F296">
        <v>295</v>
      </c>
    </row>
    <row r="297" spans="1:6" x14ac:dyDescent="0.3">
      <c r="A297" t="s">
        <v>1648</v>
      </c>
      <c r="B297" t="s">
        <v>691</v>
      </c>
      <c r="C297" s="35">
        <v>40111</v>
      </c>
      <c r="D297" t="s">
        <v>312</v>
      </c>
      <c r="E297" t="s">
        <v>336</v>
      </c>
      <c r="F297">
        <v>296</v>
      </c>
    </row>
    <row r="298" spans="1:6" x14ac:dyDescent="0.3">
      <c r="A298" t="s">
        <v>1649</v>
      </c>
      <c r="B298" t="s">
        <v>98</v>
      </c>
      <c r="C298" s="35">
        <v>39639</v>
      </c>
      <c r="D298" t="s">
        <v>312</v>
      </c>
      <c r="E298" t="s">
        <v>740</v>
      </c>
      <c r="F298">
        <v>297</v>
      </c>
    </row>
    <row r="299" spans="1:6" x14ac:dyDescent="0.3">
      <c r="A299" t="s">
        <v>1650</v>
      </c>
      <c r="B299" t="s">
        <v>237</v>
      </c>
      <c r="C299" s="35">
        <v>40439</v>
      </c>
      <c r="D299" t="s">
        <v>312</v>
      </c>
      <c r="E299" t="s">
        <v>336</v>
      </c>
      <c r="F299">
        <v>298</v>
      </c>
    </row>
    <row r="300" spans="1:6" x14ac:dyDescent="0.3">
      <c r="A300" t="s">
        <v>1651</v>
      </c>
      <c r="B300" t="s">
        <v>695</v>
      </c>
      <c r="C300" s="35">
        <v>33625</v>
      </c>
      <c r="D300" t="s">
        <v>316</v>
      </c>
      <c r="E300" t="s">
        <v>367</v>
      </c>
      <c r="F300">
        <v>299</v>
      </c>
    </row>
    <row r="301" spans="1:6" x14ac:dyDescent="0.3">
      <c r="A301" t="s">
        <v>1652</v>
      </c>
      <c r="B301" t="s">
        <v>697</v>
      </c>
      <c r="C301" s="35">
        <v>27095</v>
      </c>
      <c r="D301" t="s">
        <v>312</v>
      </c>
      <c r="E301" t="s">
        <v>355</v>
      </c>
      <c r="F301">
        <v>300</v>
      </c>
    </row>
    <row r="302" spans="1:6" x14ac:dyDescent="0.3">
      <c r="A302" t="s">
        <v>1653</v>
      </c>
      <c r="B302" t="s">
        <v>698</v>
      </c>
      <c r="C302" s="35">
        <v>37870</v>
      </c>
      <c r="D302" t="s">
        <v>316</v>
      </c>
      <c r="E302" t="s">
        <v>313</v>
      </c>
      <c r="F302">
        <v>301</v>
      </c>
    </row>
    <row r="303" spans="1:6" x14ac:dyDescent="0.3">
      <c r="A303" t="s">
        <v>1654</v>
      </c>
      <c r="B303" t="s">
        <v>893</v>
      </c>
      <c r="C303" s="35">
        <v>40597</v>
      </c>
      <c r="D303" t="s">
        <v>312</v>
      </c>
      <c r="E303" t="s">
        <v>322</v>
      </c>
      <c r="F303">
        <v>302</v>
      </c>
    </row>
    <row r="304" spans="1:6" x14ac:dyDescent="0.3">
      <c r="A304" t="s">
        <v>1655</v>
      </c>
      <c r="B304" t="s">
        <v>700</v>
      </c>
      <c r="C304" s="35">
        <v>41401</v>
      </c>
      <c r="D304" t="s">
        <v>312</v>
      </c>
      <c r="E304" t="s">
        <v>338</v>
      </c>
      <c r="F304">
        <v>303</v>
      </c>
    </row>
    <row r="305" spans="1:6" x14ac:dyDescent="0.3">
      <c r="A305" t="s">
        <v>1656</v>
      </c>
      <c r="B305" t="s">
        <v>126</v>
      </c>
      <c r="C305" s="35">
        <v>42020</v>
      </c>
      <c r="D305" t="s">
        <v>312</v>
      </c>
      <c r="E305" t="s">
        <v>332</v>
      </c>
      <c r="F305">
        <v>304</v>
      </c>
    </row>
    <row r="306" spans="1:6" x14ac:dyDescent="0.3">
      <c r="A306" t="s">
        <v>1657</v>
      </c>
      <c r="B306" t="s">
        <v>702</v>
      </c>
      <c r="C306" s="35">
        <v>27985</v>
      </c>
      <c r="D306" t="s">
        <v>312</v>
      </c>
      <c r="E306" t="s">
        <v>332</v>
      </c>
      <c r="F306">
        <v>305</v>
      </c>
    </row>
    <row r="307" spans="1:6" x14ac:dyDescent="0.3">
      <c r="A307" t="s">
        <v>1658</v>
      </c>
      <c r="B307" t="s">
        <v>703</v>
      </c>
      <c r="C307" s="35">
        <v>32651</v>
      </c>
      <c r="D307" t="s">
        <v>312</v>
      </c>
      <c r="E307" t="s">
        <v>336</v>
      </c>
      <c r="F307">
        <v>306</v>
      </c>
    </row>
    <row r="308" spans="1:6" x14ac:dyDescent="0.3">
      <c r="A308" t="s">
        <v>1659</v>
      </c>
      <c r="B308" t="s">
        <v>704</v>
      </c>
      <c r="C308" s="35">
        <v>39080</v>
      </c>
      <c r="D308" t="s">
        <v>316</v>
      </c>
      <c r="E308" t="s">
        <v>332</v>
      </c>
      <c r="F308">
        <v>307</v>
      </c>
    </row>
    <row r="309" spans="1:6" x14ac:dyDescent="0.3">
      <c r="A309" t="s">
        <v>1660</v>
      </c>
      <c r="B309" t="s">
        <v>204</v>
      </c>
      <c r="C309" s="35">
        <v>40922</v>
      </c>
      <c r="D309" t="s">
        <v>312</v>
      </c>
      <c r="E309" t="s">
        <v>332</v>
      </c>
      <c r="F309">
        <v>308</v>
      </c>
    </row>
    <row r="310" spans="1:6" x14ac:dyDescent="0.3">
      <c r="A310" t="s">
        <v>1661</v>
      </c>
      <c r="B310" t="s">
        <v>706</v>
      </c>
      <c r="C310" s="35">
        <v>35179</v>
      </c>
      <c r="D310" t="s">
        <v>312</v>
      </c>
      <c r="E310" t="s">
        <v>319</v>
      </c>
      <c r="F310">
        <v>309</v>
      </c>
    </row>
    <row r="311" spans="1:6" x14ac:dyDescent="0.3">
      <c r="A311" t="s">
        <v>1662</v>
      </c>
      <c r="B311" t="s">
        <v>40</v>
      </c>
      <c r="C311" s="35">
        <v>40846</v>
      </c>
      <c r="D311" t="s">
        <v>316</v>
      </c>
      <c r="E311" t="s">
        <v>332</v>
      </c>
      <c r="F311">
        <v>310</v>
      </c>
    </row>
    <row r="312" spans="1:6" x14ac:dyDescent="0.3">
      <c r="A312" t="s">
        <v>1663</v>
      </c>
      <c r="B312" t="s">
        <v>152</v>
      </c>
      <c r="C312" s="35">
        <v>42487</v>
      </c>
      <c r="D312" t="s">
        <v>316</v>
      </c>
      <c r="E312" t="s">
        <v>332</v>
      </c>
      <c r="F312">
        <v>311</v>
      </c>
    </row>
    <row r="313" spans="1:6" x14ac:dyDescent="0.3">
      <c r="A313" t="s">
        <v>1664</v>
      </c>
      <c r="B313" t="s">
        <v>193</v>
      </c>
      <c r="C313" s="35">
        <v>40302</v>
      </c>
      <c r="D313" t="s">
        <v>312</v>
      </c>
      <c r="E313" t="s">
        <v>319</v>
      </c>
      <c r="F313">
        <v>312</v>
      </c>
    </row>
    <row r="314" spans="1:6" x14ac:dyDescent="0.3">
      <c r="A314" t="s">
        <v>1665</v>
      </c>
      <c r="B314" t="s">
        <v>710</v>
      </c>
      <c r="C314" s="35">
        <v>23836</v>
      </c>
      <c r="D314" t="s">
        <v>312</v>
      </c>
      <c r="E314" t="s">
        <v>319</v>
      </c>
      <c r="F314">
        <v>313</v>
      </c>
    </row>
    <row r="315" spans="1:6" x14ac:dyDescent="0.3">
      <c r="A315" t="s">
        <v>1666</v>
      </c>
      <c r="B315" t="s">
        <v>711</v>
      </c>
      <c r="C315" s="35">
        <v>38530</v>
      </c>
      <c r="D315" t="s">
        <v>312</v>
      </c>
      <c r="E315" t="s">
        <v>330</v>
      </c>
      <c r="F315">
        <v>314</v>
      </c>
    </row>
    <row r="316" spans="1:6" x14ac:dyDescent="0.3">
      <c r="A316" t="s">
        <v>1667</v>
      </c>
      <c r="B316" t="s">
        <v>178</v>
      </c>
      <c r="C316" s="35">
        <v>40830</v>
      </c>
      <c r="D316" t="s">
        <v>312</v>
      </c>
      <c r="E316" t="s">
        <v>355</v>
      </c>
      <c r="F316">
        <v>315</v>
      </c>
    </row>
    <row r="317" spans="1:6" x14ac:dyDescent="0.3">
      <c r="A317" t="s">
        <v>1668</v>
      </c>
      <c r="B317" t="s">
        <v>713</v>
      </c>
      <c r="C317" s="35">
        <v>39934</v>
      </c>
      <c r="D317" t="s">
        <v>312</v>
      </c>
      <c r="E317" t="s">
        <v>322</v>
      </c>
      <c r="F317">
        <v>316</v>
      </c>
    </row>
    <row r="318" spans="1:6" x14ac:dyDescent="0.3">
      <c r="A318" t="s">
        <v>1669</v>
      </c>
      <c r="B318" t="s">
        <v>173</v>
      </c>
      <c r="C318" s="35">
        <v>41510</v>
      </c>
      <c r="D318" t="s">
        <v>316</v>
      </c>
      <c r="E318" t="s">
        <v>336</v>
      </c>
      <c r="F318">
        <v>317</v>
      </c>
    </row>
    <row r="319" spans="1:6" x14ac:dyDescent="0.3">
      <c r="A319" t="s">
        <v>1670</v>
      </c>
      <c r="B319" t="s">
        <v>269</v>
      </c>
      <c r="C319" s="35">
        <v>40668</v>
      </c>
      <c r="D319" t="s">
        <v>312</v>
      </c>
      <c r="E319" t="s">
        <v>367</v>
      </c>
      <c r="F319">
        <v>318</v>
      </c>
    </row>
    <row r="320" spans="1:6" x14ac:dyDescent="0.3">
      <c r="A320" t="s">
        <v>1671</v>
      </c>
      <c r="B320" t="s">
        <v>716</v>
      </c>
      <c r="C320" s="35">
        <v>36559</v>
      </c>
      <c r="D320" t="s">
        <v>312</v>
      </c>
      <c r="E320" t="s">
        <v>317</v>
      </c>
      <c r="F320">
        <v>319</v>
      </c>
    </row>
    <row r="321" spans="1:6" x14ac:dyDescent="0.3">
      <c r="A321" t="s">
        <v>1672</v>
      </c>
      <c r="B321" t="s">
        <v>718</v>
      </c>
      <c r="C321" s="35">
        <v>39633</v>
      </c>
      <c r="D321" t="s">
        <v>316</v>
      </c>
      <c r="E321" t="s">
        <v>317</v>
      </c>
      <c r="F321">
        <v>320</v>
      </c>
    </row>
    <row r="322" spans="1:6" x14ac:dyDescent="0.3">
      <c r="A322" t="s">
        <v>1673</v>
      </c>
      <c r="B322" t="s">
        <v>720</v>
      </c>
      <c r="C322" s="35">
        <v>28836</v>
      </c>
      <c r="D322" t="s">
        <v>312</v>
      </c>
      <c r="E322" t="s">
        <v>319</v>
      </c>
      <c r="F322">
        <v>321</v>
      </c>
    </row>
    <row r="323" spans="1:6" x14ac:dyDescent="0.3">
      <c r="A323" t="s">
        <v>1674</v>
      </c>
      <c r="B323" t="s">
        <v>722</v>
      </c>
      <c r="C323" s="35">
        <v>38565</v>
      </c>
      <c r="D323" t="s">
        <v>312</v>
      </c>
      <c r="E323" t="s">
        <v>322</v>
      </c>
      <c r="F323">
        <v>322</v>
      </c>
    </row>
    <row r="324" spans="1:6" x14ac:dyDescent="0.3">
      <c r="A324" t="s">
        <v>1675</v>
      </c>
      <c r="B324" t="s">
        <v>247</v>
      </c>
      <c r="C324" s="35">
        <v>39595</v>
      </c>
      <c r="D324" t="s">
        <v>312</v>
      </c>
      <c r="E324" t="s">
        <v>355</v>
      </c>
      <c r="F324">
        <v>323</v>
      </c>
    </row>
    <row r="325" spans="1:6" x14ac:dyDescent="0.3">
      <c r="A325" t="s">
        <v>1676</v>
      </c>
      <c r="B325" t="s">
        <v>724</v>
      </c>
      <c r="C325" s="35">
        <v>33765</v>
      </c>
      <c r="D325" t="s">
        <v>312</v>
      </c>
      <c r="E325" t="s">
        <v>336</v>
      </c>
      <c r="F325">
        <v>324</v>
      </c>
    </row>
    <row r="326" spans="1:6" x14ac:dyDescent="0.3">
      <c r="A326" t="s">
        <v>1677</v>
      </c>
      <c r="B326" t="s">
        <v>228</v>
      </c>
      <c r="C326" s="35">
        <v>41495</v>
      </c>
      <c r="D326" t="s">
        <v>312</v>
      </c>
      <c r="E326" t="s">
        <v>317</v>
      </c>
      <c r="F326">
        <v>325</v>
      </c>
    </row>
    <row r="327" spans="1:6" x14ac:dyDescent="0.3">
      <c r="A327" t="s">
        <v>1678</v>
      </c>
      <c r="B327" t="s">
        <v>191</v>
      </c>
      <c r="C327" s="35">
        <v>39720</v>
      </c>
      <c r="D327" t="s">
        <v>316</v>
      </c>
      <c r="E327" t="s">
        <v>322</v>
      </c>
      <c r="F327">
        <v>326</v>
      </c>
    </row>
    <row r="328" spans="1:6" x14ac:dyDescent="0.3">
      <c r="A328" t="s">
        <v>1679</v>
      </c>
      <c r="B328" t="s">
        <v>110</v>
      </c>
      <c r="C328" s="35">
        <v>42608</v>
      </c>
      <c r="D328" t="s">
        <v>316</v>
      </c>
      <c r="E328" t="s">
        <v>317</v>
      </c>
      <c r="F328">
        <v>327</v>
      </c>
    </row>
    <row r="329" spans="1:6" x14ac:dyDescent="0.3">
      <c r="A329" t="s">
        <v>1680</v>
      </c>
      <c r="B329" t="s">
        <v>159</v>
      </c>
      <c r="C329" s="35">
        <v>42239</v>
      </c>
      <c r="D329" t="s">
        <v>316</v>
      </c>
      <c r="E329" t="s">
        <v>317</v>
      </c>
      <c r="F329">
        <v>328</v>
      </c>
    </row>
    <row r="330" spans="1:6" x14ac:dyDescent="0.3">
      <c r="A330" t="s">
        <v>1681</v>
      </c>
      <c r="B330" t="s">
        <v>50</v>
      </c>
      <c r="C330" s="35">
        <v>40201</v>
      </c>
      <c r="D330" t="s">
        <v>316</v>
      </c>
      <c r="E330" t="s">
        <v>317</v>
      </c>
      <c r="F330">
        <v>329</v>
      </c>
    </row>
    <row r="331" spans="1:6" x14ac:dyDescent="0.3">
      <c r="A331" t="s">
        <v>1682</v>
      </c>
      <c r="B331" t="s">
        <v>115</v>
      </c>
      <c r="C331" s="35">
        <v>42671</v>
      </c>
      <c r="D331" t="s">
        <v>316</v>
      </c>
      <c r="E331" t="s">
        <v>317</v>
      </c>
      <c r="F331">
        <v>330</v>
      </c>
    </row>
    <row r="332" spans="1:6" x14ac:dyDescent="0.3">
      <c r="A332" t="s">
        <v>1683</v>
      </c>
      <c r="B332" t="s">
        <v>731</v>
      </c>
      <c r="C332" s="35">
        <v>42641</v>
      </c>
      <c r="D332" t="s">
        <v>316</v>
      </c>
      <c r="E332" t="s">
        <v>317</v>
      </c>
      <c r="F332">
        <v>331</v>
      </c>
    </row>
    <row r="333" spans="1:6" x14ac:dyDescent="0.3">
      <c r="A333" t="s">
        <v>1684</v>
      </c>
      <c r="B333" t="s">
        <v>732</v>
      </c>
      <c r="C333" s="35">
        <v>42395</v>
      </c>
      <c r="D333" t="s">
        <v>316</v>
      </c>
      <c r="E333" t="s">
        <v>319</v>
      </c>
      <c r="F333">
        <v>332</v>
      </c>
    </row>
    <row r="334" spans="1:6" x14ac:dyDescent="0.3">
      <c r="A334" t="s">
        <v>1685</v>
      </c>
      <c r="B334" t="s">
        <v>122</v>
      </c>
      <c r="C334" s="35">
        <v>43114</v>
      </c>
      <c r="D334" t="s">
        <v>312</v>
      </c>
      <c r="E334" t="s">
        <v>317</v>
      </c>
      <c r="F334">
        <v>333</v>
      </c>
    </row>
    <row r="335" spans="1:6" x14ac:dyDescent="0.3">
      <c r="A335" t="s">
        <v>1686</v>
      </c>
      <c r="B335" t="s">
        <v>122</v>
      </c>
      <c r="C335" s="35">
        <v>43114</v>
      </c>
      <c r="D335" t="s">
        <v>312</v>
      </c>
      <c r="E335" t="s">
        <v>317</v>
      </c>
      <c r="F335">
        <v>334</v>
      </c>
    </row>
    <row r="336" spans="1:6" x14ac:dyDescent="0.3">
      <c r="A336" t="s">
        <v>1687</v>
      </c>
      <c r="B336" t="s">
        <v>51</v>
      </c>
      <c r="C336" s="35">
        <v>41579</v>
      </c>
      <c r="D336" t="s">
        <v>316</v>
      </c>
      <c r="E336" t="s">
        <v>317</v>
      </c>
      <c r="F336">
        <v>335</v>
      </c>
    </row>
    <row r="337" spans="1:6" x14ac:dyDescent="0.3">
      <c r="A337" t="s">
        <v>1688</v>
      </c>
      <c r="B337" t="s">
        <v>186</v>
      </c>
      <c r="C337" s="35">
        <v>42243</v>
      </c>
      <c r="D337" t="s">
        <v>312</v>
      </c>
      <c r="E337" t="s">
        <v>336</v>
      </c>
      <c r="F337">
        <v>336</v>
      </c>
    </row>
    <row r="338" spans="1:6" x14ac:dyDescent="0.3">
      <c r="A338" t="s">
        <v>1689</v>
      </c>
      <c r="B338" t="s">
        <v>736</v>
      </c>
      <c r="C338" s="35">
        <v>31366</v>
      </c>
      <c r="D338" t="s">
        <v>312</v>
      </c>
      <c r="E338" t="s">
        <v>355</v>
      </c>
      <c r="F338">
        <v>337</v>
      </c>
    </row>
    <row r="339" spans="1:6" x14ac:dyDescent="0.3">
      <c r="A339" t="s">
        <v>1690</v>
      </c>
      <c r="B339" t="s">
        <v>738</v>
      </c>
      <c r="C339" s="35">
        <v>32693</v>
      </c>
      <c r="D339" t="s">
        <v>312</v>
      </c>
      <c r="E339" t="s">
        <v>332</v>
      </c>
      <c r="F339">
        <v>338</v>
      </c>
    </row>
    <row r="340" spans="1:6" x14ac:dyDescent="0.3">
      <c r="A340" t="s">
        <v>1691</v>
      </c>
      <c r="B340" t="s">
        <v>703</v>
      </c>
      <c r="C340" s="35">
        <v>33138</v>
      </c>
      <c r="D340" t="s">
        <v>312</v>
      </c>
      <c r="E340" t="s">
        <v>319</v>
      </c>
      <c r="F340">
        <v>339</v>
      </c>
    </row>
    <row r="341" spans="1:6" x14ac:dyDescent="0.3">
      <c r="A341" t="s">
        <v>1692</v>
      </c>
      <c r="B341" t="s">
        <v>739</v>
      </c>
      <c r="C341" s="35">
        <v>41408</v>
      </c>
      <c r="D341" t="s">
        <v>312</v>
      </c>
      <c r="E341" t="s">
        <v>740</v>
      </c>
      <c r="F341">
        <v>340</v>
      </c>
    </row>
    <row r="342" spans="1:6" x14ac:dyDescent="0.3">
      <c r="A342" t="s">
        <v>1693</v>
      </c>
      <c r="B342" t="s">
        <v>741</v>
      </c>
      <c r="C342" s="35">
        <v>31935</v>
      </c>
      <c r="D342" t="s">
        <v>312</v>
      </c>
      <c r="E342" t="s">
        <v>319</v>
      </c>
      <c r="F342">
        <v>341</v>
      </c>
    </row>
    <row r="343" spans="1:6" x14ac:dyDescent="0.3">
      <c r="A343" t="s">
        <v>1694</v>
      </c>
      <c r="B343" t="s">
        <v>256</v>
      </c>
      <c r="C343" s="35">
        <v>41107</v>
      </c>
      <c r="D343" t="s">
        <v>312</v>
      </c>
      <c r="E343" t="s">
        <v>336</v>
      </c>
      <c r="F343">
        <v>342</v>
      </c>
    </row>
    <row r="344" spans="1:6" x14ac:dyDescent="0.3">
      <c r="A344" t="s">
        <v>1695</v>
      </c>
      <c r="B344" t="s">
        <v>220</v>
      </c>
      <c r="C344" s="35">
        <v>40458</v>
      </c>
      <c r="D344" t="s">
        <v>312</v>
      </c>
      <c r="E344" t="s">
        <v>336</v>
      </c>
      <c r="F344">
        <v>343</v>
      </c>
    </row>
    <row r="345" spans="1:6" x14ac:dyDescent="0.3">
      <c r="A345" t="s">
        <v>1696</v>
      </c>
      <c r="B345" t="s">
        <v>213</v>
      </c>
      <c r="C345" s="35">
        <v>41112</v>
      </c>
      <c r="D345" t="s">
        <v>312</v>
      </c>
      <c r="E345" t="s">
        <v>319</v>
      </c>
      <c r="F345">
        <v>344</v>
      </c>
    </row>
    <row r="346" spans="1:6" x14ac:dyDescent="0.3">
      <c r="A346" t="s">
        <v>1697</v>
      </c>
      <c r="B346" t="s">
        <v>742</v>
      </c>
      <c r="C346" s="35">
        <v>40461</v>
      </c>
      <c r="D346" t="s">
        <v>316</v>
      </c>
      <c r="E346" t="s">
        <v>322</v>
      </c>
      <c r="F346">
        <v>345</v>
      </c>
    </row>
    <row r="347" spans="1:6" x14ac:dyDescent="0.3">
      <c r="A347" t="s">
        <v>1698</v>
      </c>
      <c r="B347" t="s">
        <v>218</v>
      </c>
      <c r="C347" s="35">
        <v>42136</v>
      </c>
      <c r="D347" t="s">
        <v>312</v>
      </c>
      <c r="E347" t="s">
        <v>332</v>
      </c>
      <c r="F347">
        <v>346</v>
      </c>
    </row>
    <row r="348" spans="1:6" x14ac:dyDescent="0.3">
      <c r="A348" t="s">
        <v>1699</v>
      </c>
      <c r="B348" t="s">
        <v>142</v>
      </c>
      <c r="C348" s="35">
        <v>40606</v>
      </c>
      <c r="D348" t="s">
        <v>312</v>
      </c>
      <c r="E348" t="s">
        <v>367</v>
      </c>
      <c r="F348">
        <v>347</v>
      </c>
    </row>
    <row r="349" spans="1:6" x14ac:dyDescent="0.3">
      <c r="A349" t="s">
        <v>1700</v>
      </c>
      <c r="B349" t="s">
        <v>581</v>
      </c>
      <c r="C349" s="35">
        <v>41567</v>
      </c>
      <c r="D349" t="s">
        <v>312</v>
      </c>
      <c r="E349" t="s">
        <v>322</v>
      </c>
      <c r="F349">
        <v>348</v>
      </c>
    </row>
    <row r="350" spans="1:6" x14ac:dyDescent="0.3">
      <c r="A350" t="s">
        <v>1701</v>
      </c>
      <c r="B350" t="s">
        <v>744</v>
      </c>
      <c r="C350" s="35">
        <v>42692</v>
      </c>
      <c r="D350" t="s">
        <v>312</v>
      </c>
      <c r="E350" t="s">
        <v>336</v>
      </c>
      <c r="F350">
        <v>349</v>
      </c>
    </row>
    <row r="351" spans="1:6" x14ac:dyDescent="0.3">
      <c r="A351" t="s">
        <v>1702</v>
      </c>
      <c r="B351" t="s">
        <v>746</v>
      </c>
      <c r="C351" s="35">
        <v>43243</v>
      </c>
      <c r="D351" t="s">
        <v>312</v>
      </c>
      <c r="E351" t="s">
        <v>319</v>
      </c>
      <c r="F351">
        <v>350</v>
      </c>
    </row>
    <row r="352" spans="1:6" x14ac:dyDescent="0.3">
      <c r="A352" t="s">
        <v>1703</v>
      </c>
      <c r="B352" t="s">
        <v>748</v>
      </c>
      <c r="C352" s="35">
        <v>42302</v>
      </c>
      <c r="D352" t="s">
        <v>312</v>
      </c>
      <c r="E352" t="s">
        <v>355</v>
      </c>
      <c r="F352">
        <v>351</v>
      </c>
    </row>
    <row r="353" spans="1:6" x14ac:dyDescent="0.3">
      <c r="A353" t="s">
        <v>1704</v>
      </c>
      <c r="B353" t="s">
        <v>749</v>
      </c>
      <c r="C353" s="35">
        <v>38601</v>
      </c>
      <c r="D353" t="s">
        <v>312</v>
      </c>
      <c r="E353" t="s">
        <v>313</v>
      </c>
      <c r="F353">
        <v>352</v>
      </c>
    </row>
    <row r="354" spans="1:6" x14ac:dyDescent="0.3">
      <c r="A354" t="s">
        <v>1705</v>
      </c>
      <c r="B354" t="s">
        <v>241</v>
      </c>
      <c r="C354" s="35">
        <v>40871</v>
      </c>
      <c r="D354" t="s">
        <v>312</v>
      </c>
      <c r="E354" t="s">
        <v>313</v>
      </c>
      <c r="F354">
        <v>353</v>
      </c>
    </row>
    <row r="355" spans="1:6" x14ac:dyDescent="0.3">
      <c r="A355" t="s">
        <v>1706</v>
      </c>
      <c r="B355" t="s">
        <v>751</v>
      </c>
      <c r="C355" s="35">
        <v>42707</v>
      </c>
      <c r="D355" t="s">
        <v>312</v>
      </c>
      <c r="E355" t="s">
        <v>355</v>
      </c>
      <c r="F355">
        <v>354</v>
      </c>
    </row>
    <row r="356" spans="1:6" x14ac:dyDescent="0.3">
      <c r="A356" t="s">
        <v>1707</v>
      </c>
      <c r="B356" t="s">
        <v>236</v>
      </c>
      <c r="C356" s="35">
        <v>41008</v>
      </c>
      <c r="D356" t="s">
        <v>312</v>
      </c>
      <c r="E356" t="s">
        <v>336</v>
      </c>
      <c r="F356">
        <v>355</v>
      </c>
    </row>
    <row r="357" spans="1:6" x14ac:dyDescent="0.3">
      <c r="A357" t="s">
        <v>1708</v>
      </c>
      <c r="B357" t="s">
        <v>752</v>
      </c>
      <c r="C357" s="35">
        <v>42459</v>
      </c>
      <c r="D357" t="s">
        <v>312</v>
      </c>
      <c r="E357" t="s">
        <v>628</v>
      </c>
      <c r="F357">
        <v>356</v>
      </c>
    </row>
    <row r="358" spans="1:6" x14ac:dyDescent="0.3">
      <c r="A358" t="s">
        <v>1709</v>
      </c>
      <c r="B358" t="s">
        <v>754</v>
      </c>
      <c r="C358" s="35">
        <v>40025</v>
      </c>
      <c r="D358" t="s">
        <v>312</v>
      </c>
      <c r="E358" t="s">
        <v>332</v>
      </c>
      <c r="F358">
        <v>357</v>
      </c>
    </row>
    <row r="359" spans="1:6" x14ac:dyDescent="0.3">
      <c r="A359" t="s">
        <v>1710</v>
      </c>
      <c r="B359" t="s">
        <v>285</v>
      </c>
      <c r="C359" s="35">
        <v>41258</v>
      </c>
      <c r="D359" t="s">
        <v>312</v>
      </c>
      <c r="E359" t="s">
        <v>355</v>
      </c>
      <c r="F359">
        <v>358</v>
      </c>
    </row>
    <row r="360" spans="1:6" x14ac:dyDescent="0.3">
      <c r="A360" t="s">
        <v>1711</v>
      </c>
      <c r="B360" t="s">
        <v>199</v>
      </c>
      <c r="C360" s="35">
        <v>39528</v>
      </c>
      <c r="D360" t="s">
        <v>312</v>
      </c>
      <c r="E360" t="s">
        <v>355</v>
      </c>
      <c r="F360">
        <v>359</v>
      </c>
    </row>
    <row r="361" spans="1:6" x14ac:dyDescent="0.3">
      <c r="A361" t="s">
        <v>1712</v>
      </c>
      <c r="B361" t="s">
        <v>757</v>
      </c>
      <c r="C361" s="35">
        <v>29464</v>
      </c>
      <c r="D361" t="s">
        <v>312</v>
      </c>
      <c r="E361" t="s">
        <v>313</v>
      </c>
      <c r="F361">
        <v>360</v>
      </c>
    </row>
    <row r="362" spans="1:6" x14ac:dyDescent="0.3">
      <c r="A362" t="s">
        <v>1713</v>
      </c>
      <c r="B362" t="s">
        <v>225</v>
      </c>
      <c r="C362" s="35">
        <v>41202</v>
      </c>
      <c r="D362" t="s">
        <v>312</v>
      </c>
      <c r="E362" t="s">
        <v>355</v>
      </c>
      <c r="F362">
        <v>361</v>
      </c>
    </row>
    <row r="363" spans="1:6" x14ac:dyDescent="0.3">
      <c r="A363" t="s">
        <v>1714</v>
      </c>
      <c r="B363" t="s">
        <v>758</v>
      </c>
      <c r="C363" s="35">
        <v>27366</v>
      </c>
      <c r="D363" t="s">
        <v>312</v>
      </c>
      <c r="E363" t="s">
        <v>319</v>
      </c>
      <c r="F363">
        <v>362</v>
      </c>
    </row>
    <row r="364" spans="1:6" x14ac:dyDescent="0.3">
      <c r="A364" t="s">
        <v>1715</v>
      </c>
      <c r="B364" t="s">
        <v>212</v>
      </c>
      <c r="C364" s="35">
        <v>41874</v>
      </c>
      <c r="D364" t="s">
        <v>312</v>
      </c>
      <c r="E364" t="s">
        <v>322</v>
      </c>
      <c r="F364">
        <v>363</v>
      </c>
    </row>
    <row r="365" spans="1:6" x14ac:dyDescent="0.3">
      <c r="A365" t="s">
        <v>1716</v>
      </c>
      <c r="B365" t="s">
        <v>249</v>
      </c>
      <c r="C365" s="35">
        <v>41575</v>
      </c>
      <c r="D365" t="s">
        <v>312</v>
      </c>
      <c r="E365" t="s">
        <v>319</v>
      </c>
      <c r="F365">
        <v>364</v>
      </c>
    </row>
    <row r="366" spans="1:6" x14ac:dyDescent="0.3">
      <c r="A366" t="s">
        <v>1717</v>
      </c>
      <c r="B366" t="s">
        <v>761</v>
      </c>
      <c r="C366" s="35">
        <v>41294</v>
      </c>
      <c r="D366" t="s">
        <v>312</v>
      </c>
      <c r="E366" t="s">
        <v>319</v>
      </c>
      <c r="F366">
        <v>365</v>
      </c>
    </row>
    <row r="367" spans="1:6" x14ac:dyDescent="0.3">
      <c r="A367" t="s">
        <v>1718</v>
      </c>
      <c r="B367" t="s">
        <v>763</v>
      </c>
      <c r="C367" s="35">
        <v>41462</v>
      </c>
      <c r="D367" t="s">
        <v>312</v>
      </c>
      <c r="E367" t="s">
        <v>319</v>
      </c>
      <c r="F367">
        <v>366</v>
      </c>
    </row>
    <row r="368" spans="1:6" x14ac:dyDescent="0.3">
      <c r="A368" t="s">
        <v>1719</v>
      </c>
      <c r="B368" t="s">
        <v>764</v>
      </c>
      <c r="C368" s="35">
        <v>42403</v>
      </c>
      <c r="D368" t="s">
        <v>312</v>
      </c>
      <c r="E368" t="s">
        <v>336</v>
      </c>
      <c r="F368">
        <v>367</v>
      </c>
    </row>
    <row r="369" spans="1:6" x14ac:dyDescent="0.3">
      <c r="A369" t="s">
        <v>1720</v>
      </c>
      <c r="B369" t="s">
        <v>169</v>
      </c>
      <c r="C369" s="35">
        <v>42255</v>
      </c>
      <c r="D369" t="s">
        <v>316</v>
      </c>
      <c r="E369" t="s">
        <v>336</v>
      </c>
      <c r="F369">
        <v>368</v>
      </c>
    </row>
    <row r="370" spans="1:6" x14ac:dyDescent="0.3">
      <c r="A370" t="s">
        <v>1721</v>
      </c>
      <c r="B370" t="s">
        <v>257</v>
      </c>
      <c r="C370" s="35">
        <v>40191</v>
      </c>
      <c r="D370" t="s">
        <v>312</v>
      </c>
      <c r="E370" t="s">
        <v>322</v>
      </c>
      <c r="F370">
        <v>369</v>
      </c>
    </row>
    <row r="371" spans="1:6" x14ac:dyDescent="0.3">
      <c r="A371" t="s">
        <v>1722</v>
      </c>
      <c r="B371" t="s">
        <v>239</v>
      </c>
      <c r="C371" s="35">
        <v>41164</v>
      </c>
      <c r="D371" t="s">
        <v>316</v>
      </c>
      <c r="E371" t="s">
        <v>322</v>
      </c>
      <c r="F371">
        <v>370</v>
      </c>
    </row>
    <row r="372" spans="1:6" x14ac:dyDescent="0.3">
      <c r="A372" t="s">
        <v>1723</v>
      </c>
      <c r="B372" t="s">
        <v>767</v>
      </c>
      <c r="C372" s="35">
        <v>41244</v>
      </c>
      <c r="D372" t="s">
        <v>312</v>
      </c>
      <c r="E372" t="s">
        <v>355</v>
      </c>
      <c r="F372">
        <v>371</v>
      </c>
    </row>
    <row r="373" spans="1:6" x14ac:dyDescent="0.3">
      <c r="A373" t="s">
        <v>1724</v>
      </c>
      <c r="B373" t="s">
        <v>242</v>
      </c>
      <c r="C373" s="35">
        <v>39448</v>
      </c>
      <c r="D373" t="s">
        <v>312</v>
      </c>
      <c r="F373">
        <v>372</v>
      </c>
    </row>
    <row r="374" spans="1:6" x14ac:dyDescent="0.3">
      <c r="A374" t="s">
        <v>1725</v>
      </c>
      <c r="B374" t="s">
        <v>253</v>
      </c>
      <c r="C374" s="35">
        <v>41540</v>
      </c>
      <c r="D374" t="s">
        <v>312</v>
      </c>
      <c r="E374" t="s">
        <v>336</v>
      </c>
      <c r="F374">
        <v>373</v>
      </c>
    </row>
    <row r="375" spans="1:6" x14ac:dyDescent="0.3">
      <c r="A375" t="s">
        <v>1726</v>
      </c>
      <c r="B375" t="s">
        <v>156</v>
      </c>
      <c r="C375" s="35">
        <v>40179</v>
      </c>
      <c r="D375" t="s">
        <v>312</v>
      </c>
      <c r="F375">
        <v>374</v>
      </c>
    </row>
    <row r="376" spans="1:6" x14ac:dyDescent="0.3">
      <c r="A376" t="s">
        <v>1727</v>
      </c>
      <c r="B376" t="s">
        <v>63</v>
      </c>
      <c r="C376" s="35">
        <v>40665</v>
      </c>
      <c r="D376" t="s">
        <v>312</v>
      </c>
      <c r="F376">
        <v>375</v>
      </c>
    </row>
    <row r="377" spans="1:6" x14ac:dyDescent="0.3">
      <c r="A377" t="s">
        <v>1728</v>
      </c>
      <c r="B377" t="s">
        <v>163</v>
      </c>
      <c r="C377" s="35">
        <v>40179</v>
      </c>
      <c r="D377" t="s">
        <v>312</v>
      </c>
      <c r="F377">
        <v>376</v>
      </c>
    </row>
    <row r="378" spans="1:6" x14ac:dyDescent="0.3">
      <c r="A378" t="s">
        <v>1729</v>
      </c>
      <c r="B378" t="s">
        <v>255</v>
      </c>
      <c r="C378" s="35">
        <v>40617</v>
      </c>
      <c r="D378" t="s">
        <v>312</v>
      </c>
      <c r="F378">
        <v>377</v>
      </c>
    </row>
    <row r="379" spans="1:6" x14ac:dyDescent="0.3">
      <c r="A379" t="s">
        <v>1730</v>
      </c>
      <c r="B379" t="s">
        <v>258</v>
      </c>
      <c r="C379" s="35">
        <v>40498</v>
      </c>
      <c r="D379" t="s">
        <v>312</v>
      </c>
      <c r="F379">
        <v>378</v>
      </c>
    </row>
    <row r="380" spans="1:6" x14ac:dyDescent="0.3">
      <c r="A380" t="s">
        <v>1731</v>
      </c>
      <c r="B380" t="s">
        <v>261</v>
      </c>
      <c r="C380" s="35">
        <v>40433</v>
      </c>
      <c r="D380" t="s">
        <v>312</v>
      </c>
      <c r="F380">
        <v>379</v>
      </c>
    </row>
    <row r="381" spans="1:6" x14ac:dyDescent="0.3">
      <c r="A381" t="s">
        <v>1732</v>
      </c>
      <c r="B381" t="s">
        <v>263</v>
      </c>
      <c r="C381" s="35">
        <v>40198</v>
      </c>
      <c r="D381" t="s">
        <v>312</v>
      </c>
      <c r="F381">
        <v>380</v>
      </c>
    </row>
    <row r="382" spans="1:6" x14ac:dyDescent="0.3">
      <c r="A382" t="s">
        <v>1733</v>
      </c>
      <c r="B382" t="s">
        <v>274</v>
      </c>
      <c r="C382" s="35">
        <v>40179</v>
      </c>
      <c r="D382" t="s">
        <v>312</v>
      </c>
      <c r="F382">
        <v>381</v>
      </c>
    </row>
    <row r="383" spans="1:6" x14ac:dyDescent="0.3">
      <c r="A383" t="s">
        <v>1734</v>
      </c>
      <c r="B383" t="s">
        <v>275</v>
      </c>
      <c r="C383" s="35">
        <v>40179</v>
      </c>
      <c r="D383" t="s">
        <v>312</v>
      </c>
      <c r="F383">
        <v>382</v>
      </c>
    </row>
    <row r="384" spans="1:6" x14ac:dyDescent="0.3">
      <c r="A384" t="s">
        <v>1735</v>
      </c>
      <c r="B384" t="s">
        <v>276</v>
      </c>
      <c r="C384" s="35">
        <v>40179</v>
      </c>
      <c r="D384" t="s">
        <v>312</v>
      </c>
      <c r="F384">
        <v>383</v>
      </c>
    </row>
    <row r="385" spans="1:6" x14ac:dyDescent="0.3">
      <c r="A385" t="s">
        <v>1736</v>
      </c>
      <c r="B385" t="s">
        <v>238</v>
      </c>
      <c r="C385" s="35">
        <v>39448</v>
      </c>
      <c r="D385" t="s">
        <v>312</v>
      </c>
      <c r="F385">
        <v>384</v>
      </c>
    </row>
    <row r="386" spans="1:6" x14ac:dyDescent="0.3">
      <c r="A386" t="s">
        <v>1737</v>
      </c>
      <c r="B386" t="s">
        <v>769</v>
      </c>
      <c r="C386" s="35">
        <v>40909</v>
      </c>
      <c r="D386" t="s">
        <v>312</v>
      </c>
      <c r="E386" t="s">
        <v>355</v>
      </c>
      <c r="F386">
        <v>385</v>
      </c>
    </row>
    <row r="387" spans="1:6" x14ac:dyDescent="0.3">
      <c r="A387" t="s">
        <v>1738</v>
      </c>
      <c r="B387" t="s">
        <v>265</v>
      </c>
      <c r="C387" s="35">
        <v>41126</v>
      </c>
      <c r="D387" t="s">
        <v>312</v>
      </c>
      <c r="E387" t="s">
        <v>332</v>
      </c>
      <c r="F387">
        <v>386</v>
      </c>
    </row>
    <row r="388" spans="1:6" x14ac:dyDescent="0.3">
      <c r="A388" t="s">
        <v>671</v>
      </c>
      <c r="B388" t="s">
        <v>252</v>
      </c>
      <c r="C388" s="35">
        <v>40744</v>
      </c>
      <c r="D388" t="s">
        <v>312</v>
      </c>
      <c r="E388" t="s">
        <v>336</v>
      </c>
      <c r="F388">
        <v>387</v>
      </c>
    </row>
    <row r="389" spans="1:6" x14ac:dyDescent="0.3">
      <c r="A389" t="s">
        <v>1739</v>
      </c>
      <c r="B389" t="s">
        <v>770</v>
      </c>
      <c r="C389" s="35">
        <v>41505</v>
      </c>
      <c r="D389" t="s">
        <v>312</v>
      </c>
      <c r="E389" t="s">
        <v>317</v>
      </c>
      <c r="F389">
        <v>388</v>
      </c>
    </row>
    <row r="390" spans="1:6" x14ac:dyDescent="0.3">
      <c r="A390" t="s">
        <v>1740</v>
      </c>
      <c r="B390" t="s">
        <v>771</v>
      </c>
      <c r="C390" s="35">
        <v>42633</v>
      </c>
      <c r="D390" t="s">
        <v>312</v>
      </c>
      <c r="E390" t="s">
        <v>317</v>
      </c>
      <c r="F390">
        <v>389</v>
      </c>
    </row>
    <row r="391" spans="1:6" x14ac:dyDescent="0.3">
      <c r="A391" t="s">
        <v>1741</v>
      </c>
      <c r="B391" t="s">
        <v>267</v>
      </c>
      <c r="C391" s="35">
        <v>39593</v>
      </c>
      <c r="D391" t="s">
        <v>312</v>
      </c>
      <c r="E391" t="s">
        <v>367</v>
      </c>
      <c r="F391">
        <v>390</v>
      </c>
    </row>
    <row r="392" spans="1:6" x14ac:dyDescent="0.3">
      <c r="A392" t="s">
        <v>1742</v>
      </c>
      <c r="B392" t="s">
        <v>223</v>
      </c>
      <c r="C392" s="35">
        <v>41991</v>
      </c>
      <c r="D392" t="s">
        <v>312</v>
      </c>
      <c r="E392" t="s">
        <v>336</v>
      </c>
      <c r="F392">
        <v>391</v>
      </c>
    </row>
    <row r="393" spans="1:6" x14ac:dyDescent="0.3">
      <c r="A393" t="s">
        <v>1743</v>
      </c>
      <c r="B393" t="s">
        <v>277</v>
      </c>
      <c r="C393" s="35">
        <v>39829</v>
      </c>
      <c r="D393" t="s">
        <v>312</v>
      </c>
      <c r="F393">
        <v>392</v>
      </c>
    </row>
    <row r="394" spans="1:6" x14ac:dyDescent="0.3">
      <c r="A394" t="s">
        <v>1744</v>
      </c>
      <c r="B394" t="s">
        <v>266</v>
      </c>
      <c r="C394" s="35">
        <v>41583</v>
      </c>
      <c r="D394" t="s">
        <v>312</v>
      </c>
      <c r="E394" t="s">
        <v>355</v>
      </c>
      <c r="F394">
        <v>393</v>
      </c>
    </row>
    <row r="395" spans="1:6" x14ac:dyDescent="0.3">
      <c r="A395" t="s">
        <v>1745</v>
      </c>
      <c r="B395" t="s">
        <v>278</v>
      </c>
      <c r="C395" s="35">
        <v>40493</v>
      </c>
      <c r="D395" t="s">
        <v>312</v>
      </c>
      <c r="E395" t="s">
        <v>336</v>
      </c>
      <c r="F395">
        <v>394</v>
      </c>
    </row>
    <row r="396" spans="1:6" x14ac:dyDescent="0.3">
      <c r="A396" t="s">
        <v>1746</v>
      </c>
      <c r="B396" t="s">
        <v>175</v>
      </c>
      <c r="C396" s="35">
        <v>42612</v>
      </c>
      <c r="D396" t="s">
        <v>312</v>
      </c>
      <c r="E396" t="s">
        <v>313</v>
      </c>
      <c r="F396">
        <v>395</v>
      </c>
    </row>
    <row r="397" spans="1:6" x14ac:dyDescent="0.3">
      <c r="A397" t="s">
        <v>1747</v>
      </c>
      <c r="B397" t="s">
        <v>775</v>
      </c>
      <c r="C397" s="35">
        <v>37234</v>
      </c>
      <c r="D397" t="s">
        <v>312</v>
      </c>
      <c r="E397" t="s">
        <v>628</v>
      </c>
      <c r="F397">
        <v>396</v>
      </c>
    </row>
    <row r="398" spans="1:6" x14ac:dyDescent="0.3">
      <c r="A398" t="s">
        <v>1748</v>
      </c>
      <c r="B398" t="s">
        <v>234</v>
      </c>
      <c r="C398" s="35">
        <v>40017</v>
      </c>
      <c r="D398" t="s">
        <v>316</v>
      </c>
      <c r="E398" t="s">
        <v>317</v>
      </c>
      <c r="F398">
        <v>397</v>
      </c>
    </row>
    <row r="399" spans="1:6" x14ac:dyDescent="0.3">
      <c r="A399" t="s">
        <v>1749</v>
      </c>
      <c r="B399" t="s">
        <v>174</v>
      </c>
      <c r="C399" s="35">
        <v>41740</v>
      </c>
      <c r="D399" t="s">
        <v>316</v>
      </c>
      <c r="E399" t="s">
        <v>313</v>
      </c>
      <c r="F399">
        <v>398</v>
      </c>
    </row>
    <row r="400" spans="1:6" x14ac:dyDescent="0.3">
      <c r="A400" t="s">
        <v>1750</v>
      </c>
      <c r="B400" t="s">
        <v>777</v>
      </c>
      <c r="C400" s="35">
        <v>41614</v>
      </c>
      <c r="D400" t="s">
        <v>316</v>
      </c>
      <c r="E400" t="s">
        <v>336</v>
      </c>
      <c r="F400">
        <v>399</v>
      </c>
    </row>
    <row r="401" spans="1:6" x14ac:dyDescent="0.3">
      <c r="A401" t="s">
        <v>1751</v>
      </c>
      <c r="B401" t="s">
        <v>264</v>
      </c>
      <c r="C401" s="35">
        <v>40921</v>
      </c>
      <c r="D401" t="s">
        <v>312</v>
      </c>
      <c r="E401" t="s">
        <v>313</v>
      </c>
      <c r="F401">
        <v>400</v>
      </c>
    </row>
    <row r="402" spans="1:6" x14ac:dyDescent="0.3">
      <c r="A402" t="s">
        <v>1752</v>
      </c>
      <c r="B402" t="s">
        <v>271</v>
      </c>
      <c r="C402" s="35">
        <v>39694</v>
      </c>
      <c r="D402" t="s">
        <v>312</v>
      </c>
      <c r="E402" t="s">
        <v>319</v>
      </c>
      <c r="F402">
        <v>401</v>
      </c>
    </row>
    <row r="403" spans="1:6" x14ac:dyDescent="0.3">
      <c r="A403" t="s">
        <v>1753</v>
      </c>
      <c r="B403" t="s">
        <v>171</v>
      </c>
      <c r="C403" s="35">
        <v>40190</v>
      </c>
      <c r="D403" t="s">
        <v>312</v>
      </c>
      <c r="F403">
        <v>402</v>
      </c>
    </row>
    <row r="404" spans="1:6" x14ac:dyDescent="0.3">
      <c r="A404" t="s">
        <v>1754</v>
      </c>
      <c r="B404" t="s">
        <v>779</v>
      </c>
      <c r="C404" s="35">
        <v>33236</v>
      </c>
      <c r="D404" t="s">
        <v>312</v>
      </c>
      <c r="E404" t="s">
        <v>336</v>
      </c>
      <c r="F404">
        <v>403</v>
      </c>
    </row>
    <row r="405" spans="1:6" x14ac:dyDescent="0.3">
      <c r="A405" t="s">
        <v>1755</v>
      </c>
      <c r="B405" t="s">
        <v>232</v>
      </c>
      <c r="C405" s="35">
        <v>41832</v>
      </c>
      <c r="D405" t="s">
        <v>312</v>
      </c>
      <c r="E405" t="s">
        <v>332</v>
      </c>
      <c r="F405">
        <v>404</v>
      </c>
    </row>
    <row r="406" spans="1:6" x14ac:dyDescent="0.3">
      <c r="A406" t="s">
        <v>1756</v>
      </c>
      <c r="B406" t="s">
        <v>781</v>
      </c>
      <c r="C406" s="35">
        <v>31182</v>
      </c>
      <c r="D406" t="s">
        <v>312</v>
      </c>
      <c r="E406" t="s">
        <v>319</v>
      </c>
      <c r="F406">
        <v>405</v>
      </c>
    </row>
    <row r="407" spans="1:6" x14ac:dyDescent="0.3">
      <c r="A407" t="s">
        <v>1757</v>
      </c>
      <c r="B407" t="s">
        <v>230</v>
      </c>
      <c r="C407" s="35">
        <v>41961</v>
      </c>
      <c r="D407" t="s">
        <v>312</v>
      </c>
      <c r="E407" t="s">
        <v>319</v>
      </c>
      <c r="F407">
        <v>406</v>
      </c>
    </row>
    <row r="408" spans="1:6" x14ac:dyDescent="0.3">
      <c r="A408" t="s">
        <v>1758</v>
      </c>
      <c r="B408" t="s">
        <v>262</v>
      </c>
      <c r="C408" s="35">
        <v>41390</v>
      </c>
      <c r="D408" t="s">
        <v>312</v>
      </c>
      <c r="E408" t="s">
        <v>322</v>
      </c>
      <c r="F408">
        <v>407</v>
      </c>
    </row>
    <row r="409" spans="1:6" x14ac:dyDescent="0.3">
      <c r="A409" t="s">
        <v>1759</v>
      </c>
      <c r="B409" t="s">
        <v>279</v>
      </c>
      <c r="C409" s="35">
        <v>40472</v>
      </c>
      <c r="D409" t="s">
        <v>312</v>
      </c>
      <c r="E409" t="s">
        <v>313</v>
      </c>
      <c r="F409">
        <v>408</v>
      </c>
    </row>
    <row r="410" spans="1:6" x14ac:dyDescent="0.3">
      <c r="A410" t="s">
        <v>1760</v>
      </c>
      <c r="B410" t="s">
        <v>784</v>
      </c>
      <c r="C410" s="35">
        <v>41639</v>
      </c>
      <c r="D410" t="s">
        <v>312</v>
      </c>
      <c r="E410" t="s">
        <v>355</v>
      </c>
      <c r="F410">
        <v>409</v>
      </c>
    </row>
    <row r="411" spans="1:6" x14ac:dyDescent="0.3">
      <c r="A411" t="s">
        <v>1761</v>
      </c>
      <c r="B411" t="s">
        <v>786</v>
      </c>
      <c r="C411" s="35">
        <v>40414</v>
      </c>
      <c r="D411" t="s">
        <v>312</v>
      </c>
      <c r="E411" t="s">
        <v>332</v>
      </c>
      <c r="F411">
        <v>410</v>
      </c>
    </row>
    <row r="412" spans="1:6" x14ac:dyDescent="0.3">
      <c r="A412" t="s">
        <v>1762</v>
      </c>
      <c r="B412" t="s">
        <v>114</v>
      </c>
      <c r="C412" s="35">
        <v>41702</v>
      </c>
      <c r="D412" t="s">
        <v>316</v>
      </c>
      <c r="E412" t="s">
        <v>336</v>
      </c>
      <c r="F412">
        <v>411</v>
      </c>
    </row>
    <row r="413" spans="1:6" x14ac:dyDescent="0.3">
      <c r="A413" t="s">
        <v>1763</v>
      </c>
      <c r="B413" t="s">
        <v>235</v>
      </c>
      <c r="C413" s="35">
        <v>42171</v>
      </c>
      <c r="D413" t="s">
        <v>312</v>
      </c>
      <c r="E413" t="s">
        <v>336</v>
      </c>
      <c r="F413">
        <v>412</v>
      </c>
    </row>
    <row r="414" spans="1:6" x14ac:dyDescent="0.3">
      <c r="A414" t="s">
        <v>1764</v>
      </c>
      <c r="B414" t="s">
        <v>788</v>
      </c>
      <c r="C414" s="35">
        <v>39952</v>
      </c>
      <c r="D414" t="s">
        <v>312</v>
      </c>
      <c r="E414" t="s">
        <v>322</v>
      </c>
      <c r="F414">
        <v>413</v>
      </c>
    </row>
    <row r="415" spans="1:6" x14ac:dyDescent="0.3">
      <c r="A415" t="s">
        <v>1765</v>
      </c>
      <c r="B415" t="s">
        <v>790</v>
      </c>
      <c r="C415" s="35">
        <v>40869</v>
      </c>
      <c r="D415" t="s">
        <v>312</v>
      </c>
      <c r="E415" t="s">
        <v>336</v>
      </c>
      <c r="F415">
        <v>414</v>
      </c>
    </row>
    <row r="416" spans="1:6" x14ac:dyDescent="0.3">
      <c r="A416" t="s">
        <v>1766</v>
      </c>
      <c r="B416" t="s">
        <v>281</v>
      </c>
      <c r="C416" s="35">
        <v>40342</v>
      </c>
      <c r="D416" t="s">
        <v>312</v>
      </c>
      <c r="E416" t="s">
        <v>336</v>
      </c>
      <c r="F416">
        <v>415</v>
      </c>
    </row>
    <row r="417" spans="1:6" x14ac:dyDescent="0.3">
      <c r="A417" t="s">
        <v>1767</v>
      </c>
      <c r="B417" t="s">
        <v>793</v>
      </c>
      <c r="C417" s="35">
        <v>38010</v>
      </c>
      <c r="D417" t="s">
        <v>312</v>
      </c>
      <c r="E417" t="s">
        <v>317</v>
      </c>
      <c r="F417">
        <v>416</v>
      </c>
    </row>
    <row r="418" spans="1:6" x14ac:dyDescent="0.3">
      <c r="A418" t="s">
        <v>1768</v>
      </c>
      <c r="B418" t="s">
        <v>185</v>
      </c>
      <c r="C418" s="35">
        <v>42810</v>
      </c>
      <c r="D418" t="s">
        <v>312</v>
      </c>
      <c r="E418" t="s">
        <v>317</v>
      </c>
      <c r="F418">
        <v>417</v>
      </c>
    </row>
    <row r="419" spans="1:6" x14ac:dyDescent="0.3">
      <c r="A419" t="s">
        <v>1769</v>
      </c>
      <c r="B419" t="s">
        <v>240</v>
      </c>
      <c r="C419" s="35">
        <v>42121</v>
      </c>
      <c r="D419" t="s">
        <v>312</v>
      </c>
      <c r="E419" t="s">
        <v>319</v>
      </c>
      <c r="F419">
        <v>418</v>
      </c>
    </row>
    <row r="420" spans="1:6" x14ac:dyDescent="0.3">
      <c r="A420" t="s">
        <v>1770</v>
      </c>
      <c r="B420" t="s">
        <v>795</v>
      </c>
      <c r="C420" s="35">
        <v>40853</v>
      </c>
      <c r="D420" t="s">
        <v>312</v>
      </c>
      <c r="E420" t="s">
        <v>355</v>
      </c>
      <c r="F420">
        <v>419</v>
      </c>
    </row>
    <row r="421" spans="1:6" x14ac:dyDescent="0.3">
      <c r="A421" t="s">
        <v>1771</v>
      </c>
      <c r="B421" t="s">
        <v>66</v>
      </c>
      <c r="C421" s="35">
        <v>40766</v>
      </c>
      <c r="D421" t="s">
        <v>316</v>
      </c>
      <c r="E421" t="s">
        <v>322</v>
      </c>
      <c r="F421">
        <v>420</v>
      </c>
    </row>
    <row r="422" spans="1:6" x14ac:dyDescent="0.3">
      <c r="A422" t="s">
        <v>1772</v>
      </c>
      <c r="B422" t="s">
        <v>147</v>
      </c>
      <c r="C422" s="35">
        <v>45570</v>
      </c>
      <c r="D422" t="s">
        <v>312</v>
      </c>
      <c r="E422" t="s">
        <v>336</v>
      </c>
      <c r="F422">
        <v>421</v>
      </c>
    </row>
    <row r="423" spans="1:6" x14ac:dyDescent="0.3">
      <c r="A423" t="s">
        <v>1773</v>
      </c>
      <c r="B423" t="s">
        <v>799</v>
      </c>
      <c r="C423" s="35">
        <v>41936</v>
      </c>
      <c r="D423" t="s">
        <v>312</v>
      </c>
      <c r="E423" t="s">
        <v>332</v>
      </c>
      <c r="F423">
        <v>422</v>
      </c>
    </row>
    <row r="424" spans="1:6" x14ac:dyDescent="0.3">
      <c r="A424" t="s">
        <v>1774</v>
      </c>
      <c r="B424" t="s">
        <v>801</v>
      </c>
      <c r="C424" s="35">
        <v>24696</v>
      </c>
      <c r="D424" t="s">
        <v>312</v>
      </c>
      <c r="E424" t="s">
        <v>313</v>
      </c>
      <c r="F424">
        <v>423</v>
      </c>
    </row>
    <row r="425" spans="1:6" x14ac:dyDescent="0.3">
      <c r="A425" t="s">
        <v>1775</v>
      </c>
      <c r="B425" t="s">
        <v>802</v>
      </c>
      <c r="C425" s="35">
        <v>41815</v>
      </c>
      <c r="D425" t="s">
        <v>316</v>
      </c>
      <c r="E425" t="s">
        <v>319</v>
      </c>
      <c r="F425">
        <v>424</v>
      </c>
    </row>
    <row r="426" spans="1:6" x14ac:dyDescent="0.3">
      <c r="A426" t="s">
        <v>1776</v>
      </c>
      <c r="B426" t="s">
        <v>180</v>
      </c>
      <c r="C426" s="35">
        <v>41931</v>
      </c>
      <c r="D426" t="s">
        <v>316</v>
      </c>
      <c r="E426" t="s">
        <v>322</v>
      </c>
      <c r="F426">
        <v>425</v>
      </c>
    </row>
    <row r="427" spans="1:6" x14ac:dyDescent="0.3">
      <c r="A427" t="s">
        <v>1777</v>
      </c>
      <c r="B427" t="s">
        <v>805</v>
      </c>
      <c r="C427" s="35">
        <v>37402</v>
      </c>
      <c r="D427" t="s">
        <v>312</v>
      </c>
      <c r="E427" t="s">
        <v>317</v>
      </c>
      <c r="F427">
        <v>426</v>
      </c>
    </row>
    <row r="428" spans="1:6" x14ac:dyDescent="0.3">
      <c r="A428" t="s">
        <v>1778</v>
      </c>
      <c r="B428" t="s">
        <v>806</v>
      </c>
      <c r="C428" s="35">
        <v>38131</v>
      </c>
      <c r="D428" t="s">
        <v>312</v>
      </c>
      <c r="E428" t="s">
        <v>319</v>
      </c>
      <c r="F428">
        <v>427</v>
      </c>
    </row>
    <row r="429" spans="1:6" x14ac:dyDescent="0.3">
      <c r="A429" t="s">
        <v>1779</v>
      </c>
      <c r="B429" t="s">
        <v>268</v>
      </c>
      <c r="C429" s="35">
        <v>41560</v>
      </c>
      <c r="D429" t="s">
        <v>312</v>
      </c>
      <c r="E429" t="s">
        <v>313</v>
      </c>
      <c r="F429">
        <v>428</v>
      </c>
    </row>
    <row r="430" spans="1:6" x14ac:dyDescent="0.3">
      <c r="A430" t="s">
        <v>1780</v>
      </c>
      <c r="B430" t="s">
        <v>808</v>
      </c>
      <c r="C430" s="35">
        <v>23045</v>
      </c>
      <c r="D430" t="s">
        <v>312</v>
      </c>
      <c r="E430" t="s">
        <v>319</v>
      </c>
      <c r="F430">
        <v>429</v>
      </c>
    </row>
    <row r="431" spans="1:6" x14ac:dyDescent="0.3">
      <c r="A431" t="s">
        <v>1781</v>
      </c>
      <c r="B431" t="s">
        <v>270</v>
      </c>
      <c r="C431" s="35">
        <v>41261</v>
      </c>
      <c r="D431" t="s">
        <v>312</v>
      </c>
      <c r="E431" t="s">
        <v>313</v>
      </c>
      <c r="F431">
        <v>430</v>
      </c>
    </row>
    <row r="432" spans="1:6" x14ac:dyDescent="0.3">
      <c r="A432" t="s">
        <v>1782</v>
      </c>
      <c r="B432" t="s">
        <v>272</v>
      </c>
      <c r="C432" s="35">
        <v>41766</v>
      </c>
      <c r="D432" t="s">
        <v>312</v>
      </c>
      <c r="E432" t="s">
        <v>319</v>
      </c>
      <c r="F432">
        <v>431</v>
      </c>
    </row>
    <row r="433" spans="1:6" x14ac:dyDescent="0.3">
      <c r="A433" t="s">
        <v>1783</v>
      </c>
      <c r="B433" t="s">
        <v>273</v>
      </c>
      <c r="C433" s="35">
        <v>41596</v>
      </c>
      <c r="D433" t="s">
        <v>312</v>
      </c>
      <c r="E433" t="s">
        <v>319</v>
      </c>
      <c r="F433">
        <v>432</v>
      </c>
    </row>
    <row r="434" spans="1:6" x14ac:dyDescent="0.3">
      <c r="A434" t="s">
        <v>1784</v>
      </c>
      <c r="B434" t="s">
        <v>811</v>
      </c>
      <c r="C434" s="35">
        <v>30705</v>
      </c>
      <c r="D434" t="s">
        <v>312</v>
      </c>
      <c r="E434" t="s">
        <v>355</v>
      </c>
      <c r="F434">
        <v>433</v>
      </c>
    </row>
    <row r="435" spans="1:6" x14ac:dyDescent="0.3">
      <c r="A435" t="s">
        <v>1785</v>
      </c>
      <c r="B435" t="s">
        <v>812</v>
      </c>
      <c r="C435" s="35">
        <v>40362</v>
      </c>
      <c r="D435" t="s">
        <v>312</v>
      </c>
      <c r="E435" t="s">
        <v>313</v>
      </c>
      <c r="F435">
        <v>434</v>
      </c>
    </row>
    <row r="436" spans="1:6" x14ac:dyDescent="0.3">
      <c r="A436" t="s">
        <v>1786</v>
      </c>
      <c r="B436" t="s">
        <v>286</v>
      </c>
      <c r="C436" s="35">
        <v>41541</v>
      </c>
      <c r="D436" t="s">
        <v>312</v>
      </c>
      <c r="E436" t="s">
        <v>336</v>
      </c>
      <c r="F436">
        <v>435</v>
      </c>
    </row>
    <row r="437" spans="1:6" x14ac:dyDescent="0.3">
      <c r="A437" t="s">
        <v>1787</v>
      </c>
      <c r="B437" t="s">
        <v>246</v>
      </c>
      <c r="C437" s="35">
        <v>40761</v>
      </c>
      <c r="D437" t="s">
        <v>312</v>
      </c>
      <c r="E437" t="s">
        <v>367</v>
      </c>
      <c r="F437">
        <v>436</v>
      </c>
    </row>
    <row r="438" spans="1:6" x14ac:dyDescent="0.3">
      <c r="A438" t="s">
        <v>1788</v>
      </c>
      <c r="B438" t="s">
        <v>106</v>
      </c>
      <c r="C438" s="35">
        <v>41956</v>
      </c>
      <c r="D438" t="s">
        <v>312</v>
      </c>
      <c r="E438" t="s">
        <v>367</v>
      </c>
      <c r="F438">
        <v>437</v>
      </c>
    </row>
    <row r="439" spans="1:6" x14ac:dyDescent="0.3">
      <c r="A439" t="s">
        <v>1789</v>
      </c>
      <c r="B439" t="s">
        <v>154</v>
      </c>
      <c r="C439" s="35">
        <v>41068</v>
      </c>
      <c r="D439" t="s">
        <v>312</v>
      </c>
      <c r="E439" t="s">
        <v>367</v>
      </c>
      <c r="F439">
        <v>438</v>
      </c>
    </row>
    <row r="440" spans="1:6" x14ac:dyDescent="0.3">
      <c r="A440" t="s">
        <v>1790</v>
      </c>
      <c r="B440" t="s">
        <v>816</v>
      </c>
      <c r="C440" s="35">
        <v>22518</v>
      </c>
      <c r="D440" t="s">
        <v>312</v>
      </c>
      <c r="E440" t="s">
        <v>319</v>
      </c>
      <c r="F440">
        <v>439</v>
      </c>
    </row>
    <row r="441" spans="1:6" x14ac:dyDescent="0.3">
      <c r="A441" t="s">
        <v>1791</v>
      </c>
      <c r="B441" t="s">
        <v>817</v>
      </c>
      <c r="C441" s="35">
        <v>23045</v>
      </c>
      <c r="D441" t="s">
        <v>312</v>
      </c>
      <c r="E441" t="s">
        <v>319</v>
      </c>
      <c r="F441">
        <v>440</v>
      </c>
    </row>
    <row r="442" spans="1:6" x14ac:dyDescent="0.3">
      <c r="A442" t="s">
        <v>1792</v>
      </c>
      <c r="B442" t="s">
        <v>818</v>
      </c>
      <c r="C442" s="35">
        <v>38262</v>
      </c>
      <c r="D442" t="s">
        <v>316</v>
      </c>
      <c r="E442" t="s">
        <v>313</v>
      </c>
      <c r="F442">
        <v>441</v>
      </c>
    </row>
    <row r="443" spans="1:6" x14ac:dyDescent="0.3">
      <c r="A443" t="s">
        <v>1793</v>
      </c>
      <c r="B443" t="s">
        <v>820</v>
      </c>
      <c r="C443" s="35">
        <v>34681</v>
      </c>
      <c r="D443" t="s">
        <v>312</v>
      </c>
      <c r="E443" t="s">
        <v>332</v>
      </c>
      <c r="F443">
        <v>442</v>
      </c>
    </row>
    <row r="444" spans="1:6" x14ac:dyDescent="0.3">
      <c r="A444" t="s">
        <v>1794</v>
      </c>
      <c r="B444" t="s">
        <v>821</v>
      </c>
      <c r="C444" s="35">
        <v>34388</v>
      </c>
      <c r="D444" t="s">
        <v>312</v>
      </c>
      <c r="E444" t="s">
        <v>319</v>
      </c>
      <c r="F444">
        <v>443</v>
      </c>
    </row>
    <row r="445" spans="1:6" x14ac:dyDescent="0.3">
      <c r="A445" t="s">
        <v>1795</v>
      </c>
      <c r="B445" t="s">
        <v>822</v>
      </c>
      <c r="C445" s="35">
        <v>40002</v>
      </c>
      <c r="D445" t="s">
        <v>312</v>
      </c>
      <c r="E445" t="s">
        <v>322</v>
      </c>
      <c r="F445">
        <v>444</v>
      </c>
    </row>
    <row r="446" spans="1:6" x14ac:dyDescent="0.3">
      <c r="A446" t="s">
        <v>1796</v>
      </c>
      <c r="B446" t="s">
        <v>222</v>
      </c>
      <c r="C446" s="35">
        <v>41400</v>
      </c>
      <c r="D446" t="s">
        <v>316</v>
      </c>
      <c r="E446" t="s">
        <v>336</v>
      </c>
      <c r="F446">
        <v>445</v>
      </c>
    </row>
    <row r="447" spans="1:6" x14ac:dyDescent="0.3">
      <c r="A447" t="s">
        <v>1797</v>
      </c>
      <c r="B447" t="s">
        <v>823</v>
      </c>
      <c r="C447" s="35">
        <v>40433</v>
      </c>
      <c r="D447" t="s">
        <v>312</v>
      </c>
      <c r="E447" t="s">
        <v>319</v>
      </c>
      <c r="F447">
        <v>446</v>
      </c>
    </row>
    <row r="448" spans="1:6" x14ac:dyDescent="0.3">
      <c r="A448" t="s">
        <v>1798</v>
      </c>
      <c r="B448" t="s">
        <v>824</v>
      </c>
      <c r="C448" s="35">
        <v>41464</v>
      </c>
      <c r="D448" t="s">
        <v>312</v>
      </c>
      <c r="E448" t="s">
        <v>319</v>
      </c>
      <c r="F448">
        <v>447</v>
      </c>
    </row>
    <row r="449" spans="1:6" x14ac:dyDescent="0.3">
      <c r="A449" t="s">
        <v>1799</v>
      </c>
      <c r="B449" t="s">
        <v>825</v>
      </c>
      <c r="C449" s="35">
        <v>39801</v>
      </c>
      <c r="D449" t="s">
        <v>316</v>
      </c>
      <c r="E449" t="s">
        <v>319</v>
      </c>
      <c r="F449">
        <v>448</v>
      </c>
    </row>
    <row r="450" spans="1:6" x14ac:dyDescent="0.3">
      <c r="A450" t="s">
        <v>1800</v>
      </c>
      <c r="B450" t="s">
        <v>827</v>
      </c>
      <c r="C450" s="35">
        <v>39639</v>
      </c>
      <c r="D450" t="s">
        <v>312</v>
      </c>
      <c r="E450" t="s">
        <v>355</v>
      </c>
      <c r="F450">
        <v>449</v>
      </c>
    </row>
    <row r="451" spans="1:6" x14ac:dyDescent="0.3">
      <c r="A451" t="s">
        <v>1801</v>
      </c>
      <c r="B451" t="s">
        <v>828</v>
      </c>
      <c r="C451" s="35">
        <v>37630</v>
      </c>
      <c r="D451" t="s">
        <v>312</v>
      </c>
      <c r="E451" t="s">
        <v>355</v>
      </c>
      <c r="F451">
        <v>450</v>
      </c>
    </row>
    <row r="452" spans="1:6" x14ac:dyDescent="0.3">
      <c r="A452" t="s">
        <v>1802</v>
      </c>
      <c r="B452" t="s">
        <v>830</v>
      </c>
      <c r="C452" s="35">
        <v>40874</v>
      </c>
      <c r="D452" t="s">
        <v>312</v>
      </c>
      <c r="E452" t="s">
        <v>317</v>
      </c>
      <c r="F452">
        <v>451</v>
      </c>
    </row>
    <row r="453" spans="1:6" x14ac:dyDescent="0.3">
      <c r="A453" t="s">
        <v>1803</v>
      </c>
      <c r="B453" t="s">
        <v>155</v>
      </c>
      <c r="C453" s="35">
        <v>40340</v>
      </c>
      <c r="D453" t="s">
        <v>312</v>
      </c>
      <c r="E453" t="s">
        <v>317</v>
      </c>
      <c r="F453">
        <v>452</v>
      </c>
    </row>
    <row r="454" spans="1:6" x14ac:dyDescent="0.3">
      <c r="A454" t="s">
        <v>1804</v>
      </c>
      <c r="B454" t="s">
        <v>831</v>
      </c>
      <c r="C454" s="35">
        <v>40913</v>
      </c>
      <c r="D454" t="s">
        <v>312</v>
      </c>
      <c r="E454" t="s">
        <v>330</v>
      </c>
      <c r="F454">
        <v>453</v>
      </c>
    </row>
    <row r="455" spans="1:6" x14ac:dyDescent="0.3">
      <c r="A455" t="s">
        <v>1805</v>
      </c>
      <c r="B455" t="s">
        <v>832</v>
      </c>
      <c r="C455" s="35">
        <v>42434</v>
      </c>
      <c r="D455" t="s">
        <v>312</v>
      </c>
      <c r="E455" t="s">
        <v>336</v>
      </c>
      <c r="F455">
        <v>454</v>
      </c>
    </row>
    <row r="456" spans="1:6" x14ac:dyDescent="0.3">
      <c r="A456" t="s">
        <v>1806</v>
      </c>
      <c r="B456" t="s">
        <v>833</v>
      </c>
      <c r="C456" s="35">
        <v>41183</v>
      </c>
      <c r="D456" t="s">
        <v>312</v>
      </c>
      <c r="E456" t="s">
        <v>332</v>
      </c>
      <c r="F456">
        <v>455</v>
      </c>
    </row>
    <row r="457" spans="1:6" x14ac:dyDescent="0.3">
      <c r="A457" t="s">
        <v>1807</v>
      </c>
      <c r="B457" t="s">
        <v>834</v>
      </c>
      <c r="C457" s="35">
        <v>39735</v>
      </c>
      <c r="D457" t="s">
        <v>312</v>
      </c>
      <c r="E457" t="s">
        <v>355</v>
      </c>
      <c r="F457">
        <v>456</v>
      </c>
    </row>
    <row r="458" spans="1:6" x14ac:dyDescent="0.3">
      <c r="A458" t="s">
        <v>1808</v>
      </c>
      <c r="B458" t="s">
        <v>836</v>
      </c>
      <c r="C458" s="35">
        <v>40852</v>
      </c>
      <c r="D458" t="s">
        <v>312</v>
      </c>
      <c r="E458" t="s">
        <v>319</v>
      </c>
      <c r="F458">
        <v>457</v>
      </c>
    </row>
    <row r="459" spans="1:6" x14ac:dyDescent="0.3">
      <c r="A459" t="s">
        <v>1809</v>
      </c>
      <c r="B459" t="s">
        <v>141</v>
      </c>
      <c r="C459" s="35">
        <v>42558</v>
      </c>
      <c r="D459" t="s">
        <v>312</v>
      </c>
      <c r="E459" t="s">
        <v>336</v>
      </c>
      <c r="F459">
        <v>458</v>
      </c>
    </row>
    <row r="460" spans="1:6" x14ac:dyDescent="0.3">
      <c r="A460" t="s">
        <v>1810</v>
      </c>
      <c r="B460" t="s">
        <v>838</v>
      </c>
      <c r="C460" s="35">
        <v>40245</v>
      </c>
      <c r="D460" t="s">
        <v>312</v>
      </c>
      <c r="E460" t="s">
        <v>355</v>
      </c>
      <c r="F460">
        <v>459</v>
      </c>
    </row>
    <row r="461" spans="1:6" x14ac:dyDescent="0.3">
      <c r="A461" t="s">
        <v>1811</v>
      </c>
      <c r="B461" t="s">
        <v>840</v>
      </c>
      <c r="C461" s="35">
        <v>31050</v>
      </c>
      <c r="D461" t="s">
        <v>312</v>
      </c>
      <c r="E461" t="s">
        <v>319</v>
      </c>
      <c r="F461">
        <v>460</v>
      </c>
    </row>
    <row r="462" spans="1:6" x14ac:dyDescent="0.3">
      <c r="A462" t="s">
        <v>1812</v>
      </c>
      <c r="B462" t="s">
        <v>841</v>
      </c>
      <c r="C462" s="35">
        <v>39637</v>
      </c>
      <c r="D462" t="s">
        <v>316</v>
      </c>
      <c r="E462" t="s">
        <v>367</v>
      </c>
      <c r="F462">
        <v>461</v>
      </c>
    </row>
    <row r="463" spans="1:6" x14ac:dyDescent="0.3">
      <c r="A463" t="s">
        <v>1813</v>
      </c>
      <c r="B463" t="s">
        <v>842</v>
      </c>
      <c r="C463" s="35">
        <v>40560</v>
      </c>
      <c r="D463" t="s">
        <v>312</v>
      </c>
      <c r="E463" t="s">
        <v>336</v>
      </c>
      <c r="F463">
        <v>462</v>
      </c>
    </row>
    <row r="464" spans="1:6" x14ac:dyDescent="0.3">
      <c r="A464" t="s">
        <v>1814</v>
      </c>
      <c r="B464" t="s">
        <v>843</v>
      </c>
      <c r="C464" s="35">
        <v>41971</v>
      </c>
      <c r="D464" t="s">
        <v>312</v>
      </c>
      <c r="E464" t="s">
        <v>319</v>
      </c>
      <c r="F464">
        <v>463</v>
      </c>
    </row>
    <row r="465" spans="1:6" x14ac:dyDescent="0.3">
      <c r="A465" t="s">
        <v>1815</v>
      </c>
      <c r="B465" t="s">
        <v>845</v>
      </c>
      <c r="C465" s="35">
        <v>40079</v>
      </c>
      <c r="D465" t="s">
        <v>312</v>
      </c>
      <c r="E465" t="s">
        <v>336</v>
      </c>
      <c r="F465">
        <v>464</v>
      </c>
    </row>
    <row r="466" spans="1:6" x14ac:dyDescent="0.3">
      <c r="A466" t="s">
        <v>1816</v>
      </c>
      <c r="B466" t="s">
        <v>847</v>
      </c>
      <c r="C466" s="35">
        <v>39323</v>
      </c>
      <c r="D466" t="s">
        <v>312</v>
      </c>
      <c r="E466" t="s">
        <v>313</v>
      </c>
      <c r="F466">
        <v>465</v>
      </c>
    </row>
    <row r="467" spans="1:6" x14ac:dyDescent="0.3">
      <c r="A467" t="s">
        <v>1817</v>
      </c>
      <c r="B467" t="s">
        <v>128</v>
      </c>
      <c r="C467" s="35">
        <v>40628</v>
      </c>
      <c r="D467" t="s">
        <v>312</v>
      </c>
      <c r="E467" t="s">
        <v>317</v>
      </c>
      <c r="F467">
        <v>466</v>
      </c>
    </row>
    <row r="468" spans="1:6" x14ac:dyDescent="0.3">
      <c r="A468" t="s">
        <v>1818</v>
      </c>
      <c r="B468" t="s">
        <v>848</v>
      </c>
      <c r="C468" s="35">
        <v>39905</v>
      </c>
      <c r="D468" t="s">
        <v>312</v>
      </c>
      <c r="E468" t="s">
        <v>336</v>
      </c>
      <c r="F468">
        <v>467</v>
      </c>
    </row>
    <row r="469" spans="1:6" x14ac:dyDescent="0.3">
      <c r="A469" t="s">
        <v>1819</v>
      </c>
      <c r="B469" t="s">
        <v>849</v>
      </c>
      <c r="C469" s="35">
        <v>42508</v>
      </c>
      <c r="D469" t="s">
        <v>316</v>
      </c>
      <c r="E469" t="s">
        <v>322</v>
      </c>
      <c r="F469">
        <v>468</v>
      </c>
    </row>
    <row r="470" spans="1:6" x14ac:dyDescent="0.3">
      <c r="A470" t="s">
        <v>1820</v>
      </c>
      <c r="B470" t="s">
        <v>851</v>
      </c>
      <c r="C470" s="35">
        <v>40871</v>
      </c>
      <c r="D470" t="s">
        <v>312</v>
      </c>
      <c r="E470" t="s">
        <v>336</v>
      </c>
      <c r="F470">
        <v>469</v>
      </c>
    </row>
    <row r="471" spans="1:6" x14ac:dyDescent="0.3">
      <c r="A471" t="s">
        <v>1821</v>
      </c>
      <c r="B471" t="s">
        <v>852</v>
      </c>
      <c r="C471" s="35">
        <v>39576</v>
      </c>
      <c r="D471" t="s">
        <v>312</v>
      </c>
      <c r="E471" t="s">
        <v>330</v>
      </c>
      <c r="F471">
        <v>470</v>
      </c>
    </row>
    <row r="472" spans="1:6" x14ac:dyDescent="0.3">
      <c r="A472" t="s">
        <v>1822</v>
      </c>
      <c r="B472" t="s">
        <v>853</v>
      </c>
      <c r="C472" s="35">
        <v>42005</v>
      </c>
      <c r="D472" t="s">
        <v>312</v>
      </c>
      <c r="E472" t="s">
        <v>332</v>
      </c>
      <c r="F472">
        <v>471</v>
      </c>
    </row>
    <row r="473" spans="1:6" x14ac:dyDescent="0.3">
      <c r="A473" t="s">
        <v>1823</v>
      </c>
      <c r="B473" t="s">
        <v>854</v>
      </c>
      <c r="C473" s="35">
        <v>40091</v>
      </c>
      <c r="D473" t="s">
        <v>312</v>
      </c>
      <c r="E473" t="s">
        <v>336</v>
      </c>
      <c r="F473">
        <v>472</v>
      </c>
    </row>
    <row r="474" spans="1:6" x14ac:dyDescent="0.3">
      <c r="A474" t="s">
        <v>1824</v>
      </c>
      <c r="B474" t="s">
        <v>634</v>
      </c>
      <c r="C474" s="35">
        <v>41219</v>
      </c>
      <c r="D474" t="s">
        <v>312</v>
      </c>
      <c r="E474" t="s">
        <v>317</v>
      </c>
      <c r="F474">
        <v>473</v>
      </c>
    </row>
    <row r="475" spans="1:6" x14ac:dyDescent="0.3">
      <c r="A475" t="s">
        <v>1825</v>
      </c>
      <c r="B475" t="s">
        <v>855</v>
      </c>
      <c r="C475" s="35">
        <v>40524</v>
      </c>
      <c r="D475" t="s">
        <v>312</v>
      </c>
      <c r="E475" t="s">
        <v>322</v>
      </c>
      <c r="F475">
        <v>474</v>
      </c>
    </row>
    <row r="476" spans="1:6" x14ac:dyDescent="0.3">
      <c r="A476" t="s">
        <v>1826</v>
      </c>
      <c r="B476" t="s">
        <v>856</v>
      </c>
      <c r="C476" s="35">
        <v>40793</v>
      </c>
      <c r="D476" t="s">
        <v>312</v>
      </c>
      <c r="E476" t="s">
        <v>336</v>
      </c>
      <c r="F476">
        <v>475</v>
      </c>
    </row>
    <row r="477" spans="1:6" x14ac:dyDescent="0.3">
      <c r="A477" t="s">
        <v>1827</v>
      </c>
      <c r="B477" t="s">
        <v>858</v>
      </c>
      <c r="C477" s="35">
        <v>41542</v>
      </c>
      <c r="D477" t="s">
        <v>312</v>
      </c>
      <c r="E477" t="s">
        <v>355</v>
      </c>
      <c r="F477">
        <v>476</v>
      </c>
    </row>
    <row r="478" spans="1:6" x14ac:dyDescent="0.3">
      <c r="A478" t="s">
        <v>1828</v>
      </c>
      <c r="B478" t="s">
        <v>859</v>
      </c>
      <c r="C478" s="35">
        <v>40213</v>
      </c>
      <c r="D478" t="s">
        <v>312</v>
      </c>
      <c r="E478" t="s">
        <v>336</v>
      </c>
      <c r="F478">
        <v>477</v>
      </c>
    </row>
    <row r="479" spans="1:6" x14ac:dyDescent="0.3">
      <c r="A479" t="s">
        <v>1829</v>
      </c>
      <c r="B479" t="s">
        <v>860</v>
      </c>
      <c r="C479" s="35">
        <v>40808</v>
      </c>
      <c r="D479" t="s">
        <v>312</v>
      </c>
      <c r="E479" t="s">
        <v>336</v>
      </c>
      <c r="F479">
        <v>478</v>
      </c>
    </row>
    <row r="480" spans="1:6" x14ac:dyDescent="0.3">
      <c r="A480" t="s">
        <v>1830</v>
      </c>
      <c r="B480" t="s">
        <v>861</v>
      </c>
      <c r="C480" s="35">
        <v>40461</v>
      </c>
      <c r="D480" t="s">
        <v>316</v>
      </c>
      <c r="E480" t="s">
        <v>317</v>
      </c>
      <c r="F480">
        <v>479</v>
      </c>
    </row>
    <row r="481" spans="1:6" x14ac:dyDescent="0.3">
      <c r="A481" t="s">
        <v>1831</v>
      </c>
      <c r="B481" t="s">
        <v>862</v>
      </c>
      <c r="C481" s="35">
        <v>41009</v>
      </c>
      <c r="D481" t="s">
        <v>312</v>
      </c>
      <c r="E481" t="s">
        <v>355</v>
      </c>
      <c r="F481">
        <v>480</v>
      </c>
    </row>
    <row r="482" spans="1:6" x14ac:dyDescent="0.3">
      <c r="A482" t="s">
        <v>1832</v>
      </c>
      <c r="B482" t="s">
        <v>863</v>
      </c>
      <c r="C482" s="35">
        <v>39972</v>
      </c>
      <c r="D482" t="s">
        <v>316</v>
      </c>
      <c r="E482" t="s">
        <v>319</v>
      </c>
      <c r="F482">
        <v>481</v>
      </c>
    </row>
    <row r="483" spans="1:6" x14ac:dyDescent="0.3">
      <c r="A483" t="s">
        <v>1833</v>
      </c>
      <c r="B483" t="s">
        <v>864</v>
      </c>
      <c r="C483" s="35">
        <v>39878</v>
      </c>
      <c r="D483" t="s">
        <v>316</v>
      </c>
      <c r="E483" t="s">
        <v>336</v>
      </c>
      <c r="F483">
        <v>482</v>
      </c>
    </row>
    <row r="484" spans="1:6" x14ac:dyDescent="0.3">
      <c r="A484" t="s">
        <v>1834</v>
      </c>
      <c r="B484" t="s">
        <v>208</v>
      </c>
      <c r="C484" s="35">
        <v>40022</v>
      </c>
      <c r="D484" t="s">
        <v>312</v>
      </c>
      <c r="E484" t="s">
        <v>355</v>
      </c>
      <c r="F484">
        <v>483</v>
      </c>
    </row>
    <row r="485" spans="1:6" x14ac:dyDescent="0.3">
      <c r="A485" t="s">
        <v>1835</v>
      </c>
      <c r="B485" t="s">
        <v>866</v>
      </c>
      <c r="C485" s="35">
        <v>25690</v>
      </c>
      <c r="D485" t="s">
        <v>312</v>
      </c>
      <c r="E485" t="s">
        <v>313</v>
      </c>
      <c r="F485">
        <v>484</v>
      </c>
    </row>
    <row r="486" spans="1:6" x14ac:dyDescent="0.3">
      <c r="A486" t="s">
        <v>1836</v>
      </c>
      <c r="B486" t="s">
        <v>867</v>
      </c>
      <c r="C486" s="35">
        <v>41620</v>
      </c>
      <c r="D486" t="s">
        <v>312</v>
      </c>
      <c r="E486" t="s">
        <v>355</v>
      </c>
      <c r="F486">
        <v>485</v>
      </c>
    </row>
    <row r="487" spans="1:6" x14ac:dyDescent="0.3">
      <c r="A487" t="s">
        <v>1837</v>
      </c>
      <c r="B487" t="s">
        <v>868</v>
      </c>
      <c r="C487" s="35">
        <v>38213</v>
      </c>
      <c r="D487" t="s">
        <v>312</v>
      </c>
      <c r="E487" t="s">
        <v>332</v>
      </c>
      <c r="F487">
        <v>486</v>
      </c>
    </row>
    <row r="488" spans="1:6" x14ac:dyDescent="0.3">
      <c r="A488" t="s">
        <v>1838</v>
      </c>
      <c r="B488" t="s">
        <v>873</v>
      </c>
      <c r="C488" s="35">
        <v>41212</v>
      </c>
      <c r="D488" t="s">
        <v>316</v>
      </c>
      <c r="E488" t="s">
        <v>355</v>
      </c>
      <c r="F488">
        <v>487</v>
      </c>
    </row>
    <row r="489" spans="1:6" x14ac:dyDescent="0.3">
      <c r="A489" t="s">
        <v>1839</v>
      </c>
      <c r="B489" t="s">
        <v>941</v>
      </c>
      <c r="C489" s="35">
        <v>42427</v>
      </c>
      <c r="D489" t="s">
        <v>312</v>
      </c>
      <c r="E489" t="s">
        <v>319</v>
      </c>
      <c r="F489">
        <v>488</v>
      </c>
    </row>
    <row r="490" spans="1:6" x14ac:dyDescent="0.3">
      <c r="A490" t="s">
        <v>1840</v>
      </c>
      <c r="B490" t="s">
        <v>944</v>
      </c>
      <c r="C490" s="35">
        <v>40628</v>
      </c>
      <c r="D490" t="s">
        <v>312</v>
      </c>
      <c r="E490" t="s">
        <v>319</v>
      </c>
      <c r="F490">
        <v>489</v>
      </c>
    </row>
    <row r="491" spans="1:6" x14ac:dyDescent="0.3">
      <c r="A491" t="s">
        <v>1841</v>
      </c>
      <c r="B491" t="s">
        <v>945</v>
      </c>
      <c r="C491" s="35">
        <v>37222</v>
      </c>
      <c r="D491" t="s">
        <v>312</v>
      </c>
      <c r="E491" t="s">
        <v>319</v>
      </c>
      <c r="F491">
        <v>490</v>
      </c>
    </row>
    <row r="492" spans="1:6" x14ac:dyDescent="0.3">
      <c r="A492" t="s">
        <v>1842</v>
      </c>
      <c r="B492" t="s">
        <v>946</v>
      </c>
      <c r="C492" s="35">
        <v>40615</v>
      </c>
      <c r="D492" t="s">
        <v>312</v>
      </c>
      <c r="E492" t="s">
        <v>322</v>
      </c>
      <c r="F492">
        <v>491</v>
      </c>
    </row>
    <row r="493" spans="1:6" x14ac:dyDescent="0.3">
      <c r="A493" t="s">
        <v>1843</v>
      </c>
      <c r="B493" t="s">
        <v>952</v>
      </c>
      <c r="C493" s="35">
        <v>41715</v>
      </c>
      <c r="D493" t="s">
        <v>312</v>
      </c>
      <c r="E493" t="s">
        <v>319</v>
      </c>
      <c r="F493">
        <v>492</v>
      </c>
    </row>
    <row r="494" spans="1:6" x14ac:dyDescent="0.3">
      <c r="A494" t="s">
        <v>1844</v>
      </c>
      <c r="B494" t="s">
        <v>952</v>
      </c>
      <c r="C494" s="35">
        <v>41715</v>
      </c>
      <c r="D494" t="s">
        <v>312</v>
      </c>
      <c r="E494" t="s">
        <v>319</v>
      </c>
      <c r="F494">
        <v>493</v>
      </c>
    </row>
    <row r="495" spans="1:6" x14ac:dyDescent="0.3">
      <c r="A495" t="s">
        <v>1845</v>
      </c>
      <c r="B495" t="s">
        <v>954</v>
      </c>
      <c r="C495" s="35">
        <v>39007</v>
      </c>
      <c r="D495" t="s">
        <v>312</v>
      </c>
      <c r="E495" t="s">
        <v>336</v>
      </c>
      <c r="F495">
        <v>494</v>
      </c>
    </row>
    <row r="496" spans="1:6" x14ac:dyDescent="0.3">
      <c r="A496" t="s">
        <v>1846</v>
      </c>
      <c r="B496" t="s">
        <v>956</v>
      </c>
      <c r="C496" s="35">
        <v>29909</v>
      </c>
      <c r="D496" t="s">
        <v>312</v>
      </c>
      <c r="E496" t="s">
        <v>332</v>
      </c>
      <c r="F496">
        <v>495</v>
      </c>
    </row>
    <row r="497" spans="1:6" x14ac:dyDescent="0.3">
      <c r="A497" t="s">
        <v>1847</v>
      </c>
      <c r="B497" t="s">
        <v>958</v>
      </c>
      <c r="C497" s="35">
        <v>41242</v>
      </c>
      <c r="D497" t="s">
        <v>312</v>
      </c>
      <c r="E497" t="s">
        <v>332</v>
      </c>
      <c r="F497">
        <v>496</v>
      </c>
    </row>
    <row r="498" spans="1:6" x14ac:dyDescent="0.3">
      <c r="A498" t="s">
        <v>1848</v>
      </c>
      <c r="B498" t="s">
        <v>974</v>
      </c>
      <c r="C498" s="35">
        <v>42103</v>
      </c>
      <c r="D498" t="s">
        <v>312</v>
      </c>
      <c r="E498" t="s">
        <v>319</v>
      </c>
      <c r="F498">
        <v>497</v>
      </c>
    </row>
    <row r="499" spans="1:6" x14ac:dyDescent="0.3">
      <c r="A499" t="s">
        <v>1849</v>
      </c>
      <c r="B499" t="s">
        <v>975</v>
      </c>
      <c r="C499" s="35">
        <v>40920</v>
      </c>
      <c r="D499" t="s">
        <v>316</v>
      </c>
      <c r="E499" t="s">
        <v>322</v>
      </c>
      <c r="F499">
        <v>498</v>
      </c>
    </row>
    <row r="500" spans="1:6" x14ac:dyDescent="0.3">
      <c r="A500" t="s">
        <v>1850</v>
      </c>
      <c r="B500" t="s">
        <v>976</v>
      </c>
      <c r="C500" s="35">
        <v>39282</v>
      </c>
      <c r="D500" t="s">
        <v>312</v>
      </c>
      <c r="E500" t="s">
        <v>336</v>
      </c>
      <c r="F500">
        <v>499</v>
      </c>
    </row>
    <row r="501" spans="1:6" x14ac:dyDescent="0.3">
      <c r="A501" t="s">
        <v>1851</v>
      </c>
      <c r="B501" t="s">
        <v>977</v>
      </c>
      <c r="C501" s="35">
        <v>42096</v>
      </c>
      <c r="D501" t="s">
        <v>312</v>
      </c>
      <c r="E501" t="s">
        <v>319</v>
      </c>
      <c r="F501">
        <v>500</v>
      </c>
    </row>
    <row r="502" spans="1:6" x14ac:dyDescent="0.3">
      <c r="A502" t="s">
        <v>1852</v>
      </c>
      <c r="B502" t="s">
        <v>978</v>
      </c>
      <c r="C502" s="35">
        <v>23544</v>
      </c>
      <c r="D502" t="s">
        <v>312</v>
      </c>
      <c r="E502" t="s">
        <v>313</v>
      </c>
      <c r="F502">
        <v>501</v>
      </c>
    </row>
    <row r="503" spans="1:6" x14ac:dyDescent="0.3">
      <c r="A503" t="s">
        <v>1853</v>
      </c>
      <c r="B503" t="s">
        <v>979</v>
      </c>
      <c r="C503" s="35">
        <v>23233</v>
      </c>
      <c r="D503" t="s">
        <v>316</v>
      </c>
      <c r="E503" t="s">
        <v>319</v>
      </c>
      <c r="F503">
        <v>502</v>
      </c>
    </row>
    <row r="504" spans="1:6" x14ac:dyDescent="0.3">
      <c r="A504" t="s">
        <v>1854</v>
      </c>
      <c r="B504" t="s">
        <v>980</v>
      </c>
      <c r="C504" s="35">
        <v>40926</v>
      </c>
      <c r="D504" t="s">
        <v>316</v>
      </c>
      <c r="E504" t="s">
        <v>322</v>
      </c>
      <c r="F504">
        <v>503</v>
      </c>
    </row>
    <row r="505" spans="1:6" x14ac:dyDescent="0.3">
      <c r="A505" t="s">
        <v>1855</v>
      </c>
      <c r="B505" t="s">
        <v>981</v>
      </c>
      <c r="C505" s="35">
        <v>42065</v>
      </c>
      <c r="D505" t="s">
        <v>316</v>
      </c>
      <c r="E505" t="s">
        <v>319</v>
      </c>
      <c r="F505">
        <v>504</v>
      </c>
    </row>
    <row r="506" spans="1:6" x14ac:dyDescent="0.3">
      <c r="A506" t="s">
        <v>1856</v>
      </c>
      <c r="B506" t="s">
        <v>982</v>
      </c>
      <c r="C506" s="35">
        <v>40251</v>
      </c>
      <c r="D506" t="s">
        <v>312</v>
      </c>
      <c r="E506" t="s">
        <v>319</v>
      </c>
      <c r="F506">
        <v>505</v>
      </c>
    </row>
    <row r="507" spans="1:6" x14ac:dyDescent="0.3">
      <c r="A507" t="s">
        <v>1857</v>
      </c>
      <c r="B507" t="s">
        <v>984</v>
      </c>
      <c r="C507" s="35">
        <v>43314</v>
      </c>
      <c r="D507" t="s">
        <v>312</v>
      </c>
      <c r="E507" t="s">
        <v>330</v>
      </c>
      <c r="F507">
        <v>506</v>
      </c>
    </row>
    <row r="508" spans="1:6" x14ac:dyDescent="0.3">
      <c r="A508" t="s">
        <v>1858</v>
      </c>
      <c r="B508" t="s">
        <v>985</v>
      </c>
      <c r="C508" s="35">
        <v>41824</v>
      </c>
      <c r="D508" t="s">
        <v>312</v>
      </c>
      <c r="E508" t="s">
        <v>319</v>
      </c>
      <c r="F508">
        <v>507</v>
      </c>
    </row>
    <row r="509" spans="1:6" x14ac:dyDescent="0.3">
      <c r="A509" t="s">
        <v>1859</v>
      </c>
      <c r="B509" t="s">
        <v>987</v>
      </c>
      <c r="C509" s="35">
        <v>41824</v>
      </c>
      <c r="D509" t="s">
        <v>312</v>
      </c>
      <c r="E509" t="s">
        <v>319</v>
      </c>
      <c r="F509">
        <v>508</v>
      </c>
    </row>
    <row r="510" spans="1:6" x14ac:dyDescent="0.3">
      <c r="A510" t="s">
        <v>1860</v>
      </c>
      <c r="B510" t="s">
        <v>989</v>
      </c>
      <c r="C510" s="35">
        <v>41907</v>
      </c>
      <c r="D510" t="s">
        <v>312</v>
      </c>
      <c r="E510" t="s">
        <v>319</v>
      </c>
      <c r="F510">
        <v>509</v>
      </c>
    </row>
    <row r="511" spans="1:6" x14ac:dyDescent="0.3">
      <c r="A511" t="s">
        <v>1861</v>
      </c>
      <c r="B511" t="s">
        <v>990</v>
      </c>
      <c r="C511" s="35">
        <v>40761</v>
      </c>
      <c r="D511" t="s">
        <v>312</v>
      </c>
      <c r="E511" t="s">
        <v>355</v>
      </c>
      <c r="F511">
        <v>510</v>
      </c>
    </row>
    <row r="512" spans="1:6" x14ac:dyDescent="0.3">
      <c r="A512" t="s">
        <v>1862</v>
      </c>
      <c r="B512" t="s">
        <v>833</v>
      </c>
      <c r="C512" s="35">
        <v>41183</v>
      </c>
      <c r="D512" t="s">
        <v>312</v>
      </c>
      <c r="E512" t="s">
        <v>319</v>
      </c>
      <c r="F512">
        <v>511</v>
      </c>
    </row>
    <row r="513" spans="1:6" x14ac:dyDescent="0.3">
      <c r="A513" t="s">
        <v>1863</v>
      </c>
      <c r="B513" t="s">
        <v>402</v>
      </c>
      <c r="C513" s="35">
        <v>40518</v>
      </c>
      <c r="D513" t="s">
        <v>312</v>
      </c>
      <c r="E513" t="s">
        <v>319</v>
      </c>
      <c r="F513">
        <v>512</v>
      </c>
    </row>
    <row r="514" spans="1:6" x14ac:dyDescent="0.3">
      <c r="A514" t="s">
        <v>1864</v>
      </c>
      <c r="B514" t="s">
        <v>993</v>
      </c>
      <c r="C514" s="35">
        <v>40036</v>
      </c>
      <c r="D514" t="s">
        <v>312</v>
      </c>
      <c r="E514" t="s">
        <v>355</v>
      </c>
      <c r="F514">
        <v>513</v>
      </c>
    </row>
    <row r="515" spans="1:6" x14ac:dyDescent="0.3">
      <c r="A515" t="s">
        <v>1865</v>
      </c>
      <c r="B515" t="s">
        <v>994</v>
      </c>
      <c r="C515" s="35">
        <v>40076</v>
      </c>
      <c r="D515" t="s">
        <v>312</v>
      </c>
      <c r="E515" t="s">
        <v>317</v>
      </c>
      <c r="F515">
        <v>514</v>
      </c>
    </row>
    <row r="516" spans="1:6" x14ac:dyDescent="0.3">
      <c r="A516" t="s">
        <v>1866</v>
      </c>
      <c r="B516" t="s">
        <v>995</v>
      </c>
      <c r="C516" s="35">
        <v>26159</v>
      </c>
      <c r="D516" t="s">
        <v>312</v>
      </c>
      <c r="E516" t="s">
        <v>319</v>
      </c>
      <c r="F516">
        <v>515</v>
      </c>
    </row>
    <row r="517" spans="1:6" x14ac:dyDescent="0.3">
      <c r="A517" t="s">
        <v>1867</v>
      </c>
      <c r="B517" t="s">
        <v>997</v>
      </c>
      <c r="C517" s="35">
        <v>41367</v>
      </c>
      <c r="D517" t="s">
        <v>312</v>
      </c>
      <c r="E517" t="s">
        <v>322</v>
      </c>
      <c r="F517">
        <v>516</v>
      </c>
    </row>
    <row r="518" spans="1:6" x14ac:dyDescent="0.3">
      <c r="A518" t="s">
        <v>1868</v>
      </c>
      <c r="B518" t="s">
        <v>998</v>
      </c>
      <c r="C518" s="35">
        <v>42194</v>
      </c>
      <c r="D518" t="s">
        <v>312</v>
      </c>
      <c r="E518" t="s">
        <v>355</v>
      </c>
      <c r="F518">
        <v>517</v>
      </c>
    </row>
    <row r="519" spans="1:6" x14ac:dyDescent="0.3">
      <c r="A519" t="s">
        <v>1869</v>
      </c>
      <c r="B519" t="s">
        <v>999</v>
      </c>
      <c r="C519" s="35">
        <v>41766</v>
      </c>
      <c r="D519" t="s">
        <v>312</v>
      </c>
      <c r="E519" t="s">
        <v>319</v>
      </c>
      <c r="F519">
        <v>518</v>
      </c>
    </row>
    <row r="520" spans="1:6" x14ac:dyDescent="0.3">
      <c r="A520" t="s">
        <v>1870</v>
      </c>
      <c r="B520" t="s">
        <v>1000</v>
      </c>
      <c r="C520" s="35">
        <v>40858</v>
      </c>
      <c r="D520" t="s">
        <v>312</v>
      </c>
      <c r="E520" t="s">
        <v>319</v>
      </c>
      <c r="F520">
        <v>519</v>
      </c>
    </row>
    <row r="521" spans="1:6" x14ac:dyDescent="0.3">
      <c r="A521" t="s">
        <v>1871</v>
      </c>
      <c r="B521" t="s">
        <v>1001</v>
      </c>
      <c r="C521" s="35">
        <v>41723</v>
      </c>
      <c r="D521" t="s">
        <v>316</v>
      </c>
      <c r="E521" t="s">
        <v>319</v>
      </c>
      <c r="F521">
        <v>520</v>
      </c>
    </row>
    <row r="522" spans="1:6" x14ac:dyDescent="0.3">
      <c r="A522" t="s">
        <v>1872</v>
      </c>
      <c r="B522" t="s">
        <v>1002</v>
      </c>
      <c r="C522" s="35">
        <v>40942</v>
      </c>
      <c r="D522" t="s">
        <v>312</v>
      </c>
      <c r="E522" t="s">
        <v>319</v>
      </c>
      <c r="F522">
        <v>521</v>
      </c>
    </row>
    <row r="523" spans="1:6" x14ac:dyDescent="0.3">
      <c r="A523" t="s">
        <v>1873</v>
      </c>
      <c r="B523" t="s">
        <v>1004</v>
      </c>
      <c r="C523" s="35">
        <v>45609</v>
      </c>
      <c r="D523" t="s">
        <v>316</v>
      </c>
      <c r="E523" t="s">
        <v>319</v>
      </c>
      <c r="F523">
        <v>522</v>
      </c>
    </row>
    <row r="524" spans="1:6" x14ac:dyDescent="0.3">
      <c r="A524" t="s">
        <v>1874</v>
      </c>
      <c r="B524" t="s">
        <v>1005</v>
      </c>
      <c r="C524" s="35">
        <v>41185</v>
      </c>
      <c r="D524" t="s">
        <v>312</v>
      </c>
      <c r="E524" t="s">
        <v>319</v>
      </c>
      <c r="F524">
        <v>523</v>
      </c>
    </row>
    <row r="525" spans="1:6" x14ac:dyDescent="0.3">
      <c r="A525" t="s">
        <v>1875</v>
      </c>
      <c r="B525" t="s">
        <v>1006</v>
      </c>
      <c r="C525" s="35">
        <v>42520</v>
      </c>
      <c r="D525" t="s">
        <v>316</v>
      </c>
      <c r="E525" t="s">
        <v>317</v>
      </c>
      <c r="F525">
        <v>524</v>
      </c>
    </row>
    <row r="526" spans="1:6" x14ac:dyDescent="0.3">
      <c r="A526" t="s">
        <v>1876</v>
      </c>
      <c r="B526" t="s">
        <v>1008</v>
      </c>
      <c r="C526" s="35">
        <v>41731</v>
      </c>
      <c r="D526" t="s">
        <v>312</v>
      </c>
      <c r="E526" t="s">
        <v>319</v>
      </c>
      <c r="F526">
        <v>525</v>
      </c>
    </row>
    <row r="527" spans="1:6" x14ac:dyDescent="0.3">
      <c r="A527" t="s">
        <v>1877</v>
      </c>
      <c r="B527" t="s">
        <v>1009</v>
      </c>
      <c r="C527" s="35">
        <v>42093</v>
      </c>
      <c r="D527" t="s">
        <v>312</v>
      </c>
      <c r="E527" t="s">
        <v>355</v>
      </c>
      <c r="F527">
        <v>526</v>
      </c>
    </row>
    <row r="528" spans="1:6" x14ac:dyDescent="0.3">
      <c r="A528" t="s">
        <v>1878</v>
      </c>
      <c r="B528" t="s">
        <v>1010</v>
      </c>
      <c r="C528" s="35">
        <v>41625</v>
      </c>
      <c r="D528" t="s">
        <v>316</v>
      </c>
      <c r="E528" t="s">
        <v>322</v>
      </c>
      <c r="F528">
        <v>527</v>
      </c>
    </row>
    <row r="529" spans="1:6" x14ac:dyDescent="0.3">
      <c r="A529" t="s">
        <v>1879</v>
      </c>
      <c r="B529" t="s">
        <v>1011</v>
      </c>
      <c r="C529" s="35">
        <v>40764</v>
      </c>
      <c r="D529" t="s">
        <v>312</v>
      </c>
      <c r="E529" t="s">
        <v>330</v>
      </c>
      <c r="F529">
        <v>528</v>
      </c>
    </row>
    <row r="530" spans="1:6" x14ac:dyDescent="0.3">
      <c r="A530" t="s">
        <v>1880</v>
      </c>
      <c r="B530" t="s">
        <v>1012</v>
      </c>
      <c r="C530" s="35">
        <v>39309</v>
      </c>
      <c r="D530" t="s">
        <v>316</v>
      </c>
      <c r="E530" t="s">
        <v>313</v>
      </c>
      <c r="F530">
        <v>529</v>
      </c>
    </row>
    <row r="531" spans="1:6" x14ac:dyDescent="0.3">
      <c r="A531" t="s">
        <v>1881</v>
      </c>
      <c r="B531" t="s">
        <v>1013</v>
      </c>
      <c r="C531" s="35">
        <v>36754</v>
      </c>
      <c r="D531" t="s">
        <v>312</v>
      </c>
      <c r="E531" t="s">
        <v>317</v>
      </c>
      <c r="F531">
        <v>530</v>
      </c>
    </row>
    <row r="532" spans="1:6" x14ac:dyDescent="0.3">
      <c r="A532" t="s">
        <v>1882</v>
      </c>
      <c r="B532" t="s">
        <v>1015</v>
      </c>
      <c r="C532" s="35">
        <v>37100</v>
      </c>
      <c r="D532" t="s">
        <v>312</v>
      </c>
      <c r="E532" t="s">
        <v>355</v>
      </c>
      <c r="F532">
        <v>531</v>
      </c>
    </row>
    <row r="533" spans="1:6" x14ac:dyDescent="0.3">
      <c r="A533" t="s">
        <v>1883</v>
      </c>
      <c r="B533" t="s">
        <v>1017</v>
      </c>
      <c r="C533" s="35">
        <v>22664</v>
      </c>
      <c r="D533" t="s">
        <v>312</v>
      </c>
      <c r="E533" t="s">
        <v>332</v>
      </c>
      <c r="F533">
        <v>532</v>
      </c>
    </row>
    <row r="534" spans="1:6" x14ac:dyDescent="0.3">
      <c r="A534" t="s">
        <v>1884</v>
      </c>
      <c r="B534" t="s">
        <v>1018</v>
      </c>
      <c r="C534" s="35">
        <v>41172</v>
      </c>
      <c r="D534" t="s">
        <v>312</v>
      </c>
      <c r="E534" t="s">
        <v>336</v>
      </c>
      <c r="F534">
        <v>533</v>
      </c>
    </row>
    <row r="535" spans="1:6" x14ac:dyDescent="0.3">
      <c r="A535" t="s">
        <v>1885</v>
      </c>
      <c r="B535" t="s">
        <v>1019</v>
      </c>
      <c r="C535" s="35">
        <v>35987</v>
      </c>
      <c r="D535" t="s">
        <v>316</v>
      </c>
      <c r="E535" t="s">
        <v>322</v>
      </c>
      <c r="F535">
        <v>534</v>
      </c>
    </row>
    <row r="536" spans="1:6" x14ac:dyDescent="0.3">
      <c r="A536" t="s">
        <v>1886</v>
      </c>
      <c r="B536" t="s">
        <v>1020</v>
      </c>
      <c r="C536" s="35">
        <v>39909</v>
      </c>
      <c r="D536" t="s">
        <v>312</v>
      </c>
      <c r="E536" t="s">
        <v>317</v>
      </c>
      <c r="F536">
        <v>535</v>
      </c>
    </row>
    <row r="537" spans="1:6" x14ac:dyDescent="0.3">
      <c r="A537" t="s">
        <v>1887</v>
      </c>
      <c r="B537" t="s">
        <v>1021</v>
      </c>
      <c r="C537" s="35">
        <v>43357</v>
      </c>
      <c r="D537" t="s">
        <v>312</v>
      </c>
      <c r="E537" t="s">
        <v>319</v>
      </c>
      <c r="F537">
        <v>536</v>
      </c>
    </row>
    <row r="538" spans="1:6" x14ac:dyDescent="0.3">
      <c r="A538" t="s">
        <v>1888</v>
      </c>
      <c r="B538" t="s">
        <v>1028</v>
      </c>
      <c r="C538" s="35">
        <v>36818</v>
      </c>
      <c r="D538" t="s">
        <v>312</v>
      </c>
      <c r="E538" t="s">
        <v>332</v>
      </c>
      <c r="F538">
        <v>537</v>
      </c>
    </row>
    <row r="539" spans="1:6" x14ac:dyDescent="0.3">
      <c r="A539" t="s">
        <v>1889</v>
      </c>
      <c r="B539" t="s">
        <v>1030</v>
      </c>
      <c r="C539" s="35">
        <v>42430</v>
      </c>
      <c r="D539" t="s">
        <v>312</v>
      </c>
      <c r="E539" t="s">
        <v>317</v>
      </c>
      <c r="F539">
        <v>538</v>
      </c>
    </row>
    <row r="540" spans="1:6" x14ac:dyDescent="0.3">
      <c r="A540" t="s">
        <v>1890</v>
      </c>
      <c r="B540" t="s">
        <v>1032</v>
      </c>
      <c r="C540" s="35">
        <v>43346</v>
      </c>
      <c r="D540" t="s">
        <v>312</v>
      </c>
      <c r="E540" t="s">
        <v>336</v>
      </c>
      <c r="F540">
        <v>539</v>
      </c>
    </row>
    <row r="541" spans="1:6" x14ac:dyDescent="0.3">
      <c r="A541" t="s">
        <v>1891</v>
      </c>
      <c r="B541" t="s">
        <v>1033</v>
      </c>
      <c r="C541" s="35">
        <v>41904</v>
      </c>
      <c r="D541" t="s">
        <v>312</v>
      </c>
      <c r="E541" t="s">
        <v>336</v>
      </c>
      <c r="F541">
        <v>540</v>
      </c>
    </row>
    <row r="542" spans="1:6" x14ac:dyDescent="0.3">
      <c r="A542" t="s">
        <v>1892</v>
      </c>
      <c r="B542" t="s">
        <v>1034</v>
      </c>
      <c r="C542" s="35">
        <v>25136</v>
      </c>
      <c r="D542" t="s">
        <v>312</v>
      </c>
      <c r="E542" t="s">
        <v>319</v>
      </c>
      <c r="F542">
        <v>541</v>
      </c>
    </row>
    <row r="543" spans="1:6" x14ac:dyDescent="0.3">
      <c r="A543" t="s">
        <v>1893</v>
      </c>
      <c r="B543" t="s">
        <v>1036</v>
      </c>
      <c r="C543" s="35">
        <v>36763</v>
      </c>
      <c r="D543" t="s">
        <v>312</v>
      </c>
      <c r="E543" t="s">
        <v>319</v>
      </c>
      <c r="F543">
        <v>542</v>
      </c>
    </row>
    <row r="544" spans="1:6" x14ac:dyDescent="0.3">
      <c r="A544" t="s">
        <v>1894</v>
      </c>
      <c r="B544" t="s">
        <v>1037</v>
      </c>
      <c r="C544" s="35">
        <v>41176</v>
      </c>
      <c r="D544" t="s">
        <v>312</v>
      </c>
      <c r="E544" t="s">
        <v>317</v>
      </c>
      <c r="F544">
        <v>543</v>
      </c>
    </row>
    <row r="545" spans="1:6" x14ac:dyDescent="0.3">
      <c r="A545" t="s">
        <v>1895</v>
      </c>
      <c r="B545" t="s">
        <v>1038</v>
      </c>
      <c r="C545" s="35">
        <v>42984</v>
      </c>
      <c r="D545" t="s">
        <v>316</v>
      </c>
      <c r="E545" t="s">
        <v>313</v>
      </c>
      <c r="F545">
        <v>544</v>
      </c>
    </row>
    <row r="546" spans="1:6" x14ac:dyDescent="0.3">
      <c r="A546" t="s">
        <v>1896</v>
      </c>
      <c r="B546" t="s">
        <v>1039</v>
      </c>
      <c r="C546" s="35">
        <v>39167</v>
      </c>
      <c r="D546" t="s">
        <v>312</v>
      </c>
      <c r="E546" t="s">
        <v>330</v>
      </c>
      <c r="F546">
        <v>545</v>
      </c>
    </row>
    <row r="547" spans="1:6" x14ac:dyDescent="0.3">
      <c r="A547" t="s">
        <v>1897</v>
      </c>
      <c r="B547" t="s">
        <v>1076</v>
      </c>
      <c r="C547" s="35">
        <v>39658</v>
      </c>
      <c r="D547" t="s">
        <v>312</v>
      </c>
      <c r="E547" t="s">
        <v>317</v>
      </c>
      <c r="F547">
        <v>546</v>
      </c>
    </row>
    <row r="548" spans="1:6" x14ac:dyDescent="0.3">
      <c r="A548" t="s">
        <v>1898</v>
      </c>
      <c r="B548" t="s">
        <v>1077</v>
      </c>
      <c r="C548" s="35">
        <v>41661</v>
      </c>
      <c r="D548" t="s">
        <v>312</v>
      </c>
      <c r="E548" t="s">
        <v>317</v>
      </c>
      <c r="F548">
        <v>547</v>
      </c>
    </row>
    <row r="549" spans="1:6" x14ac:dyDescent="0.3">
      <c r="A549" t="s">
        <v>1899</v>
      </c>
      <c r="B549" t="s">
        <v>1079</v>
      </c>
      <c r="C549" s="35">
        <v>41320</v>
      </c>
      <c r="D549" t="s">
        <v>316</v>
      </c>
      <c r="E549" t="s">
        <v>319</v>
      </c>
      <c r="F549">
        <v>548</v>
      </c>
    </row>
    <row r="550" spans="1:6" x14ac:dyDescent="0.3">
      <c r="A550" t="s">
        <v>1900</v>
      </c>
      <c r="B550" t="s">
        <v>1081</v>
      </c>
      <c r="C550" s="35">
        <v>40394</v>
      </c>
      <c r="D550" t="s">
        <v>312</v>
      </c>
      <c r="E550" t="s">
        <v>317</v>
      </c>
      <c r="F550">
        <v>549</v>
      </c>
    </row>
    <row r="551" spans="1:6" x14ac:dyDescent="0.3">
      <c r="A551" t="s">
        <v>1901</v>
      </c>
      <c r="B551" t="s">
        <v>1082</v>
      </c>
      <c r="C551" s="35">
        <v>40445</v>
      </c>
      <c r="D551" t="s">
        <v>312</v>
      </c>
      <c r="E551" t="s">
        <v>355</v>
      </c>
      <c r="F551">
        <v>550</v>
      </c>
    </row>
    <row r="552" spans="1:6" x14ac:dyDescent="0.3">
      <c r="A552" t="s">
        <v>1902</v>
      </c>
      <c r="B552" t="s">
        <v>1083</v>
      </c>
      <c r="C552" s="35">
        <v>29901</v>
      </c>
      <c r="D552" t="s">
        <v>312</v>
      </c>
      <c r="E552" t="s">
        <v>332</v>
      </c>
      <c r="F552">
        <v>551</v>
      </c>
    </row>
    <row r="553" spans="1:6" x14ac:dyDescent="0.3">
      <c r="A553" t="s">
        <v>1903</v>
      </c>
      <c r="B553" t="s">
        <v>1084</v>
      </c>
      <c r="C553" s="35">
        <v>40304</v>
      </c>
      <c r="D553" t="s">
        <v>312</v>
      </c>
      <c r="E553" t="s">
        <v>319</v>
      </c>
      <c r="F553">
        <v>552</v>
      </c>
    </row>
    <row r="554" spans="1:6" x14ac:dyDescent="0.3">
      <c r="A554" t="s">
        <v>1904</v>
      </c>
      <c r="B554" t="s">
        <v>1086</v>
      </c>
      <c r="C554" s="35">
        <v>39764</v>
      </c>
      <c r="D554" t="s">
        <v>316</v>
      </c>
      <c r="E554" t="s">
        <v>355</v>
      </c>
      <c r="F554">
        <v>553</v>
      </c>
    </row>
    <row r="555" spans="1:6" x14ac:dyDescent="0.3">
      <c r="A555" t="s">
        <v>1905</v>
      </c>
      <c r="B555" t="s">
        <v>1087</v>
      </c>
      <c r="C555" s="35">
        <v>39167</v>
      </c>
      <c r="D555" t="s">
        <v>312</v>
      </c>
      <c r="E555" t="s">
        <v>330</v>
      </c>
      <c r="F555">
        <v>554</v>
      </c>
    </row>
    <row r="556" spans="1:6" x14ac:dyDescent="0.3">
      <c r="A556" t="s">
        <v>1906</v>
      </c>
      <c r="B556" t="s">
        <v>1089</v>
      </c>
      <c r="C556" s="35">
        <v>42045</v>
      </c>
      <c r="D556" t="s">
        <v>312</v>
      </c>
      <c r="E556" t="s">
        <v>330</v>
      </c>
      <c r="F556">
        <v>555</v>
      </c>
    </row>
    <row r="557" spans="1:6" x14ac:dyDescent="0.3">
      <c r="A557" t="s">
        <v>1907</v>
      </c>
      <c r="B557" t="s">
        <v>1091</v>
      </c>
      <c r="C557" s="35">
        <v>41162</v>
      </c>
      <c r="D557" t="s">
        <v>316</v>
      </c>
      <c r="E557" t="s">
        <v>355</v>
      </c>
      <c r="F557">
        <v>556</v>
      </c>
    </row>
    <row r="558" spans="1:6" x14ac:dyDescent="0.3">
      <c r="A558" t="s">
        <v>1908</v>
      </c>
      <c r="B558" t="s">
        <v>1092</v>
      </c>
      <c r="C558" s="35">
        <v>38562</v>
      </c>
      <c r="D558" t="s">
        <v>312</v>
      </c>
      <c r="E558" t="s">
        <v>332</v>
      </c>
      <c r="F558">
        <v>557</v>
      </c>
    </row>
    <row r="559" spans="1:6" x14ac:dyDescent="0.3">
      <c r="A559" t="s">
        <v>1909</v>
      </c>
      <c r="B559" t="s">
        <v>1094</v>
      </c>
      <c r="C559" s="35">
        <v>39755</v>
      </c>
      <c r="D559" t="s">
        <v>312</v>
      </c>
      <c r="E559" t="s">
        <v>330</v>
      </c>
      <c r="F559">
        <v>558</v>
      </c>
    </row>
    <row r="560" spans="1:6" x14ac:dyDescent="0.3">
      <c r="A560" t="s">
        <v>1910</v>
      </c>
      <c r="B560" t="s">
        <v>1096</v>
      </c>
      <c r="C560" s="35">
        <v>42980</v>
      </c>
      <c r="D560" t="s">
        <v>312</v>
      </c>
      <c r="E560" t="s">
        <v>330</v>
      </c>
      <c r="F560">
        <v>559</v>
      </c>
    </row>
    <row r="561" spans="1:6" x14ac:dyDescent="0.3">
      <c r="A561" t="s">
        <v>1911</v>
      </c>
      <c r="B561" t="s">
        <v>1098</v>
      </c>
      <c r="C561" s="35">
        <v>40756</v>
      </c>
      <c r="D561" t="s">
        <v>316</v>
      </c>
      <c r="E561" t="s">
        <v>332</v>
      </c>
      <c r="F561">
        <v>560</v>
      </c>
    </row>
    <row r="562" spans="1:6" x14ac:dyDescent="0.3">
      <c r="A562" t="s">
        <v>1912</v>
      </c>
      <c r="B562" t="s">
        <v>1100</v>
      </c>
      <c r="C562" s="35">
        <v>39270</v>
      </c>
      <c r="D562" t="s">
        <v>312</v>
      </c>
      <c r="E562" t="s">
        <v>330</v>
      </c>
      <c r="F562">
        <v>561</v>
      </c>
    </row>
    <row r="563" spans="1:6" x14ac:dyDescent="0.3">
      <c r="A563" t="s">
        <v>1913</v>
      </c>
      <c r="B563" t="s">
        <v>1102</v>
      </c>
      <c r="C563" s="35">
        <v>40539</v>
      </c>
      <c r="D563" t="s">
        <v>312</v>
      </c>
      <c r="E563" t="s">
        <v>330</v>
      </c>
      <c r="F563">
        <v>562</v>
      </c>
    </row>
    <row r="564" spans="1:6" x14ac:dyDescent="0.3">
      <c r="A564" t="s">
        <v>1914</v>
      </c>
      <c r="B564" t="s">
        <v>1104</v>
      </c>
      <c r="C564" s="35">
        <v>39757</v>
      </c>
      <c r="D564" t="s">
        <v>312</v>
      </c>
      <c r="E564" t="s">
        <v>332</v>
      </c>
      <c r="F564">
        <v>563</v>
      </c>
    </row>
    <row r="565" spans="1:6" x14ac:dyDescent="0.3">
      <c r="A565" t="s">
        <v>1915</v>
      </c>
      <c r="B565" t="s">
        <v>1106</v>
      </c>
      <c r="C565" s="35">
        <v>40794</v>
      </c>
      <c r="D565" t="s">
        <v>312</v>
      </c>
      <c r="E565" t="s">
        <v>332</v>
      </c>
      <c r="F565">
        <v>564</v>
      </c>
    </row>
    <row r="566" spans="1:6" x14ac:dyDescent="0.3">
      <c r="A566" t="s">
        <v>1916</v>
      </c>
      <c r="B566" t="s">
        <v>1107</v>
      </c>
      <c r="C566" s="35">
        <v>40012</v>
      </c>
      <c r="D566" t="s">
        <v>312</v>
      </c>
      <c r="E566" t="s">
        <v>322</v>
      </c>
      <c r="F566">
        <v>565</v>
      </c>
    </row>
    <row r="567" spans="1:6" x14ac:dyDescent="0.3">
      <c r="A567" t="s">
        <v>1917</v>
      </c>
      <c r="B567" t="s">
        <v>1148</v>
      </c>
      <c r="C567" s="35">
        <v>41033</v>
      </c>
      <c r="D567" t="s">
        <v>312</v>
      </c>
      <c r="E567" t="s">
        <v>322</v>
      </c>
      <c r="F567">
        <v>566</v>
      </c>
    </row>
    <row r="568" spans="1:6" x14ac:dyDescent="0.3">
      <c r="A568" t="s">
        <v>1918</v>
      </c>
      <c r="B568" t="s">
        <v>595</v>
      </c>
      <c r="C568" s="35">
        <v>40631</v>
      </c>
      <c r="D568" t="s">
        <v>316</v>
      </c>
      <c r="E568" t="s">
        <v>322</v>
      </c>
      <c r="F568">
        <v>567</v>
      </c>
    </row>
    <row r="569" spans="1:6" x14ac:dyDescent="0.3">
      <c r="A569" t="s">
        <v>1919</v>
      </c>
      <c r="B569" t="s">
        <v>1150</v>
      </c>
      <c r="C569" s="35">
        <v>41358</v>
      </c>
      <c r="D569" t="s">
        <v>312</v>
      </c>
      <c r="E569" t="s">
        <v>319</v>
      </c>
      <c r="F569">
        <v>568</v>
      </c>
    </row>
    <row r="570" spans="1:6" x14ac:dyDescent="0.3">
      <c r="A570" t="s">
        <v>1920</v>
      </c>
      <c r="B570" t="s">
        <v>1152</v>
      </c>
      <c r="C570" s="35">
        <v>41879</v>
      </c>
      <c r="D570" t="s">
        <v>312</v>
      </c>
      <c r="E570" t="s">
        <v>338</v>
      </c>
      <c r="F570">
        <v>569</v>
      </c>
    </row>
    <row r="571" spans="1:6" x14ac:dyDescent="0.3">
      <c r="A571" t="s">
        <v>1921</v>
      </c>
      <c r="B571" t="s">
        <v>1153</v>
      </c>
      <c r="C571" s="35">
        <v>41195</v>
      </c>
      <c r="D571" t="s">
        <v>316</v>
      </c>
      <c r="E571" t="s">
        <v>330</v>
      </c>
      <c r="F571">
        <v>570</v>
      </c>
    </row>
    <row r="572" spans="1:6" x14ac:dyDescent="0.3">
      <c r="A572" t="s">
        <v>1922</v>
      </c>
      <c r="B572" t="s">
        <v>1155</v>
      </c>
      <c r="C572" s="35">
        <v>42422</v>
      </c>
      <c r="D572" t="s">
        <v>312</v>
      </c>
      <c r="E572" t="s">
        <v>355</v>
      </c>
      <c r="F572">
        <v>571</v>
      </c>
    </row>
    <row r="573" spans="1:6" x14ac:dyDescent="0.3">
      <c r="A573" t="s">
        <v>1923</v>
      </c>
      <c r="B573" t="s">
        <v>1168</v>
      </c>
      <c r="C573" s="35">
        <v>40923</v>
      </c>
      <c r="D573" t="s">
        <v>312</v>
      </c>
      <c r="E573" t="s">
        <v>338</v>
      </c>
      <c r="F573">
        <v>572</v>
      </c>
    </row>
    <row r="574" spans="1:6" x14ac:dyDescent="0.3">
      <c r="A574" t="s">
        <v>1924</v>
      </c>
      <c r="B574" t="s">
        <v>1170</v>
      </c>
      <c r="C574" s="35">
        <v>40318</v>
      </c>
      <c r="D574" t="s">
        <v>312</v>
      </c>
      <c r="E574" t="s">
        <v>322</v>
      </c>
      <c r="F574">
        <v>573</v>
      </c>
    </row>
    <row r="575" spans="1:6" x14ac:dyDescent="0.3">
      <c r="A575" t="s">
        <v>1925</v>
      </c>
      <c r="B575" t="s">
        <v>1172</v>
      </c>
      <c r="C575" s="35">
        <v>39830</v>
      </c>
      <c r="D575" t="s">
        <v>316</v>
      </c>
      <c r="E575" t="s">
        <v>330</v>
      </c>
      <c r="F575">
        <v>574</v>
      </c>
    </row>
    <row r="576" spans="1:6" x14ac:dyDescent="0.3">
      <c r="A576" t="s">
        <v>1926</v>
      </c>
      <c r="B576" t="s">
        <v>1174</v>
      </c>
      <c r="C576" s="35">
        <v>39910</v>
      </c>
      <c r="D576" t="s">
        <v>312</v>
      </c>
      <c r="E576" t="s">
        <v>322</v>
      </c>
      <c r="F576">
        <v>575</v>
      </c>
    </row>
    <row r="577" spans="1:6" x14ac:dyDescent="0.3">
      <c r="A577" t="s">
        <v>1927</v>
      </c>
      <c r="B577" t="s">
        <v>1176</v>
      </c>
      <c r="C577" s="35">
        <v>41710</v>
      </c>
      <c r="D577" t="s">
        <v>316</v>
      </c>
      <c r="E577" t="s">
        <v>313</v>
      </c>
      <c r="F577">
        <v>576</v>
      </c>
    </row>
    <row r="578" spans="1:6" x14ac:dyDescent="0.3">
      <c r="A578" t="s">
        <v>1928</v>
      </c>
      <c r="B578" t="s">
        <v>1178</v>
      </c>
      <c r="C578" s="35">
        <v>40672</v>
      </c>
      <c r="D578" t="s">
        <v>312</v>
      </c>
      <c r="E578" t="s">
        <v>336</v>
      </c>
      <c r="F578">
        <v>577</v>
      </c>
    </row>
    <row r="579" spans="1:6" x14ac:dyDescent="0.3">
      <c r="A579" t="s">
        <v>1929</v>
      </c>
      <c r="B579" t="s">
        <v>1180</v>
      </c>
      <c r="C579" s="35">
        <v>40761</v>
      </c>
      <c r="D579" t="s">
        <v>312</v>
      </c>
      <c r="E579" t="s">
        <v>330</v>
      </c>
      <c r="F579">
        <v>578</v>
      </c>
    </row>
    <row r="580" spans="1:6" x14ac:dyDescent="0.3">
      <c r="A580" t="s">
        <v>1930</v>
      </c>
      <c r="B580" t="s">
        <v>1182</v>
      </c>
      <c r="C580" s="35">
        <v>40083</v>
      </c>
      <c r="D580" t="s">
        <v>312</v>
      </c>
      <c r="E580" t="s">
        <v>322</v>
      </c>
      <c r="F580">
        <v>579</v>
      </c>
    </row>
    <row r="581" spans="1:6" x14ac:dyDescent="0.3">
      <c r="A581" t="s">
        <v>1931</v>
      </c>
      <c r="B581" t="s">
        <v>1184</v>
      </c>
      <c r="C581" s="35">
        <v>41778</v>
      </c>
      <c r="D581" t="s">
        <v>316</v>
      </c>
      <c r="E581" t="s">
        <v>322</v>
      </c>
      <c r="F581">
        <v>580</v>
      </c>
    </row>
    <row r="582" spans="1:6" x14ac:dyDescent="0.3">
      <c r="A582" t="s">
        <v>1932</v>
      </c>
      <c r="B582" t="s">
        <v>1282</v>
      </c>
      <c r="C582" s="35">
        <v>41480</v>
      </c>
      <c r="D582" t="s">
        <v>312</v>
      </c>
      <c r="E582" t="s">
        <v>330</v>
      </c>
      <c r="F582">
        <v>581</v>
      </c>
    </row>
    <row r="583" spans="1:6" x14ac:dyDescent="0.3">
      <c r="A583" t="s">
        <v>1933</v>
      </c>
      <c r="B583" t="s">
        <v>1326</v>
      </c>
      <c r="C583" s="35">
        <v>41163</v>
      </c>
      <c r="D583" t="s">
        <v>312</v>
      </c>
      <c r="E583" t="s">
        <v>322</v>
      </c>
      <c r="F583">
        <v>582</v>
      </c>
    </row>
    <row r="584" spans="1:6" x14ac:dyDescent="0.3">
      <c r="A584" t="s">
        <v>1935</v>
      </c>
      <c r="B584" t="s">
        <v>1934</v>
      </c>
      <c r="C584" s="35">
        <v>42107</v>
      </c>
      <c r="D584" t="s">
        <v>312</v>
      </c>
      <c r="E584" t="s">
        <v>332</v>
      </c>
      <c r="F584">
        <v>583</v>
      </c>
    </row>
    <row r="585" spans="1:6" x14ac:dyDescent="0.3">
      <c r="A585" t="s">
        <v>1937</v>
      </c>
      <c r="B585" t="s">
        <v>1936</v>
      </c>
      <c r="C585" s="35">
        <v>39385</v>
      </c>
      <c r="D585" t="s">
        <v>312</v>
      </c>
      <c r="E585" t="s">
        <v>317</v>
      </c>
      <c r="F585">
        <v>584</v>
      </c>
    </row>
    <row r="586" spans="1:6" x14ac:dyDescent="0.3">
      <c r="A586" t="s">
        <v>1939</v>
      </c>
      <c r="B586" t="s">
        <v>1938</v>
      </c>
      <c r="C586" s="35">
        <v>42137</v>
      </c>
      <c r="D586" t="s">
        <v>316</v>
      </c>
      <c r="E586" t="s">
        <v>355</v>
      </c>
      <c r="F586">
        <v>585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40D04-555C-4954-9CD7-5DBD4F243732}">
  <sheetPr codeName="Sheet13"/>
  <dimension ref="A1:L393"/>
  <sheetViews>
    <sheetView workbookViewId="0">
      <selection activeCell="E10" sqref="E10"/>
    </sheetView>
  </sheetViews>
  <sheetFormatPr defaultRowHeight="14.4" x14ac:dyDescent="0.3"/>
  <cols>
    <col min="1" max="1" width="48.6640625" bestFit="1" customWidth="1"/>
    <col min="2" max="2" width="11.109375" bestFit="1" customWidth="1"/>
    <col min="3" max="3" width="7" bestFit="1" customWidth="1"/>
    <col min="4" max="4" width="22.77734375" bestFit="1" customWidth="1"/>
    <col min="5" max="5" width="9.88671875" bestFit="1" customWidth="1"/>
    <col min="6" max="6" width="7.109375" bestFit="1" customWidth="1"/>
    <col min="7" max="7" width="8.77734375" bestFit="1" customWidth="1"/>
    <col min="8" max="8" width="3.88671875" bestFit="1" customWidth="1"/>
    <col min="9" max="9" width="7.21875" bestFit="1" customWidth="1"/>
    <col min="10" max="10" width="12.44140625" bestFit="1" customWidth="1"/>
    <col min="11" max="11" width="5.21875" bestFit="1" customWidth="1"/>
    <col min="12" max="12" width="5" bestFit="1" customWidth="1"/>
  </cols>
  <sheetData>
    <row r="1" spans="1:12" x14ac:dyDescent="0.3">
      <c r="A1" t="s">
        <v>878</v>
      </c>
    </row>
    <row r="4" spans="1:12" x14ac:dyDescent="0.3">
      <c r="A4" t="s">
        <v>304</v>
      </c>
    </row>
    <row r="5" spans="1:12" x14ac:dyDescent="0.3">
      <c r="A5" t="s">
        <v>879</v>
      </c>
      <c r="B5" t="s">
        <v>870</v>
      </c>
      <c r="C5" t="s">
        <v>880</v>
      </c>
      <c r="D5" t="s">
        <v>307</v>
      </c>
      <c r="E5" t="s">
        <v>881</v>
      </c>
      <c r="F5" t="s">
        <v>882</v>
      </c>
      <c r="G5" t="s">
        <v>934</v>
      </c>
      <c r="H5" t="s">
        <v>935</v>
      </c>
      <c r="I5" t="s">
        <v>959</v>
      </c>
      <c r="J5" t="s">
        <v>1073</v>
      </c>
      <c r="K5" t="s">
        <v>883</v>
      </c>
      <c r="L5" t="s">
        <v>14</v>
      </c>
    </row>
    <row r="6" spans="1:12" x14ac:dyDescent="0.3">
      <c r="A6">
        <v>1</v>
      </c>
      <c r="B6" t="s">
        <v>412</v>
      </c>
      <c r="C6">
        <v>201190</v>
      </c>
      <c r="D6" t="s">
        <v>411</v>
      </c>
      <c r="E6" s="46">
        <v>36943</v>
      </c>
      <c r="F6">
        <v>30</v>
      </c>
      <c r="G6">
        <v>60</v>
      </c>
      <c r="H6">
        <v>90</v>
      </c>
      <c r="I6">
        <v>90</v>
      </c>
      <c r="K6">
        <v>270</v>
      </c>
      <c r="L6">
        <v>1</v>
      </c>
    </row>
    <row r="7" spans="1:12" x14ac:dyDescent="0.3">
      <c r="A7">
        <v>2</v>
      </c>
      <c r="B7" t="s">
        <v>314</v>
      </c>
      <c r="C7">
        <v>203812</v>
      </c>
      <c r="D7" t="s">
        <v>86</v>
      </c>
      <c r="E7" s="46">
        <v>39722</v>
      </c>
      <c r="F7">
        <v>60</v>
      </c>
      <c r="G7">
        <v>45</v>
      </c>
      <c r="H7">
        <v>45</v>
      </c>
      <c r="I7">
        <v>45</v>
      </c>
      <c r="K7">
        <v>195</v>
      </c>
      <c r="L7">
        <v>2</v>
      </c>
    </row>
    <row r="8" spans="1:12" x14ac:dyDescent="0.3">
      <c r="A8">
        <v>3</v>
      </c>
      <c r="B8" t="s">
        <v>598</v>
      </c>
      <c r="C8">
        <v>201917</v>
      </c>
      <c r="D8" t="s">
        <v>884</v>
      </c>
      <c r="E8" s="46">
        <v>38584</v>
      </c>
      <c r="F8">
        <v>30</v>
      </c>
      <c r="G8">
        <v>90</v>
      </c>
      <c r="H8">
        <v>30</v>
      </c>
      <c r="I8">
        <v>15</v>
      </c>
      <c r="K8">
        <v>165</v>
      </c>
      <c r="L8">
        <v>3</v>
      </c>
    </row>
    <row r="9" spans="1:12" x14ac:dyDescent="0.3">
      <c r="A9">
        <v>4</v>
      </c>
      <c r="B9" t="s">
        <v>433</v>
      </c>
      <c r="C9">
        <v>203746</v>
      </c>
      <c r="D9" t="s">
        <v>885</v>
      </c>
      <c r="E9" s="46">
        <v>39479</v>
      </c>
      <c r="F9">
        <v>45</v>
      </c>
      <c r="G9">
        <v>30</v>
      </c>
      <c r="H9">
        <v>45</v>
      </c>
      <c r="I9">
        <v>30</v>
      </c>
      <c r="K9">
        <v>150</v>
      </c>
      <c r="L9">
        <v>4</v>
      </c>
    </row>
    <row r="10" spans="1:12" x14ac:dyDescent="0.3">
      <c r="A10">
        <v>5</v>
      </c>
      <c r="B10" t="s">
        <v>435</v>
      </c>
      <c r="C10">
        <v>202727</v>
      </c>
      <c r="D10" t="s">
        <v>971</v>
      </c>
      <c r="E10" s="46">
        <v>39066</v>
      </c>
      <c r="F10">
        <v>45</v>
      </c>
      <c r="G10">
        <v>45</v>
      </c>
      <c r="H10">
        <v>0</v>
      </c>
      <c r="I10">
        <v>45</v>
      </c>
      <c r="K10">
        <v>135</v>
      </c>
      <c r="L10">
        <v>5</v>
      </c>
    </row>
    <row r="11" spans="1:12" x14ac:dyDescent="0.3">
      <c r="A11">
        <v>6</v>
      </c>
      <c r="B11" t="s">
        <v>353</v>
      </c>
      <c r="C11">
        <v>204798</v>
      </c>
      <c r="D11" t="s">
        <v>352</v>
      </c>
      <c r="E11" s="46">
        <v>37513</v>
      </c>
      <c r="F11">
        <v>0</v>
      </c>
      <c r="G11">
        <v>15</v>
      </c>
      <c r="H11">
        <v>60</v>
      </c>
      <c r="I11">
        <v>30</v>
      </c>
      <c r="K11">
        <v>105</v>
      </c>
      <c r="L11">
        <v>6</v>
      </c>
    </row>
    <row r="12" spans="1:12" x14ac:dyDescent="0.3">
      <c r="A12">
        <v>7</v>
      </c>
      <c r="B12" t="s">
        <v>737</v>
      </c>
      <c r="C12">
        <v>200615</v>
      </c>
      <c r="D12" t="s">
        <v>736</v>
      </c>
      <c r="E12" s="46">
        <v>31366</v>
      </c>
      <c r="F12">
        <v>30</v>
      </c>
      <c r="G12">
        <v>30</v>
      </c>
      <c r="H12">
        <v>30</v>
      </c>
      <c r="I12">
        <v>15</v>
      </c>
      <c r="K12">
        <v>105</v>
      </c>
      <c r="L12">
        <v>6</v>
      </c>
    </row>
    <row r="13" spans="1:12" x14ac:dyDescent="0.3">
      <c r="A13">
        <v>8</v>
      </c>
      <c r="B13" t="s">
        <v>672</v>
      </c>
      <c r="C13">
        <v>203141</v>
      </c>
      <c r="D13" t="s">
        <v>91</v>
      </c>
      <c r="E13" s="46">
        <v>38967</v>
      </c>
      <c r="F13">
        <v>15</v>
      </c>
      <c r="G13">
        <v>30</v>
      </c>
      <c r="H13">
        <v>15</v>
      </c>
      <c r="I13">
        <v>30</v>
      </c>
      <c r="K13">
        <v>90</v>
      </c>
      <c r="L13">
        <v>8</v>
      </c>
    </row>
    <row r="14" spans="1:12" x14ac:dyDescent="0.3">
      <c r="A14">
        <v>9</v>
      </c>
      <c r="B14" t="s">
        <v>669</v>
      </c>
      <c r="C14">
        <v>201147</v>
      </c>
      <c r="D14" t="s">
        <v>668</v>
      </c>
      <c r="E14" s="46">
        <v>37897</v>
      </c>
      <c r="F14">
        <v>90</v>
      </c>
      <c r="G14">
        <v>0</v>
      </c>
      <c r="H14">
        <v>0</v>
      </c>
      <c r="I14">
        <v>0</v>
      </c>
      <c r="K14">
        <v>90</v>
      </c>
      <c r="L14">
        <v>8</v>
      </c>
    </row>
    <row r="15" spans="1:12" x14ac:dyDescent="0.3">
      <c r="A15">
        <v>10</v>
      </c>
      <c r="B15" t="s">
        <v>419</v>
      </c>
      <c r="C15">
        <v>203137</v>
      </c>
      <c r="D15" t="s">
        <v>418</v>
      </c>
      <c r="E15" s="46">
        <v>38548</v>
      </c>
      <c r="F15">
        <v>30</v>
      </c>
      <c r="G15">
        <v>15</v>
      </c>
      <c r="H15">
        <v>15</v>
      </c>
      <c r="I15">
        <v>15</v>
      </c>
      <c r="K15">
        <v>75</v>
      </c>
      <c r="L15">
        <v>10</v>
      </c>
    </row>
    <row r="16" spans="1:12" x14ac:dyDescent="0.3">
      <c r="A16">
        <v>11</v>
      </c>
      <c r="B16" t="s">
        <v>667</v>
      </c>
      <c r="C16">
        <v>200447</v>
      </c>
      <c r="D16" t="s">
        <v>666</v>
      </c>
      <c r="E16" s="46">
        <v>34963</v>
      </c>
      <c r="F16">
        <v>0</v>
      </c>
      <c r="G16">
        <v>0</v>
      </c>
      <c r="H16">
        <v>0</v>
      </c>
      <c r="I16">
        <v>60</v>
      </c>
      <c r="K16">
        <v>60</v>
      </c>
      <c r="L16">
        <v>11</v>
      </c>
    </row>
    <row r="17" spans="1:12" x14ac:dyDescent="0.3">
      <c r="A17">
        <v>12</v>
      </c>
      <c r="B17" t="s">
        <v>608</v>
      </c>
      <c r="C17">
        <v>205132</v>
      </c>
      <c r="D17" t="s">
        <v>99</v>
      </c>
      <c r="E17" s="46">
        <v>40002</v>
      </c>
      <c r="F17">
        <v>0</v>
      </c>
      <c r="G17">
        <v>30</v>
      </c>
      <c r="H17">
        <v>30</v>
      </c>
      <c r="I17">
        <v>0</v>
      </c>
      <c r="K17">
        <v>60</v>
      </c>
      <c r="L17">
        <v>11</v>
      </c>
    </row>
    <row r="18" spans="1:12" x14ac:dyDescent="0.3">
      <c r="A18">
        <v>13</v>
      </c>
      <c r="B18" t="s">
        <v>450</v>
      </c>
      <c r="C18">
        <v>200252</v>
      </c>
      <c r="D18" t="s">
        <v>889</v>
      </c>
      <c r="E18" s="46">
        <v>35431</v>
      </c>
      <c r="F18">
        <v>0</v>
      </c>
      <c r="G18">
        <v>15</v>
      </c>
      <c r="H18">
        <v>0</v>
      </c>
      <c r="I18">
        <v>30</v>
      </c>
      <c r="K18">
        <v>45</v>
      </c>
      <c r="L18">
        <v>13</v>
      </c>
    </row>
    <row r="19" spans="1:12" x14ac:dyDescent="0.3">
      <c r="A19">
        <v>14</v>
      </c>
      <c r="B19" t="s">
        <v>717</v>
      </c>
      <c r="C19">
        <v>201171</v>
      </c>
      <c r="D19" t="s">
        <v>716</v>
      </c>
      <c r="E19" s="46">
        <v>36559</v>
      </c>
      <c r="F19">
        <v>0</v>
      </c>
      <c r="G19">
        <v>0</v>
      </c>
      <c r="H19">
        <v>30</v>
      </c>
      <c r="I19">
        <v>15</v>
      </c>
      <c r="K19">
        <v>45</v>
      </c>
      <c r="L19">
        <v>13</v>
      </c>
    </row>
    <row r="20" spans="1:12" x14ac:dyDescent="0.3">
      <c r="A20">
        <v>15</v>
      </c>
      <c r="B20" t="s">
        <v>457</v>
      </c>
      <c r="C20">
        <v>206422</v>
      </c>
      <c r="D20" t="s">
        <v>456</v>
      </c>
      <c r="E20" s="46">
        <v>38116</v>
      </c>
      <c r="F20">
        <v>15</v>
      </c>
      <c r="G20">
        <v>15</v>
      </c>
      <c r="H20">
        <v>0</v>
      </c>
      <c r="I20">
        <v>15</v>
      </c>
      <c r="K20">
        <v>45</v>
      </c>
      <c r="L20">
        <v>13</v>
      </c>
    </row>
    <row r="21" spans="1:12" x14ac:dyDescent="0.3">
      <c r="A21">
        <v>16</v>
      </c>
      <c r="B21" t="s">
        <v>807</v>
      </c>
      <c r="C21">
        <v>204785</v>
      </c>
      <c r="D21" t="s">
        <v>806</v>
      </c>
      <c r="E21" s="46">
        <v>38131</v>
      </c>
      <c r="F21">
        <v>15</v>
      </c>
      <c r="G21">
        <v>15</v>
      </c>
      <c r="H21">
        <v>15</v>
      </c>
      <c r="I21">
        <v>0</v>
      </c>
      <c r="K21">
        <v>45</v>
      </c>
      <c r="L21">
        <v>13</v>
      </c>
    </row>
    <row r="22" spans="1:12" x14ac:dyDescent="0.3">
      <c r="A22">
        <v>17</v>
      </c>
      <c r="B22" t="s">
        <v>602</v>
      </c>
      <c r="C22">
        <v>209050</v>
      </c>
      <c r="D22" t="s">
        <v>601</v>
      </c>
      <c r="E22" s="46">
        <v>36503</v>
      </c>
      <c r="F22">
        <v>15</v>
      </c>
      <c r="G22">
        <v>15</v>
      </c>
      <c r="H22">
        <v>15</v>
      </c>
      <c r="I22">
        <v>0</v>
      </c>
      <c r="K22">
        <v>45</v>
      </c>
      <c r="L22">
        <v>13</v>
      </c>
    </row>
    <row r="23" spans="1:12" x14ac:dyDescent="0.3">
      <c r="A23">
        <v>18</v>
      </c>
      <c r="B23" t="s">
        <v>368</v>
      </c>
      <c r="C23">
        <v>206013</v>
      </c>
      <c r="D23" t="s">
        <v>105</v>
      </c>
      <c r="E23" s="46">
        <v>39332</v>
      </c>
      <c r="F23">
        <v>15</v>
      </c>
      <c r="G23">
        <v>15</v>
      </c>
      <c r="H23">
        <v>15</v>
      </c>
      <c r="I23">
        <v>0</v>
      </c>
      <c r="K23">
        <v>45</v>
      </c>
      <c r="L23">
        <v>13</v>
      </c>
    </row>
    <row r="24" spans="1:12" x14ac:dyDescent="0.3">
      <c r="A24">
        <v>19</v>
      </c>
      <c r="B24" t="s">
        <v>507</v>
      </c>
      <c r="C24">
        <v>207206</v>
      </c>
      <c r="D24" t="s">
        <v>888</v>
      </c>
      <c r="E24" s="46">
        <v>37661</v>
      </c>
      <c r="F24">
        <v>0</v>
      </c>
      <c r="G24">
        <v>0</v>
      </c>
      <c r="H24">
        <v>15</v>
      </c>
      <c r="I24">
        <v>15</v>
      </c>
      <c r="K24">
        <v>30</v>
      </c>
      <c r="L24">
        <v>19</v>
      </c>
    </row>
    <row r="25" spans="1:12" x14ac:dyDescent="0.3">
      <c r="A25">
        <v>20</v>
      </c>
      <c r="B25" t="s">
        <v>949</v>
      </c>
      <c r="D25" t="s">
        <v>868</v>
      </c>
      <c r="E25" s="46">
        <v>38213</v>
      </c>
      <c r="F25">
        <v>15</v>
      </c>
      <c r="G25">
        <v>0</v>
      </c>
      <c r="H25">
        <v>0</v>
      </c>
      <c r="I25">
        <v>15</v>
      </c>
      <c r="K25">
        <v>30</v>
      </c>
      <c r="L25">
        <v>19</v>
      </c>
    </row>
    <row r="26" spans="1:12" x14ac:dyDescent="0.3">
      <c r="A26">
        <v>21</v>
      </c>
      <c r="B26" t="s">
        <v>692</v>
      </c>
      <c r="C26">
        <v>207881</v>
      </c>
      <c r="D26" t="s">
        <v>886</v>
      </c>
      <c r="E26" s="46">
        <v>40111</v>
      </c>
      <c r="F26">
        <v>0</v>
      </c>
      <c r="G26">
        <v>15</v>
      </c>
      <c r="H26">
        <v>15</v>
      </c>
      <c r="I26">
        <v>0</v>
      </c>
      <c r="K26">
        <v>30</v>
      </c>
      <c r="L26">
        <v>19</v>
      </c>
    </row>
    <row r="27" spans="1:12" x14ac:dyDescent="0.3">
      <c r="A27">
        <v>22</v>
      </c>
      <c r="B27" t="s">
        <v>488</v>
      </c>
      <c r="C27">
        <v>206424</v>
      </c>
      <c r="D27" t="s">
        <v>117</v>
      </c>
      <c r="E27" s="46">
        <v>39337</v>
      </c>
      <c r="F27">
        <v>15</v>
      </c>
      <c r="G27">
        <v>0</v>
      </c>
      <c r="H27">
        <v>15</v>
      </c>
      <c r="I27">
        <v>0</v>
      </c>
      <c r="K27">
        <v>30</v>
      </c>
      <c r="L27">
        <v>19</v>
      </c>
    </row>
    <row r="28" spans="1:12" x14ac:dyDescent="0.3">
      <c r="A28">
        <v>23</v>
      </c>
      <c r="B28" t="s">
        <v>329</v>
      </c>
      <c r="C28">
        <v>201172</v>
      </c>
      <c r="D28" t="s">
        <v>887</v>
      </c>
      <c r="E28" s="46">
        <v>38256</v>
      </c>
      <c r="F28">
        <v>30</v>
      </c>
      <c r="G28">
        <v>0</v>
      </c>
      <c r="H28">
        <v>0</v>
      </c>
      <c r="I28">
        <v>0</v>
      </c>
      <c r="K28">
        <v>30</v>
      </c>
      <c r="L28">
        <v>19</v>
      </c>
    </row>
    <row r="29" spans="1:12" x14ac:dyDescent="0.3">
      <c r="A29">
        <v>24</v>
      </c>
      <c r="B29" t="s">
        <v>794</v>
      </c>
      <c r="C29">
        <v>203140</v>
      </c>
      <c r="D29" t="s">
        <v>793</v>
      </c>
      <c r="E29" s="46">
        <v>38010</v>
      </c>
      <c r="F29">
        <v>0</v>
      </c>
      <c r="G29">
        <v>0</v>
      </c>
      <c r="H29">
        <v>0</v>
      </c>
      <c r="I29">
        <v>15</v>
      </c>
      <c r="K29">
        <v>15</v>
      </c>
      <c r="L29">
        <v>24</v>
      </c>
    </row>
    <row r="30" spans="1:12" x14ac:dyDescent="0.3">
      <c r="A30">
        <v>25</v>
      </c>
      <c r="B30" t="s">
        <v>337</v>
      </c>
      <c r="C30">
        <v>205144</v>
      </c>
      <c r="D30" t="s">
        <v>335</v>
      </c>
      <c r="E30" s="46">
        <v>40015</v>
      </c>
      <c r="F30">
        <v>15</v>
      </c>
      <c r="G30">
        <v>0</v>
      </c>
      <c r="H30">
        <v>0</v>
      </c>
      <c r="I30">
        <v>0</v>
      </c>
      <c r="K30">
        <v>15</v>
      </c>
      <c r="L30">
        <v>24</v>
      </c>
    </row>
    <row r="35" spans="1:12" x14ac:dyDescent="0.3">
      <c r="A35" t="s">
        <v>960</v>
      </c>
    </row>
    <row r="36" spans="1:12" x14ac:dyDescent="0.3">
      <c r="A36" t="s">
        <v>879</v>
      </c>
      <c r="B36" t="s">
        <v>870</v>
      </c>
      <c r="C36" t="s">
        <v>880</v>
      </c>
      <c r="D36" t="s">
        <v>307</v>
      </c>
      <c r="E36" t="s">
        <v>881</v>
      </c>
      <c r="F36" t="s">
        <v>882</v>
      </c>
      <c r="G36" t="s">
        <v>934</v>
      </c>
      <c r="H36" t="s">
        <v>935</v>
      </c>
      <c r="I36" t="s">
        <v>959</v>
      </c>
      <c r="J36" t="s">
        <v>1073</v>
      </c>
      <c r="K36" t="s">
        <v>883</v>
      </c>
      <c r="L36" t="s">
        <v>14</v>
      </c>
    </row>
    <row r="37" spans="1:12" x14ac:dyDescent="0.3">
      <c r="A37">
        <v>1</v>
      </c>
      <c r="B37" t="s">
        <v>672</v>
      </c>
      <c r="C37">
        <v>203141</v>
      </c>
      <c r="D37" t="s">
        <v>91</v>
      </c>
      <c r="E37" s="46">
        <v>38967</v>
      </c>
      <c r="F37">
        <v>45</v>
      </c>
      <c r="G37">
        <v>30</v>
      </c>
      <c r="H37">
        <v>90</v>
      </c>
      <c r="I37">
        <v>90</v>
      </c>
      <c r="K37">
        <v>255</v>
      </c>
      <c r="L37">
        <v>1</v>
      </c>
    </row>
    <row r="38" spans="1:12" x14ac:dyDescent="0.3">
      <c r="A38">
        <v>2</v>
      </c>
      <c r="B38" t="s">
        <v>314</v>
      </c>
      <c r="C38">
        <v>203812</v>
      </c>
      <c r="D38" t="s">
        <v>86</v>
      </c>
      <c r="E38" s="46">
        <v>39722</v>
      </c>
      <c r="F38">
        <v>45</v>
      </c>
      <c r="G38">
        <v>60</v>
      </c>
      <c r="H38">
        <v>60</v>
      </c>
      <c r="I38">
        <v>60</v>
      </c>
      <c r="K38">
        <v>225</v>
      </c>
      <c r="L38">
        <v>2</v>
      </c>
    </row>
    <row r="39" spans="1:12" x14ac:dyDescent="0.3">
      <c r="A39">
        <v>3</v>
      </c>
      <c r="B39" t="s">
        <v>435</v>
      </c>
      <c r="C39">
        <v>202727</v>
      </c>
      <c r="D39" t="s">
        <v>971</v>
      </c>
      <c r="E39" s="46">
        <v>39066</v>
      </c>
      <c r="F39">
        <v>60</v>
      </c>
      <c r="G39">
        <v>90</v>
      </c>
      <c r="H39">
        <v>0</v>
      </c>
      <c r="I39">
        <v>45</v>
      </c>
      <c r="K39">
        <v>195</v>
      </c>
      <c r="L39">
        <v>3</v>
      </c>
    </row>
    <row r="40" spans="1:12" x14ac:dyDescent="0.3">
      <c r="A40">
        <v>4</v>
      </c>
      <c r="B40" t="s">
        <v>608</v>
      </c>
      <c r="C40">
        <v>205132</v>
      </c>
      <c r="D40" t="s">
        <v>99</v>
      </c>
      <c r="E40" s="46">
        <v>40002</v>
      </c>
      <c r="F40">
        <v>30</v>
      </c>
      <c r="G40">
        <v>45</v>
      </c>
      <c r="H40">
        <v>30</v>
      </c>
      <c r="I40">
        <v>45</v>
      </c>
      <c r="K40">
        <v>150</v>
      </c>
      <c r="L40">
        <v>4</v>
      </c>
    </row>
    <row r="41" spans="1:12" x14ac:dyDescent="0.3">
      <c r="A41">
        <v>5</v>
      </c>
      <c r="B41" t="s">
        <v>433</v>
      </c>
      <c r="C41">
        <v>203746</v>
      </c>
      <c r="D41" t="s">
        <v>885</v>
      </c>
      <c r="E41" s="46">
        <v>39479</v>
      </c>
      <c r="F41">
        <v>30</v>
      </c>
      <c r="G41">
        <v>30</v>
      </c>
      <c r="H41">
        <v>45</v>
      </c>
      <c r="I41">
        <v>30</v>
      </c>
      <c r="K41">
        <v>135</v>
      </c>
      <c r="L41">
        <v>5</v>
      </c>
    </row>
    <row r="42" spans="1:12" x14ac:dyDescent="0.3">
      <c r="A42">
        <v>6</v>
      </c>
      <c r="B42" t="s">
        <v>368</v>
      </c>
      <c r="C42">
        <v>206013</v>
      </c>
      <c r="D42" t="s">
        <v>105</v>
      </c>
      <c r="E42" s="46">
        <v>39332</v>
      </c>
      <c r="F42">
        <v>15</v>
      </c>
      <c r="G42">
        <v>45</v>
      </c>
      <c r="H42">
        <v>30</v>
      </c>
      <c r="I42">
        <v>30</v>
      </c>
      <c r="K42">
        <v>120</v>
      </c>
      <c r="L42">
        <v>6</v>
      </c>
    </row>
    <row r="43" spans="1:12" x14ac:dyDescent="0.3">
      <c r="A43">
        <v>7</v>
      </c>
      <c r="B43" t="s">
        <v>692</v>
      </c>
      <c r="C43">
        <v>207881</v>
      </c>
      <c r="D43" t="s">
        <v>886</v>
      </c>
      <c r="E43" s="46">
        <v>40111</v>
      </c>
      <c r="F43">
        <v>30</v>
      </c>
      <c r="G43">
        <v>30</v>
      </c>
      <c r="H43">
        <v>45</v>
      </c>
      <c r="I43">
        <v>15</v>
      </c>
      <c r="K43">
        <v>120</v>
      </c>
      <c r="L43">
        <v>6</v>
      </c>
    </row>
    <row r="44" spans="1:12" x14ac:dyDescent="0.3">
      <c r="A44">
        <v>8</v>
      </c>
      <c r="B44" t="s">
        <v>488</v>
      </c>
      <c r="C44">
        <v>206424</v>
      </c>
      <c r="D44" t="s">
        <v>117</v>
      </c>
      <c r="E44" s="46">
        <v>39337</v>
      </c>
      <c r="F44">
        <v>15</v>
      </c>
      <c r="G44">
        <v>30</v>
      </c>
      <c r="H44">
        <v>30</v>
      </c>
      <c r="I44">
        <v>30</v>
      </c>
      <c r="K44">
        <v>105</v>
      </c>
      <c r="L44">
        <v>8</v>
      </c>
    </row>
    <row r="45" spans="1:12" x14ac:dyDescent="0.3">
      <c r="A45">
        <v>9</v>
      </c>
      <c r="B45" t="s">
        <v>337</v>
      </c>
      <c r="C45">
        <v>205144</v>
      </c>
      <c r="D45" t="s">
        <v>335</v>
      </c>
      <c r="E45" s="46">
        <v>40015</v>
      </c>
      <c r="F45">
        <v>90</v>
      </c>
      <c r="G45">
        <v>0</v>
      </c>
      <c r="H45">
        <v>0</v>
      </c>
      <c r="I45">
        <v>0</v>
      </c>
      <c r="K45">
        <v>90</v>
      </c>
      <c r="L45">
        <v>9</v>
      </c>
    </row>
    <row r="46" spans="1:12" x14ac:dyDescent="0.3">
      <c r="A46">
        <v>10</v>
      </c>
      <c r="B46" t="s">
        <v>537</v>
      </c>
      <c r="C46">
        <v>208549</v>
      </c>
      <c r="D46" t="s">
        <v>129</v>
      </c>
      <c r="E46" s="46">
        <v>40040</v>
      </c>
      <c r="F46">
        <v>0</v>
      </c>
      <c r="G46">
        <v>15</v>
      </c>
      <c r="H46">
        <v>15</v>
      </c>
      <c r="I46">
        <v>30</v>
      </c>
      <c r="K46">
        <v>60</v>
      </c>
      <c r="L46">
        <v>10</v>
      </c>
    </row>
    <row r="47" spans="1:12" x14ac:dyDescent="0.3">
      <c r="A47">
        <v>11</v>
      </c>
      <c r="B47" t="s">
        <v>693</v>
      </c>
      <c r="C47">
        <v>205798</v>
      </c>
      <c r="D47" t="s">
        <v>98</v>
      </c>
      <c r="E47" s="46">
        <v>39639</v>
      </c>
      <c r="F47">
        <v>15</v>
      </c>
      <c r="G47">
        <v>15</v>
      </c>
      <c r="H47">
        <v>15</v>
      </c>
      <c r="I47">
        <v>15</v>
      </c>
      <c r="K47">
        <v>60</v>
      </c>
      <c r="L47">
        <v>10</v>
      </c>
    </row>
    <row r="48" spans="1:12" x14ac:dyDescent="0.3">
      <c r="A48">
        <v>12</v>
      </c>
      <c r="B48" t="s">
        <v>348</v>
      </c>
      <c r="C48">
        <v>206151</v>
      </c>
      <c r="D48" t="s">
        <v>891</v>
      </c>
      <c r="E48" s="46">
        <v>39765</v>
      </c>
      <c r="F48">
        <v>30</v>
      </c>
      <c r="G48">
        <v>15</v>
      </c>
      <c r="H48">
        <v>0</v>
      </c>
      <c r="I48">
        <v>15</v>
      </c>
      <c r="K48">
        <v>60</v>
      </c>
      <c r="L48">
        <v>10</v>
      </c>
    </row>
    <row r="49" spans="1:12" x14ac:dyDescent="0.3">
      <c r="A49">
        <v>13</v>
      </c>
      <c r="B49" t="s">
        <v>453</v>
      </c>
      <c r="C49">
        <v>206750</v>
      </c>
      <c r="D49" t="s">
        <v>194</v>
      </c>
      <c r="E49" s="46">
        <v>40154</v>
      </c>
      <c r="F49">
        <v>0</v>
      </c>
      <c r="G49">
        <v>0</v>
      </c>
      <c r="H49">
        <v>30</v>
      </c>
      <c r="I49">
        <v>15</v>
      </c>
      <c r="K49">
        <v>45</v>
      </c>
      <c r="L49">
        <v>13</v>
      </c>
    </row>
    <row r="50" spans="1:12" x14ac:dyDescent="0.3">
      <c r="A50">
        <v>14</v>
      </c>
      <c r="B50" t="s">
        <v>527</v>
      </c>
      <c r="C50">
        <v>206946</v>
      </c>
      <c r="D50" t="s">
        <v>892</v>
      </c>
      <c r="E50" s="46">
        <v>40244</v>
      </c>
      <c r="F50">
        <v>0</v>
      </c>
      <c r="G50">
        <v>15</v>
      </c>
      <c r="H50">
        <v>15</v>
      </c>
      <c r="I50">
        <v>15</v>
      </c>
      <c r="K50">
        <v>45</v>
      </c>
      <c r="L50">
        <v>13</v>
      </c>
    </row>
    <row r="51" spans="1:12" x14ac:dyDescent="0.3">
      <c r="A51">
        <v>15</v>
      </c>
      <c r="B51" t="s">
        <v>361</v>
      </c>
      <c r="C51">
        <v>206149</v>
      </c>
      <c r="D51" t="s">
        <v>108</v>
      </c>
      <c r="E51" s="46">
        <v>40500</v>
      </c>
      <c r="F51">
        <v>15</v>
      </c>
      <c r="G51">
        <v>0</v>
      </c>
      <c r="H51">
        <v>15</v>
      </c>
      <c r="I51">
        <v>15</v>
      </c>
      <c r="K51">
        <v>45</v>
      </c>
      <c r="L51">
        <v>13</v>
      </c>
    </row>
    <row r="52" spans="1:12" x14ac:dyDescent="0.3">
      <c r="A52">
        <v>16</v>
      </c>
      <c r="B52" t="s">
        <v>360</v>
      </c>
      <c r="C52">
        <v>206000</v>
      </c>
      <c r="D52" t="s">
        <v>890</v>
      </c>
      <c r="E52" s="46">
        <v>39377</v>
      </c>
      <c r="F52">
        <v>15</v>
      </c>
      <c r="G52">
        <v>15</v>
      </c>
      <c r="H52">
        <v>15</v>
      </c>
      <c r="I52">
        <v>0</v>
      </c>
      <c r="K52">
        <v>45</v>
      </c>
      <c r="L52">
        <v>13</v>
      </c>
    </row>
    <row r="53" spans="1:12" x14ac:dyDescent="0.3">
      <c r="A53">
        <v>17</v>
      </c>
      <c r="B53" t="s">
        <v>561</v>
      </c>
      <c r="C53">
        <v>204487</v>
      </c>
      <c r="D53" t="s">
        <v>85</v>
      </c>
      <c r="E53" s="46">
        <v>40406</v>
      </c>
      <c r="F53">
        <v>15</v>
      </c>
      <c r="G53">
        <v>15</v>
      </c>
      <c r="H53">
        <v>15</v>
      </c>
      <c r="I53">
        <v>0</v>
      </c>
      <c r="K53">
        <v>45</v>
      </c>
      <c r="L53">
        <v>13</v>
      </c>
    </row>
    <row r="54" spans="1:12" x14ac:dyDescent="0.3">
      <c r="A54">
        <v>18</v>
      </c>
      <c r="B54" t="s">
        <v>394</v>
      </c>
      <c r="C54">
        <v>207079</v>
      </c>
      <c r="D54" t="s">
        <v>393</v>
      </c>
      <c r="E54" s="46">
        <v>40412</v>
      </c>
      <c r="F54">
        <v>0</v>
      </c>
      <c r="G54">
        <v>15</v>
      </c>
      <c r="H54">
        <v>15</v>
      </c>
      <c r="I54">
        <v>0</v>
      </c>
      <c r="K54">
        <v>30</v>
      </c>
      <c r="L54">
        <v>18</v>
      </c>
    </row>
    <row r="55" spans="1:12" x14ac:dyDescent="0.3">
      <c r="A55">
        <v>19</v>
      </c>
      <c r="B55" t="s">
        <v>327</v>
      </c>
      <c r="C55">
        <v>202733</v>
      </c>
      <c r="D55" t="s">
        <v>127</v>
      </c>
      <c r="E55" s="46">
        <v>39162</v>
      </c>
      <c r="F55">
        <v>15</v>
      </c>
      <c r="G55">
        <v>15</v>
      </c>
      <c r="H55">
        <v>0</v>
      </c>
      <c r="I55">
        <v>0</v>
      </c>
      <c r="K55">
        <v>30</v>
      </c>
      <c r="L55">
        <v>18</v>
      </c>
    </row>
    <row r="56" spans="1:12" x14ac:dyDescent="0.3">
      <c r="A56">
        <v>20</v>
      </c>
      <c r="B56" t="s">
        <v>660</v>
      </c>
      <c r="D56" t="s">
        <v>157</v>
      </c>
      <c r="E56" s="46">
        <v>39160</v>
      </c>
      <c r="F56">
        <v>0</v>
      </c>
      <c r="G56">
        <v>0</v>
      </c>
      <c r="H56">
        <v>0</v>
      </c>
      <c r="I56">
        <v>15</v>
      </c>
      <c r="K56">
        <v>15</v>
      </c>
      <c r="L56">
        <v>20</v>
      </c>
    </row>
    <row r="57" spans="1:12" x14ac:dyDescent="0.3">
      <c r="A57">
        <v>21</v>
      </c>
      <c r="B57" t="s">
        <v>445</v>
      </c>
      <c r="C57">
        <v>202375</v>
      </c>
      <c r="D57" t="s">
        <v>231</v>
      </c>
      <c r="E57" s="46">
        <v>38735</v>
      </c>
      <c r="F57">
        <v>0</v>
      </c>
      <c r="G57">
        <v>0</v>
      </c>
      <c r="H57">
        <v>0</v>
      </c>
      <c r="I57">
        <v>15</v>
      </c>
      <c r="K57">
        <v>15</v>
      </c>
      <c r="L57">
        <v>20</v>
      </c>
    </row>
    <row r="58" spans="1:12" x14ac:dyDescent="0.3">
      <c r="A58">
        <v>22</v>
      </c>
      <c r="B58" t="s">
        <v>714</v>
      </c>
      <c r="C58">
        <v>206268</v>
      </c>
      <c r="D58" t="s">
        <v>713</v>
      </c>
      <c r="E58" s="46">
        <v>39934</v>
      </c>
      <c r="F58">
        <v>0</v>
      </c>
      <c r="G58">
        <v>0</v>
      </c>
      <c r="H58">
        <v>15</v>
      </c>
      <c r="I58">
        <v>0</v>
      </c>
      <c r="K58">
        <v>15</v>
      </c>
      <c r="L58">
        <v>20</v>
      </c>
    </row>
    <row r="59" spans="1:12" x14ac:dyDescent="0.3">
      <c r="A59">
        <v>21</v>
      </c>
      <c r="B59" t="s">
        <v>798</v>
      </c>
      <c r="C59">
        <v>208515</v>
      </c>
      <c r="D59" t="s">
        <v>147</v>
      </c>
      <c r="E59" s="46">
        <v>39146</v>
      </c>
      <c r="F59">
        <v>15</v>
      </c>
      <c r="G59">
        <v>0</v>
      </c>
      <c r="H59">
        <v>0</v>
      </c>
      <c r="I59">
        <v>0</v>
      </c>
      <c r="K59">
        <v>15</v>
      </c>
      <c r="L59">
        <v>20</v>
      </c>
    </row>
    <row r="64" spans="1:12" x14ac:dyDescent="0.3">
      <c r="A64" t="s">
        <v>961</v>
      </c>
    </row>
    <row r="65" spans="1:12" x14ac:dyDescent="0.3">
      <c r="A65" t="s">
        <v>879</v>
      </c>
      <c r="B65" t="s">
        <v>870</v>
      </c>
      <c r="C65" t="s">
        <v>880</v>
      </c>
      <c r="D65" t="s">
        <v>307</v>
      </c>
      <c r="E65" t="s">
        <v>881</v>
      </c>
      <c r="F65" t="s">
        <v>882</v>
      </c>
      <c r="G65" t="s">
        <v>934</v>
      </c>
      <c r="H65" t="s">
        <v>935</v>
      </c>
      <c r="I65" t="s">
        <v>959</v>
      </c>
      <c r="J65" t="s">
        <v>1073</v>
      </c>
      <c r="K65" t="s">
        <v>883</v>
      </c>
      <c r="L65" t="s">
        <v>14</v>
      </c>
    </row>
    <row r="66" spans="1:12" x14ac:dyDescent="0.3">
      <c r="A66">
        <v>1</v>
      </c>
      <c r="B66" t="s">
        <v>314</v>
      </c>
      <c r="C66">
        <v>203812</v>
      </c>
      <c r="D66" t="s">
        <v>86</v>
      </c>
      <c r="E66" s="46">
        <v>39722</v>
      </c>
      <c r="F66">
        <v>90</v>
      </c>
      <c r="G66">
        <v>90</v>
      </c>
      <c r="H66">
        <v>90</v>
      </c>
      <c r="I66">
        <v>45</v>
      </c>
      <c r="K66">
        <v>315</v>
      </c>
      <c r="L66">
        <v>1</v>
      </c>
    </row>
    <row r="67" spans="1:12" x14ac:dyDescent="0.3">
      <c r="A67">
        <v>2</v>
      </c>
      <c r="B67" t="s">
        <v>433</v>
      </c>
      <c r="C67">
        <v>203746</v>
      </c>
      <c r="D67" t="s">
        <v>885</v>
      </c>
      <c r="E67" s="46">
        <v>39479</v>
      </c>
      <c r="F67">
        <v>45</v>
      </c>
      <c r="G67">
        <v>0</v>
      </c>
      <c r="H67">
        <v>60</v>
      </c>
      <c r="I67">
        <v>90</v>
      </c>
      <c r="K67">
        <v>195</v>
      </c>
      <c r="L67">
        <v>2</v>
      </c>
    </row>
    <row r="68" spans="1:12" x14ac:dyDescent="0.3">
      <c r="A68">
        <v>3</v>
      </c>
      <c r="B68" t="s">
        <v>608</v>
      </c>
      <c r="C68">
        <v>205132</v>
      </c>
      <c r="D68" t="s">
        <v>99</v>
      </c>
      <c r="E68" s="46">
        <v>40002</v>
      </c>
      <c r="F68">
        <v>45</v>
      </c>
      <c r="G68">
        <v>45</v>
      </c>
      <c r="H68">
        <v>45</v>
      </c>
      <c r="I68">
        <v>60</v>
      </c>
      <c r="K68">
        <v>195</v>
      </c>
      <c r="L68">
        <v>2</v>
      </c>
    </row>
    <row r="69" spans="1:12" x14ac:dyDescent="0.3">
      <c r="A69">
        <v>4</v>
      </c>
      <c r="B69" t="s">
        <v>693</v>
      </c>
      <c r="C69">
        <v>205798</v>
      </c>
      <c r="D69" t="s">
        <v>98</v>
      </c>
      <c r="E69" s="46">
        <v>39639</v>
      </c>
      <c r="F69">
        <v>30</v>
      </c>
      <c r="G69">
        <v>60</v>
      </c>
      <c r="H69">
        <v>45</v>
      </c>
      <c r="I69">
        <v>15</v>
      </c>
      <c r="K69">
        <v>150</v>
      </c>
      <c r="L69">
        <v>4</v>
      </c>
    </row>
    <row r="70" spans="1:12" x14ac:dyDescent="0.3">
      <c r="A70">
        <v>5</v>
      </c>
      <c r="B70" t="s">
        <v>527</v>
      </c>
      <c r="C70">
        <v>206946</v>
      </c>
      <c r="D70" t="s">
        <v>892</v>
      </c>
      <c r="E70" s="46">
        <v>40244</v>
      </c>
      <c r="F70">
        <v>30</v>
      </c>
      <c r="G70">
        <v>15</v>
      </c>
      <c r="H70">
        <v>30</v>
      </c>
      <c r="I70">
        <v>30</v>
      </c>
      <c r="K70">
        <v>105</v>
      </c>
      <c r="L70">
        <v>5</v>
      </c>
    </row>
    <row r="71" spans="1:12" x14ac:dyDescent="0.3">
      <c r="A71">
        <v>6</v>
      </c>
      <c r="B71" t="s">
        <v>692</v>
      </c>
      <c r="C71">
        <v>207881</v>
      </c>
      <c r="D71" t="s">
        <v>886</v>
      </c>
      <c r="E71" s="46">
        <v>40111</v>
      </c>
      <c r="F71">
        <v>30</v>
      </c>
      <c r="G71">
        <v>30</v>
      </c>
      <c r="H71">
        <v>30</v>
      </c>
      <c r="I71">
        <v>15</v>
      </c>
      <c r="K71">
        <v>105</v>
      </c>
      <c r="L71">
        <v>5</v>
      </c>
    </row>
    <row r="72" spans="1:12" x14ac:dyDescent="0.3">
      <c r="A72">
        <v>7</v>
      </c>
      <c r="B72" t="s">
        <v>504</v>
      </c>
      <c r="C72">
        <v>206231</v>
      </c>
      <c r="D72" t="s">
        <v>97</v>
      </c>
      <c r="E72" s="46">
        <v>40590</v>
      </c>
      <c r="F72">
        <v>0</v>
      </c>
      <c r="G72">
        <v>30</v>
      </c>
      <c r="H72">
        <v>30</v>
      </c>
      <c r="I72">
        <v>30</v>
      </c>
      <c r="K72">
        <v>90</v>
      </c>
      <c r="L72">
        <v>7</v>
      </c>
    </row>
    <row r="73" spans="1:12" x14ac:dyDescent="0.3">
      <c r="A73">
        <v>8</v>
      </c>
      <c r="B73" t="s">
        <v>513</v>
      </c>
      <c r="C73">
        <v>207469</v>
      </c>
      <c r="D73" t="s">
        <v>894</v>
      </c>
      <c r="E73" s="46">
        <v>40747</v>
      </c>
      <c r="F73">
        <v>15</v>
      </c>
      <c r="G73">
        <v>0</v>
      </c>
      <c r="H73">
        <v>15</v>
      </c>
      <c r="I73">
        <v>45</v>
      </c>
      <c r="K73">
        <v>75</v>
      </c>
      <c r="L73">
        <v>8</v>
      </c>
    </row>
    <row r="74" spans="1:12" x14ac:dyDescent="0.3">
      <c r="A74">
        <v>9</v>
      </c>
      <c r="B74" t="s">
        <v>505</v>
      </c>
      <c r="C74">
        <v>204563</v>
      </c>
      <c r="D74" t="s">
        <v>112</v>
      </c>
      <c r="E74" s="46">
        <v>39631</v>
      </c>
      <c r="F74">
        <v>0</v>
      </c>
      <c r="G74">
        <v>45</v>
      </c>
      <c r="H74">
        <v>30</v>
      </c>
      <c r="I74">
        <v>0</v>
      </c>
      <c r="K74">
        <v>75</v>
      </c>
      <c r="L74">
        <v>8</v>
      </c>
    </row>
    <row r="75" spans="1:12" x14ac:dyDescent="0.3">
      <c r="A75">
        <v>10</v>
      </c>
      <c r="B75" t="s">
        <v>675</v>
      </c>
      <c r="C75">
        <v>205770</v>
      </c>
      <c r="D75" t="s">
        <v>248</v>
      </c>
      <c r="E75" s="46">
        <v>39789</v>
      </c>
      <c r="F75">
        <v>0</v>
      </c>
      <c r="G75">
        <v>15</v>
      </c>
      <c r="H75">
        <v>15</v>
      </c>
      <c r="I75">
        <v>30</v>
      </c>
      <c r="K75">
        <v>60</v>
      </c>
      <c r="L75">
        <v>10</v>
      </c>
    </row>
    <row r="76" spans="1:12" x14ac:dyDescent="0.3">
      <c r="A76">
        <v>11</v>
      </c>
      <c r="B76" t="s">
        <v>337</v>
      </c>
      <c r="C76">
        <v>205144</v>
      </c>
      <c r="D76" t="s">
        <v>335</v>
      </c>
      <c r="E76" s="46">
        <v>40015</v>
      </c>
      <c r="F76">
        <v>60</v>
      </c>
      <c r="G76">
        <v>0</v>
      </c>
      <c r="H76">
        <v>0</v>
      </c>
      <c r="I76">
        <v>0</v>
      </c>
      <c r="K76">
        <v>60</v>
      </c>
      <c r="L76">
        <v>10</v>
      </c>
    </row>
    <row r="77" spans="1:12" x14ac:dyDescent="0.3">
      <c r="A77">
        <v>12</v>
      </c>
      <c r="B77" t="s">
        <v>453</v>
      </c>
      <c r="C77">
        <v>206750</v>
      </c>
      <c r="D77" t="s">
        <v>194</v>
      </c>
      <c r="E77" s="46">
        <v>40154</v>
      </c>
      <c r="F77">
        <v>15</v>
      </c>
      <c r="G77">
        <v>0</v>
      </c>
      <c r="H77">
        <v>15</v>
      </c>
      <c r="I77">
        <v>15</v>
      </c>
      <c r="K77">
        <v>45</v>
      </c>
      <c r="L77">
        <v>12</v>
      </c>
    </row>
    <row r="78" spans="1:12" x14ac:dyDescent="0.3">
      <c r="A78">
        <v>13</v>
      </c>
      <c r="B78" t="s">
        <v>567</v>
      </c>
      <c r="C78">
        <v>204961</v>
      </c>
      <c r="D78" t="s">
        <v>896</v>
      </c>
      <c r="E78" s="46">
        <v>39755</v>
      </c>
      <c r="F78">
        <v>30</v>
      </c>
      <c r="G78">
        <v>0</v>
      </c>
      <c r="H78">
        <v>0</v>
      </c>
      <c r="I78">
        <v>15</v>
      </c>
      <c r="K78">
        <v>45</v>
      </c>
      <c r="L78">
        <v>12</v>
      </c>
    </row>
    <row r="79" spans="1:12" x14ac:dyDescent="0.3">
      <c r="A79">
        <v>14</v>
      </c>
      <c r="B79" t="s">
        <v>561</v>
      </c>
      <c r="C79">
        <v>204487</v>
      </c>
      <c r="D79" t="s">
        <v>85</v>
      </c>
      <c r="E79" s="46">
        <v>40406</v>
      </c>
      <c r="F79">
        <v>0</v>
      </c>
      <c r="G79">
        <v>30</v>
      </c>
      <c r="H79">
        <v>15</v>
      </c>
      <c r="I79">
        <v>0</v>
      </c>
      <c r="K79">
        <v>45</v>
      </c>
      <c r="L79">
        <v>12</v>
      </c>
    </row>
    <row r="80" spans="1:12" x14ac:dyDescent="0.3">
      <c r="A80">
        <v>15</v>
      </c>
      <c r="B80" t="s">
        <v>699</v>
      </c>
      <c r="C80">
        <v>206397</v>
      </c>
      <c r="D80" t="s">
        <v>893</v>
      </c>
      <c r="E80" s="46">
        <v>40575</v>
      </c>
      <c r="F80">
        <v>15</v>
      </c>
      <c r="G80">
        <v>15</v>
      </c>
      <c r="H80">
        <v>15</v>
      </c>
      <c r="I80">
        <v>0</v>
      </c>
      <c r="K80">
        <v>45</v>
      </c>
      <c r="L80">
        <v>12</v>
      </c>
    </row>
    <row r="81" spans="1:12" x14ac:dyDescent="0.3">
      <c r="A81">
        <v>16</v>
      </c>
      <c r="B81" t="s">
        <v>485</v>
      </c>
      <c r="C81">
        <v>209058</v>
      </c>
      <c r="D81" t="s">
        <v>137</v>
      </c>
      <c r="E81" s="46">
        <v>39933</v>
      </c>
      <c r="F81">
        <v>15</v>
      </c>
      <c r="G81">
        <v>15</v>
      </c>
      <c r="H81">
        <v>15</v>
      </c>
      <c r="I81">
        <v>0</v>
      </c>
      <c r="K81">
        <v>45</v>
      </c>
      <c r="L81">
        <v>12</v>
      </c>
    </row>
    <row r="82" spans="1:12" x14ac:dyDescent="0.3">
      <c r="A82">
        <v>17</v>
      </c>
      <c r="B82" t="s">
        <v>502</v>
      </c>
      <c r="C82">
        <v>206232</v>
      </c>
      <c r="D82" t="s">
        <v>972</v>
      </c>
      <c r="E82" s="46">
        <v>39827</v>
      </c>
      <c r="F82">
        <v>0</v>
      </c>
      <c r="G82">
        <v>0</v>
      </c>
      <c r="H82">
        <v>0</v>
      </c>
      <c r="I82">
        <v>30</v>
      </c>
      <c r="K82">
        <v>30</v>
      </c>
      <c r="L82">
        <v>17</v>
      </c>
    </row>
    <row r="83" spans="1:12" x14ac:dyDescent="0.3">
      <c r="A83">
        <v>18</v>
      </c>
      <c r="B83" t="s">
        <v>348</v>
      </c>
      <c r="C83">
        <v>206151</v>
      </c>
      <c r="D83" t="s">
        <v>891</v>
      </c>
      <c r="E83" s="46">
        <v>39765</v>
      </c>
      <c r="F83">
        <v>15</v>
      </c>
      <c r="G83">
        <v>0</v>
      </c>
      <c r="H83">
        <v>0</v>
      </c>
      <c r="I83">
        <v>15</v>
      </c>
      <c r="K83">
        <v>30</v>
      </c>
      <c r="L83">
        <v>17</v>
      </c>
    </row>
    <row r="84" spans="1:12" x14ac:dyDescent="0.3">
      <c r="A84">
        <v>19</v>
      </c>
      <c r="B84" t="s">
        <v>361</v>
      </c>
      <c r="C84">
        <v>206149</v>
      </c>
      <c r="D84" t="s">
        <v>108</v>
      </c>
      <c r="E84" s="46">
        <v>40500</v>
      </c>
      <c r="F84">
        <v>15</v>
      </c>
      <c r="G84">
        <v>0</v>
      </c>
      <c r="H84">
        <v>15</v>
      </c>
      <c r="I84">
        <v>0</v>
      </c>
      <c r="K84">
        <v>30</v>
      </c>
      <c r="L84">
        <v>17</v>
      </c>
    </row>
    <row r="85" spans="1:12" x14ac:dyDescent="0.3">
      <c r="A85">
        <v>20</v>
      </c>
      <c r="B85" t="s">
        <v>492</v>
      </c>
      <c r="C85">
        <v>209068</v>
      </c>
      <c r="D85" t="s">
        <v>895</v>
      </c>
      <c r="E85" s="46">
        <v>39687</v>
      </c>
      <c r="F85">
        <v>0</v>
      </c>
      <c r="G85">
        <v>30</v>
      </c>
      <c r="H85">
        <v>0</v>
      </c>
      <c r="I85">
        <v>0</v>
      </c>
      <c r="K85">
        <v>30</v>
      </c>
      <c r="L85">
        <v>17</v>
      </c>
    </row>
    <row r="86" spans="1:12" x14ac:dyDescent="0.3">
      <c r="A86">
        <v>21</v>
      </c>
      <c r="B86" t="s">
        <v>537</v>
      </c>
      <c r="C86">
        <v>208549</v>
      </c>
      <c r="D86" t="s">
        <v>129</v>
      </c>
      <c r="E86" s="46">
        <v>40040</v>
      </c>
      <c r="F86">
        <v>15</v>
      </c>
      <c r="G86">
        <v>15</v>
      </c>
      <c r="H86">
        <v>0</v>
      </c>
      <c r="I86">
        <v>0</v>
      </c>
      <c r="K86">
        <v>30</v>
      </c>
      <c r="L86">
        <v>17</v>
      </c>
    </row>
    <row r="87" spans="1:12" x14ac:dyDescent="0.3">
      <c r="A87">
        <v>22</v>
      </c>
      <c r="B87" t="s">
        <v>362</v>
      </c>
      <c r="C87">
        <v>208517</v>
      </c>
      <c r="D87" t="s">
        <v>203</v>
      </c>
      <c r="E87" s="46">
        <v>39800</v>
      </c>
      <c r="F87">
        <v>0</v>
      </c>
      <c r="G87">
        <v>0</v>
      </c>
      <c r="H87">
        <v>0</v>
      </c>
      <c r="I87">
        <v>15</v>
      </c>
      <c r="K87">
        <v>15</v>
      </c>
      <c r="L87">
        <v>22</v>
      </c>
    </row>
    <row r="88" spans="1:12" x14ac:dyDescent="0.3">
      <c r="A88">
        <v>23</v>
      </c>
      <c r="B88" t="s">
        <v>349</v>
      </c>
      <c r="C88">
        <v>207227</v>
      </c>
      <c r="D88" t="s">
        <v>120</v>
      </c>
      <c r="E88" s="46">
        <v>41178</v>
      </c>
      <c r="F88">
        <v>0</v>
      </c>
      <c r="G88">
        <v>0</v>
      </c>
      <c r="H88">
        <v>0</v>
      </c>
      <c r="I88">
        <v>15</v>
      </c>
      <c r="K88">
        <v>15</v>
      </c>
      <c r="L88">
        <v>22</v>
      </c>
    </row>
    <row r="89" spans="1:12" x14ac:dyDescent="0.3">
      <c r="A89">
        <v>24</v>
      </c>
      <c r="B89" t="s">
        <v>399</v>
      </c>
      <c r="C89">
        <v>208516</v>
      </c>
      <c r="D89" t="s">
        <v>898</v>
      </c>
      <c r="E89" s="46">
        <v>40640</v>
      </c>
      <c r="F89">
        <v>0</v>
      </c>
      <c r="G89">
        <v>0</v>
      </c>
      <c r="H89">
        <v>0</v>
      </c>
      <c r="I89">
        <v>15</v>
      </c>
      <c r="K89">
        <v>15</v>
      </c>
      <c r="L89">
        <v>22</v>
      </c>
    </row>
    <row r="90" spans="1:12" x14ac:dyDescent="0.3">
      <c r="A90">
        <v>25</v>
      </c>
      <c r="B90" t="s">
        <v>455</v>
      </c>
      <c r="C90">
        <v>206207</v>
      </c>
      <c r="D90" t="s">
        <v>60</v>
      </c>
      <c r="E90" s="46">
        <v>41437</v>
      </c>
      <c r="F90">
        <v>0</v>
      </c>
      <c r="G90">
        <v>0</v>
      </c>
      <c r="H90">
        <v>15</v>
      </c>
      <c r="I90">
        <v>0</v>
      </c>
      <c r="K90">
        <v>15</v>
      </c>
      <c r="L90">
        <v>22</v>
      </c>
    </row>
    <row r="91" spans="1:12" x14ac:dyDescent="0.3">
      <c r="A91">
        <v>26</v>
      </c>
      <c r="B91" t="s">
        <v>755</v>
      </c>
      <c r="D91" t="s">
        <v>754</v>
      </c>
      <c r="E91" s="46">
        <v>40025</v>
      </c>
      <c r="F91">
        <v>0</v>
      </c>
      <c r="G91">
        <v>15</v>
      </c>
      <c r="H91">
        <v>0</v>
      </c>
      <c r="I91">
        <v>0</v>
      </c>
      <c r="K91">
        <v>15</v>
      </c>
      <c r="L91">
        <v>22</v>
      </c>
    </row>
    <row r="92" spans="1:12" x14ac:dyDescent="0.3">
      <c r="A92">
        <v>27</v>
      </c>
      <c r="B92" t="s">
        <v>617</v>
      </c>
      <c r="C92">
        <v>207914</v>
      </c>
      <c r="D92" t="s">
        <v>897</v>
      </c>
      <c r="E92" s="46">
        <v>39465</v>
      </c>
      <c r="F92">
        <v>0</v>
      </c>
      <c r="G92">
        <v>15</v>
      </c>
      <c r="H92">
        <v>0</v>
      </c>
      <c r="I92">
        <v>0</v>
      </c>
      <c r="K92">
        <v>15</v>
      </c>
      <c r="L92">
        <v>22</v>
      </c>
    </row>
    <row r="93" spans="1:12" x14ac:dyDescent="0.3">
      <c r="A93">
        <v>28</v>
      </c>
      <c r="B93" t="s">
        <v>743</v>
      </c>
      <c r="C93">
        <v>208139</v>
      </c>
      <c r="D93" t="s">
        <v>142</v>
      </c>
      <c r="E93" s="46">
        <v>40606</v>
      </c>
      <c r="F93">
        <v>0</v>
      </c>
      <c r="G93">
        <v>15</v>
      </c>
      <c r="H93">
        <v>0</v>
      </c>
      <c r="I93">
        <v>0</v>
      </c>
      <c r="K93">
        <v>15</v>
      </c>
      <c r="L93">
        <v>22</v>
      </c>
    </row>
    <row r="94" spans="1:12" x14ac:dyDescent="0.3">
      <c r="A94">
        <v>29</v>
      </c>
      <c r="B94" t="s">
        <v>342</v>
      </c>
      <c r="C94">
        <v>208323</v>
      </c>
      <c r="D94" t="s">
        <v>116</v>
      </c>
      <c r="E94" s="46">
        <v>40311</v>
      </c>
      <c r="F94">
        <v>15</v>
      </c>
      <c r="G94">
        <v>0</v>
      </c>
      <c r="H94">
        <v>0</v>
      </c>
      <c r="I94">
        <v>0</v>
      </c>
      <c r="K94">
        <v>15</v>
      </c>
      <c r="L94">
        <v>22</v>
      </c>
    </row>
    <row r="99" spans="1:12" x14ac:dyDescent="0.3">
      <c r="A99" t="s">
        <v>962</v>
      </c>
    </row>
    <row r="100" spans="1:12" x14ac:dyDescent="0.3">
      <c r="A100" t="s">
        <v>879</v>
      </c>
      <c r="B100" t="s">
        <v>870</v>
      </c>
      <c r="C100" t="s">
        <v>880</v>
      </c>
      <c r="D100" t="s">
        <v>307</v>
      </c>
      <c r="E100" t="s">
        <v>881</v>
      </c>
      <c r="F100" t="s">
        <v>882</v>
      </c>
      <c r="G100" t="s">
        <v>934</v>
      </c>
      <c r="H100" t="s">
        <v>935</v>
      </c>
      <c r="I100" t="s">
        <v>959</v>
      </c>
      <c r="J100" t="s">
        <v>1073</v>
      </c>
      <c r="K100" t="s">
        <v>883</v>
      </c>
      <c r="L100" t="s">
        <v>14</v>
      </c>
    </row>
    <row r="101" spans="1:12" x14ac:dyDescent="0.3">
      <c r="A101">
        <v>1</v>
      </c>
      <c r="B101" t="s">
        <v>504</v>
      </c>
      <c r="C101">
        <v>206231</v>
      </c>
      <c r="D101" t="s">
        <v>97</v>
      </c>
      <c r="E101" s="46">
        <v>40590</v>
      </c>
      <c r="F101">
        <v>60</v>
      </c>
      <c r="G101">
        <v>60</v>
      </c>
      <c r="H101">
        <v>90</v>
      </c>
      <c r="I101">
        <v>90</v>
      </c>
      <c r="K101">
        <v>300</v>
      </c>
      <c r="L101">
        <v>1</v>
      </c>
    </row>
    <row r="102" spans="1:12" x14ac:dyDescent="0.3">
      <c r="A102">
        <v>2</v>
      </c>
      <c r="B102" t="s">
        <v>513</v>
      </c>
      <c r="C102">
        <v>207469</v>
      </c>
      <c r="D102" t="s">
        <v>894</v>
      </c>
      <c r="E102" s="46">
        <v>40747</v>
      </c>
      <c r="F102">
        <v>45</v>
      </c>
      <c r="G102">
        <v>45</v>
      </c>
      <c r="H102">
        <v>60</v>
      </c>
      <c r="I102">
        <v>60</v>
      </c>
      <c r="K102">
        <v>210</v>
      </c>
      <c r="L102">
        <v>2</v>
      </c>
    </row>
    <row r="103" spans="1:12" x14ac:dyDescent="0.3">
      <c r="A103">
        <v>3</v>
      </c>
      <c r="B103" t="s">
        <v>561</v>
      </c>
      <c r="C103">
        <v>204487</v>
      </c>
      <c r="D103" t="s">
        <v>85</v>
      </c>
      <c r="E103" s="46">
        <v>40406</v>
      </c>
      <c r="F103">
        <v>30</v>
      </c>
      <c r="G103">
        <v>90</v>
      </c>
      <c r="H103">
        <v>45</v>
      </c>
      <c r="I103">
        <v>45</v>
      </c>
      <c r="K103">
        <v>210</v>
      </c>
      <c r="L103">
        <v>2</v>
      </c>
    </row>
    <row r="104" spans="1:12" x14ac:dyDescent="0.3">
      <c r="A104">
        <v>4</v>
      </c>
      <c r="B104" t="s">
        <v>527</v>
      </c>
      <c r="C104">
        <v>206946</v>
      </c>
      <c r="D104" t="s">
        <v>892</v>
      </c>
      <c r="E104" s="46">
        <v>40244</v>
      </c>
      <c r="F104">
        <v>90</v>
      </c>
      <c r="G104">
        <v>30</v>
      </c>
      <c r="H104">
        <v>45</v>
      </c>
      <c r="I104">
        <v>30</v>
      </c>
      <c r="K104">
        <v>195</v>
      </c>
      <c r="L104">
        <v>4</v>
      </c>
    </row>
    <row r="105" spans="1:12" x14ac:dyDescent="0.3">
      <c r="A105">
        <v>5</v>
      </c>
      <c r="B105" t="s">
        <v>361</v>
      </c>
      <c r="C105">
        <v>206149</v>
      </c>
      <c r="D105" t="s">
        <v>108</v>
      </c>
      <c r="E105" s="46">
        <v>40500</v>
      </c>
      <c r="F105">
        <v>45</v>
      </c>
      <c r="G105">
        <v>45</v>
      </c>
      <c r="H105">
        <v>30</v>
      </c>
      <c r="I105">
        <v>30</v>
      </c>
      <c r="K105">
        <v>150</v>
      </c>
      <c r="L105">
        <v>5</v>
      </c>
    </row>
    <row r="106" spans="1:12" x14ac:dyDescent="0.3">
      <c r="A106">
        <v>6</v>
      </c>
      <c r="B106" t="s">
        <v>394</v>
      </c>
      <c r="C106">
        <v>207079</v>
      </c>
      <c r="D106" t="s">
        <v>393</v>
      </c>
      <c r="E106" s="46">
        <v>40412</v>
      </c>
      <c r="F106">
        <v>30</v>
      </c>
      <c r="G106">
        <v>30</v>
      </c>
      <c r="H106">
        <v>30</v>
      </c>
      <c r="I106">
        <v>15</v>
      </c>
      <c r="K106">
        <v>105</v>
      </c>
      <c r="L106">
        <v>6</v>
      </c>
    </row>
    <row r="107" spans="1:12" x14ac:dyDescent="0.3">
      <c r="A107">
        <v>7</v>
      </c>
      <c r="B107" t="s">
        <v>342</v>
      </c>
      <c r="C107">
        <v>208323</v>
      </c>
      <c r="D107" t="s">
        <v>116</v>
      </c>
      <c r="E107" s="46">
        <v>40311</v>
      </c>
      <c r="F107">
        <v>30</v>
      </c>
      <c r="G107">
        <v>30</v>
      </c>
      <c r="H107">
        <v>30</v>
      </c>
      <c r="I107">
        <v>0</v>
      </c>
      <c r="K107">
        <v>90</v>
      </c>
      <c r="L107">
        <v>7</v>
      </c>
    </row>
    <row r="108" spans="1:12" x14ac:dyDescent="0.3">
      <c r="A108">
        <v>8</v>
      </c>
      <c r="B108" t="s">
        <v>384</v>
      </c>
      <c r="C108">
        <v>207821</v>
      </c>
      <c r="D108" t="s">
        <v>107</v>
      </c>
      <c r="E108" s="46">
        <v>41606</v>
      </c>
      <c r="F108">
        <v>15</v>
      </c>
      <c r="G108">
        <v>15</v>
      </c>
      <c r="H108">
        <v>15</v>
      </c>
      <c r="I108">
        <v>30</v>
      </c>
      <c r="K108">
        <v>75</v>
      </c>
      <c r="L108">
        <v>8</v>
      </c>
    </row>
    <row r="109" spans="1:12" x14ac:dyDescent="0.3">
      <c r="A109">
        <v>9</v>
      </c>
      <c r="B109" t="s">
        <v>455</v>
      </c>
      <c r="C109">
        <v>206207</v>
      </c>
      <c r="D109" t="s">
        <v>60</v>
      </c>
      <c r="E109" s="46">
        <v>41437</v>
      </c>
      <c r="F109">
        <v>15</v>
      </c>
      <c r="G109">
        <v>15</v>
      </c>
      <c r="H109">
        <v>15</v>
      </c>
      <c r="I109">
        <v>30</v>
      </c>
      <c r="K109">
        <v>75</v>
      </c>
      <c r="L109">
        <v>8</v>
      </c>
    </row>
    <row r="110" spans="1:12" x14ac:dyDescent="0.3">
      <c r="A110">
        <v>10</v>
      </c>
      <c r="B110" t="s">
        <v>349</v>
      </c>
      <c r="C110">
        <v>207227</v>
      </c>
      <c r="D110" t="s">
        <v>120</v>
      </c>
      <c r="E110" s="46">
        <v>41178</v>
      </c>
      <c r="F110">
        <v>30</v>
      </c>
      <c r="G110">
        <v>15</v>
      </c>
      <c r="H110">
        <v>30</v>
      </c>
      <c r="I110">
        <v>0</v>
      </c>
      <c r="K110">
        <v>75</v>
      </c>
      <c r="L110">
        <v>8</v>
      </c>
    </row>
    <row r="111" spans="1:12" x14ac:dyDescent="0.3">
      <c r="A111">
        <v>11</v>
      </c>
      <c r="B111" t="s">
        <v>699</v>
      </c>
      <c r="C111">
        <v>206397</v>
      </c>
      <c r="D111" t="s">
        <v>893</v>
      </c>
      <c r="E111" s="46">
        <v>40597</v>
      </c>
      <c r="F111">
        <v>15</v>
      </c>
      <c r="G111">
        <v>30</v>
      </c>
      <c r="H111">
        <v>15</v>
      </c>
      <c r="I111">
        <v>15</v>
      </c>
      <c r="K111">
        <v>75</v>
      </c>
      <c r="L111">
        <v>8</v>
      </c>
    </row>
    <row r="112" spans="1:12" x14ac:dyDescent="0.3">
      <c r="A112">
        <v>12</v>
      </c>
      <c r="B112" t="s">
        <v>839</v>
      </c>
      <c r="D112" t="s">
        <v>973</v>
      </c>
      <c r="E112" s="46">
        <v>40245</v>
      </c>
      <c r="F112">
        <v>0</v>
      </c>
      <c r="G112">
        <v>0</v>
      </c>
      <c r="H112">
        <v>0</v>
      </c>
      <c r="I112">
        <v>45</v>
      </c>
      <c r="K112">
        <v>45</v>
      </c>
      <c r="L112">
        <v>12</v>
      </c>
    </row>
    <row r="113" spans="1:12" x14ac:dyDescent="0.3">
      <c r="A113">
        <v>14</v>
      </c>
      <c r="B113" t="s">
        <v>399</v>
      </c>
      <c r="C113">
        <v>208516</v>
      </c>
      <c r="D113" t="s">
        <v>898</v>
      </c>
      <c r="E113" s="46">
        <v>40640</v>
      </c>
      <c r="F113">
        <v>0</v>
      </c>
      <c r="G113">
        <v>15</v>
      </c>
      <c r="H113">
        <v>15</v>
      </c>
      <c r="I113">
        <v>15</v>
      </c>
      <c r="K113">
        <v>45</v>
      </c>
      <c r="L113">
        <v>12</v>
      </c>
    </row>
    <row r="114" spans="1:12" x14ac:dyDescent="0.3">
      <c r="A114">
        <v>15</v>
      </c>
      <c r="B114" t="s">
        <v>380</v>
      </c>
      <c r="C114">
        <v>207482</v>
      </c>
      <c r="D114" t="s">
        <v>83</v>
      </c>
      <c r="E114" s="46">
        <v>41757</v>
      </c>
      <c r="F114">
        <v>15</v>
      </c>
      <c r="G114">
        <v>0</v>
      </c>
      <c r="H114">
        <v>15</v>
      </c>
      <c r="I114">
        <v>15</v>
      </c>
      <c r="K114">
        <v>45</v>
      </c>
      <c r="L114">
        <v>12</v>
      </c>
    </row>
    <row r="115" spans="1:12" x14ac:dyDescent="0.3">
      <c r="A115">
        <v>22</v>
      </c>
      <c r="B115" t="s">
        <v>664</v>
      </c>
      <c r="C115">
        <v>206922</v>
      </c>
      <c r="D115" t="s">
        <v>900</v>
      </c>
      <c r="E115" s="46">
        <v>41299</v>
      </c>
      <c r="F115">
        <v>0</v>
      </c>
      <c r="G115">
        <v>0</v>
      </c>
      <c r="H115">
        <v>15</v>
      </c>
      <c r="I115">
        <v>15</v>
      </c>
      <c r="K115">
        <v>30</v>
      </c>
      <c r="L115">
        <v>15</v>
      </c>
    </row>
    <row r="116" spans="1:12" x14ac:dyDescent="0.3">
      <c r="A116">
        <v>24</v>
      </c>
      <c r="B116" t="s">
        <v>481</v>
      </c>
      <c r="C116">
        <v>206421</v>
      </c>
      <c r="D116" t="s">
        <v>84</v>
      </c>
      <c r="E116" s="46">
        <v>41263</v>
      </c>
      <c r="F116">
        <v>0</v>
      </c>
      <c r="G116">
        <v>15</v>
      </c>
      <c r="H116">
        <v>0</v>
      </c>
      <c r="I116">
        <v>15</v>
      </c>
      <c r="K116">
        <v>30</v>
      </c>
      <c r="L116">
        <v>15</v>
      </c>
    </row>
    <row r="117" spans="1:12" x14ac:dyDescent="0.3">
      <c r="A117">
        <v>23</v>
      </c>
      <c r="B117" t="s">
        <v>600</v>
      </c>
      <c r="C117">
        <v>208230</v>
      </c>
      <c r="D117" t="s">
        <v>901</v>
      </c>
      <c r="E117" s="46">
        <v>40489</v>
      </c>
      <c r="F117">
        <v>0</v>
      </c>
      <c r="G117">
        <v>15</v>
      </c>
      <c r="H117">
        <v>0</v>
      </c>
      <c r="I117">
        <v>15</v>
      </c>
      <c r="K117">
        <v>30</v>
      </c>
      <c r="L117">
        <v>15</v>
      </c>
    </row>
    <row r="118" spans="1:12" x14ac:dyDescent="0.3">
      <c r="A118">
        <v>13</v>
      </c>
      <c r="B118" t="s">
        <v>677</v>
      </c>
      <c r="C118">
        <v>208313</v>
      </c>
      <c r="D118" t="s">
        <v>899</v>
      </c>
      <c r="E118" s="46">
        <v>41326</v>
      </c>
      <c r="F118">
        <v>15</v>
      </c>
      <c r="G118">
        <v>0</v>
      </c>
      <c r="H118">
        <v>15</v>
      </c>
      <c r="I118">
        <v>0</v>
      </c>
      <c r="K118">
        <v>30</v>
      </c>
      <c r="L118">
        <v>15</v>
      </c>
    </row>
    <row r="119" spans="1:12" x14ac:dyDescent="0.3">
      <c r="A119">
        <v>14</v>
      </c>
      <c r="B119" t="s">
        <v>773</v>
      </c>
      <c r="D119" t="s">
        <v>278</v>
      </c>
      <c r="E119" s="46">
        <v>40493</v>
      </c>
      <c r="F119">
        <v>0</v>
      </c>
      <c r="G119">
        <v>0</v>
      </c>
      <c r="H119">
        <v>0</v>
      </c>
      <c r="I119">
        <v>15</v>
      </c>
      <c r="K119">
        <v>15</v>
      </c>
      <c r="L119">
        <v>19</v>
      </c>
    </row>
    <row r="120" spans="1:12" x14ac:dyDescent="0.3">
      <c r="A120">
        <v>16</v>
      </c>
      <c r="B120" t="s">
        <v>815</v>
      </c>
      <c r="D120" t="s">
        <v>154</v>
      </c>
      <c r="E120" s="46">
        <v>41068</v>
      </c>
      <c r="F120">
        <v>15</v>
      </c>
      <c r="G120">
        <v>0</v>
      </c>
      <c r="H120">
        <v>0</v>
      </c>
      <c r="I120">
        <v>0</v>
      </c>
      <c r="K120">
        <v>15</v>
      </c>
      <c r="L120">
        <v>19</v>
      </c>
    </row>
    <row r="121" spans="1:12" x14ac:dyDescent="0.3">
      <c r="A121">
        <v>17</v>
      </c>
      <c r="B121" t="s">
        <v>459</v>
      </c>
      <c r="C121">
        <v>209190</v>
      </c>
      <c r="D121" t="s">
        <v>132</v>
      </c>
      <c r="E121" s="46">
        <v>40217</v>
      </c>
      <c r="F121">
        <v>0</v>
      </c>
      <c r="G121">
        <v>15</v>
      </c>
      <c r="H121">
        <v>0</v>
      </c>
      <c r="I121">
        <v>0</v>
      </c>
      <c r="K121">
        <v>15</v>
      </c>
      <c r="L121">
        <v>19</v>
      </c>
    </row>
    <row r="122" spans="1:12" x14ac:dyDescent="0.3">
      <c r="A122">
        <v>18</v>
      </c>
      <c r="B122" t="s">
        <v>694</v>
      </c>
      <c r="C122">
        <v>208691</v>
      </c>
      <c r="D122" t="s">
        <v>237</v>
      </c>
      <c r="E122" s="46">
        <v>40439</v>
      </c>
      <c r="F122">
        <v>0</v>
      </c>
      <c r="G122">
        <v>0</v>
      </c>
      <c r="H122">
        <v>15</v>
      </c>
      <c r="I122">
        <v>0</v>
      </c>
      <c r="K122">
        <v>15</v>
      </c>
      <c r="L122">
        <v>19</v>
      </c>
    </row>
    <row r="123" spans="1:12" x14ac:dyDescent="0.3">
      <c r="A123">
        <v>19</v>
      </c>
      <c r="B123" t="s">
        <v>487</v>
      </c>
      <c r="D123" t="s">
        <v>486</v>
      </c>
      <c r="E123" s="46">
        <v>40406</v>
      </c>
      <c r="F123">
        <v>0</v>
      </c>
      <c r="G123">
        <v>15</v>
      </c>
      <c r="H123">
        <v>0</v>
      </c>
      <c r="I123">
        <v>0</v>
      </c>
      <c r="K123">
        <v>15</v>
      </c>
      <c r="L123">
        <v>19</v>
      </c>
    </row>
    <row r="124" spans="1:12" x14ac:dyDescent="0.3">
      <c r="A124">
        <v>20</v>
      </c>
      <c r="B124" t="s">
        <v>743</v>
      </c>
      <c r="C124">
        <v>208139</v>
      </c>
      <c r="D124" t="s">
        <v>142</v>
      </c>
      <c r="E124" s="46">
        <v>40606</v>
      </c>
      <c r="F124">
        <v>15</v>
      </c>
      <c r="G124">
        <v>0</v>
      </c>
      <c r="H124">
        <v>0</v>
      </c>
      <c r="I124">
        <v>0</v>
      </c>
      <c r="K124">
        <v>15</v>
      </c>
      <c r="L124">
        <v>19</v>
      </c>
    </row>
    <row r="125" spans="1:12" x14ac:dyDescent="0.3">
      <c r="A125">
        <v>21</v>
      </c>
      <c r="B125" t="s">
        <v>813</v>
      </c>
      <c r="D125" t="s">
        <v>246</v>
      </c>
      <c r="E125" s="46">
        <v>40761</v>
      </c>
      <c r="F125">
        <v>15</v>
      </c>
      <c r="G125">
        <v>0</v>
      </c>
      <c r="H125">
        <v>0</v>
      </c>
      <c r="I125">
        <v>0</v>
      </c>
      <c r="K125">
        <v>15</v>
      </c>
      <c r="L125">
        <v>19</v>
      </c>
    </row>
    <row r="130" spans="1:12" x14ac:dyDescent="0.3">
      <c r="A130" t="s">
        <v>963</v>
      </c>
    </row>
    <row r="131" spans="1:12" x14ac:dyDescent="0.3">
      <c r="A131" t="s">
        <v>879</v>
      </c>
      <c r="B131" t="s">
        <v>870</v>
      </c>
      <c r="C131" t="s">
        <v>880</v>
      </c>
      <c r="D131" t="s">
        <v>307</v>
      </c>
      <c r="E131" t="s">
        <v>881</v>
      </c>
      <c r="F131" t="s">
        <v>882</v>
      </c>
      <c r="G131" t="s">
        <v>934</v>
      </c>
      <c r="H131" t="s">
        <v>935</v>
      </c>
      <c r="I131" t="s">
        <v>959</v>
      </c>
      <c r="J131" t="s">
        <v>1073</v>
      </c>
      <c r="K131" t="s">
        <v>883</v>
      </c>
      <c r="L131" t="s">
        <v>14</v>
      </c>
    </row>
    <row r="132" spans="1:12" x14ac:dyDescent="0.3">
      <c r="A132">
        <v>1</v>
      </c>
      <c r="B132" t="s">
        <v>455</v>
      </c>
      <c r="C132">
        <v>206207</v>
      </c>
      <c r="D132" t="s">
        <v>60</v>
      </c>
      <c r="E132" s="46">
        <v>41437</v>
      </c>
      <c r="F132">
        <v>60</v>
      </c>
      <c r="G132">
        <v>60</v>
      </c>
      <c r="H132">
        <v>90</v>
      </c>
      <c r="I132">
        <v>90</v>
      </c>
      <c r="K132">
        <v>300</v>
      </c>
      <c r="L132">
        <v>1</v>
      </c>
    </row>
    <row r="133" spans="1:12" x14ac:dyDescent="0.3">
      <c r="A133">
        <v>2</v>
      </c>
      <c r="B133" t="s">
        <v>481</v>
      </c>
      <c r="C133">
        <v>206421</v>
      </c>
      <c r="D133" t="s">
        <v>84</v>
      </c>
      <c r="E133" s="46">
        <v>41263</v>
      </c>
      <c r="F133">
        <v>90</v>
      </c>
      <c r="G133">
        <v>90</v>
      </c>
      <c r="H133">
        <v>15</v>
      </c>
      <c r="I133">
        <v>60</v>
      </c>
      <c r="K133">
        <v>255</v>
      </c>
      <c r="L133">
        <v>2</v>
      </c>
    </row>
    <row r="134" spans="1:12" x14ac:dyDescent="0.3">
      <c r="A134">
        <v>3</v>
      </c>
      <c r="B134" t="s">
        <v>664</v>
      </c>
      <c r="C134">
        <v>206922</v>
      </c>
      <c r="D134" t="s">
        <v>900</v>
      </c>
      <c r="E134" s="46">
        <v>41299</v>
      </c>
      <c r="F134">
        <v>45</v>
      </c>
      <c r="G134">
        <v>30</v>
      </c>
      <c r="H134">
        <v>30</v>
      </c>
      <c r="I134">
        <v>45</v>
      </c>
      <c r="K134">
        <v>150</v>
      </c>
      <c r="L134">
        <v>3</v>
      </c>
    </row>
    <row r="135" spans="1:12" x14ac:dyDescent="0.3">
      <c r="A135">
        <v>4</v>
      </c>
      <c r="B135" t="s">
        <v>685</v>
      </c>
      <c r="C135">
        <v>207077</v>
      </c>
      <c r="D135" t="s">
        <v>111</v>
      </c>
      <c r="E135" s="46">
        <v>40917</v>
      </c>
      <c r="F135">
        <v>30</v>
      </c>
      <c r="G135">
        <v>30</v>
      </c>
      <c r="H135">
        <v>60</v>
      </c>
      <c r="I135">
        <v>30</v>
      </c>
      <c r="K135">
        <v>150</v>
      </c>
      <c r="L135">
        <v>3</v>
      </c>
    </row>
    <row r="136" spans="1:12" x14ac:dyDescent="0.3">
      <c r="A136">
        <v>5</v>
      </c>
      <c r="B136" t="s">
        <v>384</v>
      </c>
      <c r="C136">
        <v>207281</v>
      </c>
      <c r="D136" t="s">
        <v>107</v>
      </c>
      <c r="E136" s="46">
        <v>41606</v>
      </c>
      <c r="F136">
        <v>15</v>
      </c>
      <c r="G136">
        <v>45</v>
      </c>
      <c r="H136">
        <v>30</v>
      </c>
      <c r="I136">
        <v>45</v>
      </c>
      <c r="K136">
        <v>135</v>
      </c>
      <c r="L136">
        <v>5</v>
      </c>
    </row>
    <row r="137" spans="1:12" x14ac:dyDescent="0.3">
      <c r="A137">
        <v>6</v>
      </c>
      <c r="B137" t="s">
        <v>681</v>
      </c>
      <c r="C137">
        <v>208312</v>
      </c>
      <c r="D137" t="s">
        <v>902</v>
      </c>
      <c r="E137" s="46">
        <v>41187</v>
      </c>
      <c r="F137">
        <v>30</v>
      </c>
      <c r="G137">
        <v>45</v>
      </c>
      <c r="H137">
        <v>30</v>
      </c>
      <c r="I137">
        <v>30</v>
      </c>
      <c r="K137">
        <v>135</v>
      </c>
      <c r="L137">
        <v>5</v>
      </c>
    </row>
    <row r="138" spans="1:12" x14ac:dyDescent="0.3">
      <c r="A138">
        <v>7</v>
      </c>
      <c r="B138" t="s">
        <v>380</v>
      </c>
      <c r="C138">
        <v>207482</v>
      </c>
      <c r="D138" t="s">
        <v>83</v>
      </c>
      <c r="E138" s="46">
        <v>41757</v>
      </c>
      <c r="F138">
        <v>30</v>
      </c>
      <c r="G138">
        <v>15</v>
      </c>
      <c r="H138">
        <v>45</v>
      </c>
      <c r="I138">
        <v>30</v>
      </c>
      <c r="K138">
        <v>120</v>
      </c>
      <c r="L138">
        <v>7</v>
      </c>
    </row>
    <row r="139" spans="1:12" x14ac:dyDescent="0.3">
      <c r="A139">
        <v>8</v>
      </c>
      <c r="B139" t="s">
        <v>320</v>
      </c>
      <c r="C139">
        <v>206286</v>
      </c>
      <c r="D139" t="s">
        <v>903</v>
      </c>
      <c r="E139" s="46">
        <v>40997</v>
      </c>
      <c r="F139">
        <v>45</v>
      </c>
      <c r="G139">
        <v>0</v>
      </c>
      <c r="H139">
        <v>45</v>
      </c>
      <c r="I139">
        <v>15</v>
      </c>
      <c r="K139">
        <v>105</v>
      </c>
      <c r="L139">
        <v>8</v>
      </c>
    </row>
    <row r="140" spans="1:12" x14ac:dyDescent="0.3">
      <c r="A140">
        <v>9</v>
      </c>
      <c r="B140" t="s">
        <v>349</v>
      </c>
      <c r="C140">
        <v>207227</v>
      </c>
      <c r="D140" t="s">
        <v>120</v>
      </c>
      <c r="E140" s="46">
        <v>41178</v>
      </c>
      <c r="F140">
        <v>15</v>
      </c>
      <c r="G140">
        <v>15</v>
      </c>
      <c r="H140">
        <v>30</v>
      </c>
      <c r="I140">
        <v>15</v>
      </c>
      <c r="K140">
        <v>75</v>
      </c>
      <c r="L140">
        <v>9</v>
      </c>
    </row>
    <row r="141" spans="1:12" x14ac:dyDescent="0.3">
      <c r="A141">
        <v>10</v>
      </c>
      <c r="B141" t="s">
        <v>521</v>
      </c>
      <c r="C141">
        <v>209041</v>
      </c>
      <c r="D141" t="s">
        <v>904</v>
      </c>
      <c r="E141" s="46">
        <v>40941</v>
      </c>
      <c r="F141">
        <v>0</v>
      </c>
      <c r="G141">
        <v>30</v>
      </c>
      <c r="H141">
        <v>15</v>
      </c>
      <c r="I141">
        <v>15</v>
      </c>
      <c r="K141">
        <v>60</v>
      </c>
      <c r="L141">
        <v>10</v>
      </c>
    </row>
    <row r="142" spans="1:12" x14ac:dyDescent="0.3">
      <c r="A142">
        <v>11</v>
      </c>
      <c r="B142" t="s">
        <v>689</v>
      </c>
      <c r="C142">
        <v>207586</v>
      </c>
      <c r="D142" t="s">
        <v>135</v>
      </c>
      <c r="E142" s="46">
        <v>41981</v>
      </c>
      <c r="F142">
        <v>15</v>
      </c>
      <c r="G142">
        <v>0</v>
      </c>
      <c r="H142">
        <v>15</v>
      </c>
      <c r="I142">
        <v>15</v>
      </c>
      <c r="K142">
        <v>45</v>
      </c>
      <c r="L142">
        <v>11</v>
      </c>
    </row>
    <row r="143" spans="1:12" x14ac:dyDescent="0.3">
      <c r="A143">
        <v>12</v>
      </c>
      <c r="B143" t="s">
        <v>673</v>
      </c>
      <c r="C143">
        <v>208729</v>
      </c>
      <c r="D143" t="s">
        <v>906</v>
      </c>
      <c r="E143" s="46">
        <v>41219</v>
      </c>
      <c r="F143">
        <v>15</v>
      </c>
      <c r="G143">
        <v>0</v>
      </c>
      <c r="H143">
        <v>15</v>
      </c>
      <c r="I143">
        <v>15</v>
      </c>
      <c r="K143">
        <v>45</v>
      </c>
      <c r="L143">
        <v>11</v>
      </c>
    </row>
    <row r="144" spans="1:12" x14ac:dyDescent="0.3">
      <c r="A144">
        <v>13</v>
      </c>
      <c r="B144" t="s">
        <v>630</v>
      </c>
      <c r="C144">
        <v>208660</v>
      </c>
      <c r="D144" t="s">
        <v>907</v>
      </c>
      <c r="E144" s="46">
        <v>41906</v>
      </c>
      <c r="F144">
        <v>15</v>
      </c>
      <c r="G144">
        <v>15</v>
      </c>
      <c r="H144">
        <v>0</v>
      </c>
      <c r="I144">
        <v>15</v>
      </c>
      <c r="K144">
        <v>45</v>
      </c>
      <c r="L144">
        <v>11</v>
      </c>
    </row>
    <row r="145" spans="1:12" x14ac:dyDescent="0.3">
      <c r="A145">
        <v>14</v>
      </c>
      <c r="B145" t="s">
        <v>677</v>
      </c>
      <c r="C145">
        <v>208313</v>
      </c>
      <c r="D145" t="s">
        <v>899</v>
      </c>
      <c r="E145" s="46">
        <v>41326</v>
      </c>
      <c r="F145">
        <v>30</v>
      </c>
      <c r="G145">
        <v>0</v>
      </c>
      <c r="H145">
        <v>15</v>
      </c>
      <c r="I145">
        <v>0</v>
      </c>
      <c r="K145">
        <v>45</v>
      </c>
      <c r="L145">
        <v>11</v>
      </c>
    </row>
    <row r="146" spans="1:12" x14ac:dyDescent="0.3">
      <c r="A146">
        <v>15</v>
      </c>
      <c r="B146" t="s">
        <v>437</v>
      </c>
      <c r="D146" t="s">
        <v>436</v>
      </c>
      <c r="E146" s="46">
        <v>40963</v>
      </c>
      <c r="F146">
        <v>0</v>
      </c>
      <c r="G146">
        <v>0</v>
      </c>
      <c r="H146">
        <v>0</v>
      </c>
      <c r="I146">
        <v>30</v>
      </c>
      <c r="K146">
        <v>30</v>
      </c>
      <c r="L146">
        <v>15</v>
      </c>
    </row>
    <row r="147" spans="1:12" x14ac:dyDescent="0.3">
      <c r="A147">
        <v>16</v>
      </c>
      <c r="B147" t="s">
        <v>679</v>
      </c>
      <c r="C147">
        <v>208666</v>
      </c>
      <c r="D147" t="s">
        <v>96</v>
      </c>
      <c r="E147" s="46">
        <v>41760</v>
      </c>
      <c r="F147">
        <v>0</v>
      </c>
      <c r="G147">
        <v>0</v>
      </c>
      <c r="H147">
        <v>15</v>
      </c>
      <c r="I147">
        <v>15</v>
      </c>
      <c r="K147">
        <v>30</v>
      </c>
      <c r="L147">
        <v>15</v>
      </c>
    </row>
    <row r="148" spans="1:12" x14ac:dyDescent="0.3">
      <c r="A148">
        <v>17</v>
      </c>
      <c r="B148" t="s">
        <v>762</v>
      </c>
      <c r="D148" t="s">
        <v>908</v>
      </c>
      <c r="E148" s="46">
        <v>41294</v>
      </c>
      <c r="F148">
        <v>0</v>
      </c>
      <c r="G148">
        <v>15</v>
      </c>
      <c r="H148">
        <v>0</v>
      </c>
      <c r="I148">
        <v>15</v>
      </c>
      <c r="K148">
        <v>30</v>
      </c>
      <c r="L148">
        <v>15</v>
      </c>
    </row>
    <row r="149" spans="1:12" x14ac:dyDescent="0.3">
      <c r="A149">
        <v>18</v>
      </c>
      <c r="B149" t="s">
        <v>421</v>
      </c>
      <c r="C149">
        <v>208742</v>
      </c>
      <c r="D149" t="s">
        <v>905</v>
      </c>
      <c r="E149" s="46">
        <v>41782</v>
      </c>
      <c r="F149">
        <v>0</v>
      </c>
      <c r="G149">
        <v>15</v>
      </c>
      <c r="H149">
        <v>15</v>
      </c>
      <c r="I149">
        <v>0</v>
      </c>
      <c r="K149">
        <v>30</v>
      </c>
      <c r="L149">
        <v>15</v>
      </c>
    </row>
    <row r="150" spans="1:12" x14ac:dyDescent="0.3">
      <c r="A150">
        <v>19</v>
      </c>
      <c r="B150" t="s">
        <v>625</v>
      </c>
      <c r="C150">
        <v>208675</v>
      </c>
      <c r="D150" t="s">
        <v>170</v>
      </c>
      <c r="E150" s="46">
        <v>42193</v>
      </c>
      <c r="F150">
        <v>15</v>
      </c>
      <c r="G150">
        <v>0</v>
      </c>
      <c r="H150">
        <v>15</v>
      </c>
      <c r="I150">
        <v>0</v>
      </c>
      <c r="K150">
        <v>30</v>
      </c>
      <c r="L150">
        <v>15</v>
      </c>
    </row>
    <row r="151" spans="1:12" x14ac:dyDescent="0.3">
      <c r="A151">
        <v>20</v>
      </c>
      <c r="B151" t="s">
        <v>701</v>
      </c>
      <c r="C151">
        <v>208663</v>
      </c>
      <c r="D151" t="s">
        <v>126</v>
      </c>
      <c r="E151" s="46">
        <v>42020</v>
      </c>
      <c r="F151">
        <v>0</v>
      </c>
      <c r="G151">
        <v>30</v>
      </c>
      <c r="H151">
        <v>0</v>
      </c>
      <c r="I151">
        <v>0</v>
      </c>
      <c r="K151">
        <v>30</v>
      </c>
      <c r="L151">
        <v>15</v>
      </c>
    </row>
    <row r="152" spans="1:12" x14ac:dyDescent="0.3">
      <c r="A152">
        <v>21</v>
      </c>
      <c r="B152" t="s">
        <v>555</v>
      </c>
      <c r="D152" t="s">
        <v>131</v>
      </c>
      <c r="E152" s="46">
        <v>40968</v>
      </c>
      <c r="F152">
        <v>15</v>
      </c>
      <c r="G152">
        <v>15</v>
      </c>
      <c r="H152">
        <v>0</v>
      </c>
      <c r="I152">
        <v>0</v>
      </c>
      <c r="K152">
        <v>30</v>
      </c>
      <c r="L152">
        <v>15</v>
      </c>
    </row>
    <row r="153" spans="1:12" x14ac:dyDescent="0.3">
      <c r="A153">
        <v>22</v>
      </c>
      <c r="B153" t="s">
        <v>529</v>
      </c>
      <c r="D153" t="s">
        <v>528</v>
      </c>
      <c r="E153" s="46">
        <v>41766</v>
      </c>
      <c r="F153">
        <v>0</v>
      </c>
      <c r="G153">
        <v>15</v>
      </c>
      <c r="H153">
        <v>0</v>
      </c>
      <c r="I153">
        <v>0</v>
      </c>
      <c r="K153">
        <v>15</v>
      </c>
      <c r="L153">
        <v>22</v>
      </c>
    </row>
    <row r="154" spans="1:12" x14ac:dyDescent="0.3">
      <c r="A154">
        <v>23</v>
      </c>
      <c r="B154" t="s">
        <v>785</v>
      </c>
      <c r="D154" t="s">
        <v>784</v>
      </c>
      <c r="E154" s="46">
        <v>41639</v>
      </c>
      <c r="F154">
        <v>0</v>
      </c>
      <c r="G154">
        <v>15</v>
      </c>
      <c r="H154">
        <v>0</v>
      </c>
      <c r="I154">
        <v>0</v>
      </c>
      <c r="K154">
        <v>15</v>
      </c>
      <c r="L154">
        <v>22</v>
      </c>
    </row>
    <row r="155" spans="1:12" x14ac:dyDescent="0.3">
      <c r="A155">
        <v>24</v>
      </c>
      <c r="B155" t="s">
        <v>756</v>
      </c>
      <c r="D155" t="s">
        <v>285</v>
      </c>
      <c r="E155" s="46">
        <v>41258</v>
      </c>
      <c r="F155">
        <v>15</v>
      </c>
      <c r="G155">
        <v>0</v>
      </c>
      <c r="H155">
        <v>0</v>
      </c>
      <c r="I155">
        <v>0</v>
      </c>
      <c r="K155">
        <v>15</v>
      </c>
      <c r="L155">
        <v>22</v>
      </c>
    </row>
    <row r="160" spans="1:12" x14ac:dyDescent="0.3">
      <c r="A160" t="s">
        <v>964</v>
      </c>
    </row>
    <row r="161" spans="1:12" x14ac:dyDescent="0.3">
      <c r="A161" t="s">
        <v>879</v>
      </c>
      <c r="B161" t="s">
        <v>870</v>
      </c>
      <c r="C161" t="s">
        <v>880</v>
      </c>
      <c r="D161" t="s">
        <v>307</v>
      </c>
      <c r="E161" t="s">
        <v>881</v>
      </c>
      <c r="F161" t="s">
        <v>882</v>
      </c>
      <c r="G161" t="s">
        <v>934</v>
      </c>
      <c r="H161" t="s">
        <v>935</v>
      </c>
      <c r="I161" t="s">
        <v>959</v>
      </c>
      <c r="J161" t="s">
        <v>1073</v>
      </c>
      <c r="K161" t="s">
        <v>883</v>
      </c>
      <c r="L161" t="s">
        <v>14</v>
      </c>
    </row>
    <row r="162" spans="1:12" x14ac:dyDescent="0.3">
      <c r="A162">
        <v>1</v>
      </c>
      <c r="B162" t="s">
        <v>380</v>
      </c>
      <c r="C162">
        <v>207482</v>
      </c>
      <c r="D162" t="s">
        <v>83</v>
      </c>
      <c r="E162" s="46">
        <v>41757</v>
      </c>
      <c r="F162">
        <v>90</v>
      </c>
      <c r="G162">
        <v>90</v>
      </c>
      <c r="H162">
        <v>90</v>
      </c>
      <c r="I162">
        <v>90</v>
      </c>
      <c r="K162">
        <v>360</v>
      </c>
      <c r="L162">
        <v>1</v>
      </c>
    </row>
    <row r="163" spans="1:12" x14ac:dyDescent="0.3">
      <c r="A163">
        <v>2</v>
      </c>
      <c r="B163" t="s">
        <v>630</v>
      </c>
      <c r="C163">
        <v>208660</v>
      </c>
      <c r="D163" t="s">
        <v>909</v>
      </c>
      <c r="E163" s="46">
        <v>41906</v>
      </c>
      <c r="F163">
        <v>45</v>
      </c>
      <c r="G163">
        <v>60</v>
      </c>
      <c r="H163">
        <v>45</v>
      </c>
      <c r="I163">
        <v>45</v>
      </c>
      <c r="K163">
        <v>195</v>
      </c>
      <c r="L163">
        <v>2</v>
      </c>
    </row>
    <row r="164" spans="1:12" x14ac:dyDescent="0.3">
      <c r="A164">
        <v>3</v>
      </c>
      <c r="B164" t="s">
        <v>679</v>
      </c>
      <c r="C164">
        <v>208666</v>
      </c>
      <c r="D164" t="s">
        <v>96</v>
      </c>
      <c r="E164" s="46">
        <v>41760</v>
      </c>
      <c r="F164">
        <v>45</v>
      </c>
      <c r="G164">
        <v>45</v>
      </c>
      <c r="H164">
        <v>15</v>
      </c>
      <c r="I164">
        <v>45</v>
      </c>
      <c r="K164">
        <v>150</v>
      </c>
      <c r="L164">
        <v>3</v>
      </c>
    </row>
    <row r="165" spans="1:12" x14ac:dyDescent="0.3">
      <c r="A165">
        <v>4</v>
      </c>
      <c r="B165" t="s">
        <v>625</v>
      </c>
      <c r="C165">
        <v>208675</v>
      </c>
      <c r="D165" t="s">
        <v>170</v>
      </c>
      <c r="E165" s="46">
        <v>42193</v>
      </c>
      <c r="F165">
        <v>60</v>
      </c>
      <c r="G165">
        <v>15</v>
      </c>
      <c r="H165">
        <v>45</v>
      </c>
      <c r="I165">
        <v>30</v>
      </c>
      <c r="K165">
        <v>150</v>
      </c>
      <c r="L165">
        <v>3</v>
      </c>
    </row>
    <row r="166" spans="1:12" x14ac:dyDescent="0.3">
      <c r="A166">
        <v>5</v>
      </c>
      <c r="B166" t="s">
        <v>689</v>
      </c>
      <c r="C166">
        <v>207586</v>
      </c>
      <c r="D166" t="s">
        <v>135</v>
      </c>
      <c r="E166" s="46">
        <v>41981</v>
      </c>
      <c r="G166">
        <v>15</v>
      </c>
      <c r="H166">
        <v>60</v>
      </c>
      <c r="I166">
        <v>60</v>
      </c>
      <c r="K166">
        <v>135</v>
      </c>
      <c r="L166">
        <v>5</v>
      </c>
    </row>
    <row r="167" spans="1:12" x14ac:dyDescent="0.3">
      <c r="A167">
        <v>6</v>
      </c>
      <c r="B167" t="s">
        <v>421</v>
      </c>
      <c r="C167">
        <v>208742</v>
      </c>
      <c r="D167" t="s">
        <v>420</v>
      </c>
      <c r="E167" s="46">
        <v>41782</v>
      </c>
      <c r="F167">
        <v>30</v>
      </c>
      <c r="G167">
        <v>30</v>
      </c>
      <c r="H167">
        <v>30</v>
      </c>
      <c r="I167">
        <v>30</v>
      </c>
      <c r="K167">
        <v>120</v>
      </c>
      <c r="L167">
        <v>6</v>
      </c>
    </row>
    <row r="168" spans="1:12" x14ac:dyDescent="0.3">
      <c r="A168">
        <v>7</v>
      </c>
      <c r="B168" t="s">
        <v>575</v>
      </c>
      <c r="D168" t="s">
        <v>574</v>
      </c>
      <c r="E168" s="46">
        <v>41755</v>
      </c>
      <c r="G168">
        <v>45</v>
      </c>
      <c r="H168">
        <v>30</v>
      </c>
      <c r="I168">
        <v>30</v>
      </c>
      <c r="K168">
        <v>105</v>
      </c>
      <c r="L168">
        <v>7</v>
      </c>
    </row>
    <row r="169" spans="1:12" x14ac:dyDescent="0.3">
      <c r="A169">
        <v>8</v>
      </c>
      <c r="B169" t="s">
        <v>671</v>
      </c>
      <c r="C169">
        <v>208727</v>
      </c>
      <c r="D169" t="s">
        <v>910</v>
      </c>
      <c r="E169" s="46">
        <v>41971</v>
      </c>
      <c r="F169">
        <v>30</v>
      </c>
      <c r="G169">
        <v>15</v>
      </c>
      <c r="H169">
        <v>15</v>
      </c>
      <c r="I169">
        <v>30</v>
      </c>
      <c r="K169">
        <v>90</v>
      </c>
      <c r="L169">
        <v>8</v>
      </c>
    </row>
    <row r="170" spans="1:12" x14ac:dyDescent="0.3">
      <c r="A170">
        <v>9</v>
      </c>
      <c r="B170" t="s">
        <v>814</v>
      </c>
      <c r="D170" t="s">
        <v>106</v>
      </c>
      <c r="E170" s="46">
        <v>41956</v>
      </c>
      <c r="F170">
        <v>30</v>
      </c>
      <c r="G170">
        <v>30</v>
      </c>
      <c r="H170">
        <v>30</v>
      </c>
      <c r="K170">
        <v>90</v>
      </c>
      <c r="L170">
        <v>8</v>
      </c>
    </row>
    <row r="171" spans="1:12" x14ac:dyDescent="0.3">
      <c r="A171">
        <v>10</v>
      </c>
      <c r="B171" t="s">
        <v>439</v>
      </c>
      <c r="D171" t="s">
        <v>245</v>
      </c>
      <c r="E171" s="46">
        <v>42098</v>
      </c>
      <c r="F171">
        <v>30</v>
      </c>
      <c r="G171">
        <v>15</v>
      </c>
      <c r="H171">
        <v>15</v>
      </c>
      <c r="I171">
        <v>15</v>
      </c>
      <c r="K171">
        <v>75</v>
      </c>
      <c r="L171">
        <v>10</v>
      </c>
    </row>
    <row r="172" spans="1:12" x14ac:dyDescent="0.3">
      <c r="A172">
        <v>11</v>
      </c>
      <c r="B172" t="s">
        <v>701</v>
      </c>
      <c r="C172">
        <v>208663</v>
      </c>
      <c r="D172" t="s">
        <v>126</v>
      </c>
      <c r="E172" s="46">
        <v>42020</v>
      </c>
      <c r="F172">
        <v>0</v>
      </c>
      <c r="G172">
        <v>30</v>
      </c>
      <c r="H172">
        <v>15</v>
      </c>
      <c r="I172">
        <v>15</v>
      </c>
      <c r="K172">
        <v>60</v>
      </c>
      <c r="L172">
        <v>11</v>
      </c>
    </row>
    <row r="173" spans="1:12" x14ac:dyDescent="0.3">
      <c r="A173">
        <v>12</v>
      </c>
      <c r="B173" t="s">
        <v>552</v>
      </c>
      <c r="D173" t="s">
        <v>182</v>
      </c>
      <c r="E173" s="46">
        <v>41887</v>
      </c>
      <c r="F173">
        <v>15</v>
      </c>
      <c r="G173">
        <v>15</v>
      </c>
      <c r="H173">
        <v>15</v>
      </c>
      <c r="I173">
        <v>15</v>
      </c>
      <c r="K173">
        <v>60</v>
      </c>
      <c r="L173">
        <v>11</v>
      </c>
    </row>
    <row r="174" spans="1:12" x14ac:dyDescent="0.3">
      <c r="A174">
        <v>13</v>
      </c>
      <c r="B174" t="s">
        <v>440</v>
      </c>
      <c r="C174">
        <v>209083</v>
      </c>
      <c r="D174" t="s">
        <v>130</v>
      </c>
      <c r="E174" s="46">
        <v>42223</v>
      </c>
      <c r="F174">
        <v>15</v>
      </c>
      <c r="G174">
        <v>15</v>
      </c>
      <c r="H174">
        <v>15</v>
      </c>
      <c r="I174">
        <v>15</v>
      </c>
      <c r="K174">
        <v>60</v>
      </c>
      <c r="L174">
        <v>11</v>
      </c>
    </row>
    <row r="175" spans="1:12" x14ac:dyDescent="0.3">
      <c r="A175">
        <v>14</v>
      </c>
      <c r="B175" t="s">
        <v>540</v>
      </c>
      <c r="C175">
        <v>208764</v>
      </c>
      <c r="D175" t="s">
        <v>104</v>
      </c>
      <c r="E175" s="46">
        <v>42746</v>
      </c>
      <c r="F175">
        <v>0</v>
      </c>
      <c r="G175">
        <v>15</v>
      </c>
      <c r="H175">
        <v>15</v>
      </c>
      <c r="I175">
        <v>15</v>
      </c>
      <c r="K175">
        <v>45</v>
      </c>
      <c r="L175">
        <v>14</v>
      </c>
    </row>
    <row r="176" spans="1:12" x14ac:dyDescent="0.3">
      <c r="A176">
        <v>15</v>
      </c>
      <c r="B176" t="s">
        <v>379</v>
      </c>
      <c r="D176" t="s">
        <v>119</v>
      </c>
      <c r="E176" s="46">
        <v>41695</v>
      </c>
      <c r="F176">
        <v>15</v>
      </c>
      <c r="G176">
        <v>0</v>
      </c>
      <c r="H176">
        <v>30</v>
      </c>
      <c r="I176">
        <v>0</v>
      </c>
      <c r="K176">
        <v>45</v>
      </c>
      <c r="L176">
        <v>14</v>
      </c>
    </row>
    <row r="177" spans="1:12" x14ac:dyDescent="0.3">
      <c r="A177">
        <v>16</v>
      </c>
      <c r="D177" t="s">
        <v>911</v>
      </c>
      <c r="F177">
        <v>15</v>
      </c>
      <c r="G177">
        <v>30</v>
      </c>
      <c r="H177">
        <v>0</v>
      </c>
      <c r="I177">
        <v>0</v>
      </c>
      <c r="K177">
        <v>45</v>
      </c>
      <c r="L177">
        <v>14</v>
      </c>
    </row>
    <row r="178" spans="1:12" x14ac:dyDescent="0.3">
      <c r="A178">
        <v>17</v>
      </c>
      <c r="B178" t="s">
        <v>663</v>
      </c>
      <c r="D178" t="s">
        <v>872</v>
      </c>
      <c r="E178" s="46">
        <v>42261</v>
      </c>
      <c r="F178">
        <v>0</v>
      </c>
      <c r="G178">
        <v>0</v>
      </c>
      <c r="H178">
        <v>15</v>
      </c>
      <c r="I178">
        <v>15</v>
      </c>
      <c r="K178">
        <v>30</v>
      </c>
      <c r="L178">
        <v>17</v>
      </c>
    </row>
    <row r="179" spans="1:12" x14ac:dyDescent="0.3">
      <c r="A179">
        <v>18</v>
      </c>
      <c r="B179" t="s">
        <v>633</v>
      </c>
      <c r="C179">
        <v>208664</v>
      </c>
      <c r="D179" t="s">
        <v>912</v>
      </c>
      <c r="E179" s="46">
        <v>42041</v>
      </c>
      <c r="F179">
        <v>0</v>
      </c>
      <c r="G179">
        <v>15</v>
      </c>
      <c r="H179">
        <v>0</v>
      </c>
      <c r="I179">
        <v>15</v>
      </c>
      <c r="K179">
        <v>30</v>
      </c>
      <c r="L179">
        <v>17</v>
      </c>
    </row>
    <row r="180" spans="1:12" x14ac:dyDescent="0.3">
      <c r="A180">
        <v>19</v>
      </c>
      <c r="B180" t="s">
        <v>680</v>
      </c>
      <c r="C180">
        <v>208667</v>
      </c>
      <c r="D180" t="s">
        <v>90</v>
      </c>
      <c r="E180" s="46">
        <v>42444</v>
      </c>
      <c r="F180">
        <v>0</v>
      </c>
      <c r="G180">
        <v>0</v>
      </c>
      <c r="H180">
        <v>0</v>
      </c>
      <c r="I180">
        <v>15</v>
      </c>
      <c r="K180">
        <v>15</v>
      </c>
      <c r="L180">
        <v>19</v>
      </c>
    </row>
    <row r="181" spans="1:12" x14ac:dyDescent="0.3">
      <c r="A181">
        <v>20</v>
      </c>
      <c r="D181" t="s">
        <v>913</v>
      </c>
      <c r="F181">
        <v>15</v>
      </c>
      <c r="G181">
        <v>0</v>
      </c>
      <c r="H181">
        <v>0</v>
      </c>
      <c r="I181">
        <v>0</v>
      </c>
      <c r="K181">
        <v>15</v>
      </c>
      <c r="L181">
        <v>19</v>
      </c>
    </row>
    <row r="182" spans="1:12" x14ac:dyDescent="0.3">
      <c r="A182">
        <v>21</v>
      </c>
      <c r="B182" t="s">
        <v>837</v>
      </c>
      <c r="D182" t="s">
        <v>141</v>
      </c>
      <c r="E182" s="46">
        <v>42558</v>
      </c>
      <c r="F182">
        <v>15</v>
      </c>
      <c r="G182">
        <v>0</v>
      </c>
      <c r="H182">
        <v>0</v>
      </c>
      <c r="I182">
        <v>0</v>
      </c>
      <c r="K182">
        <v>15</v>
      </c>
      <c r="L182">
        <v>19</v>
      </c>
    </row>
    <row r="183" spans="1:12" x14ac:dyDescent="0.3">
      <c r="A183">
        <v>22</v>
      </c>
      <c r="B183" t="s">
        <v>562</v>
      </c>
      <c r="D183" t="s">
        <v>145</v>
      </c>
      <c r="E183" s="46">
        <v>42081</v>
      </c>
      <c r="F183">
        <v>15</v>
      </c>
      <c r="G183">
        <v>0</v>
      </c>
      <c r="H183">
        <v>0</v>
      </c>
      <c r="I183">
        <v>0</v>
      </c>
      <c r="K183">
        <v>15</v>
      </c>
      <c r="L183">
        <v>19</v>
      </c>
    </row>
    <row r="184" spans="1:12" x14ac:dyDescent="0.3">
      <c r="A184">
        <v>23</v>
      </c>
      <c r="B184" t="s">
        <v>619</v>
      </c>
      <c r="C184">
        <v>208730</v>
      </c>
      <c r="D184" t="s">
        <v>914</v>
      </c>
      <c r="E184" s="46">
        <v>42696</v>
      </c>
      <c r="F184">
        <v>15</v>
      </c>
      <c r="G184">
        <v>0</v>
      </c>
      <c r="H184">
        <v>0</v>
      </c>
      <c r="I184">
        <v>0</v>
      </c>
      <c r="K184">
        <v>15</v>
      </c>
      <c r="L184">
        <v>19</v>
      </c>
    </row>
    <row r="189" spans="1:12" x14ac:dyDescent="0.3">
      <c r="A189" t="s">
        <v>305</v>
      </c>
    </row>
    <row r="190" spans="1:12" x14ac:dyDescent="0.3">
      <c r="A190" t="s">
        <v>879</v>
      </c>
      <c r="B190" t="s">
        <v>870</v>
      </c>
      <c r="C190" t="s">
        <v>880</v>
      </c>
      <c r="D190" t="s">
        <v>307</v>
      </c>
      <c r="E190" t="s">
        <v>881</v>
      </c>
      <c r="F190" t="s">
        <v>882</v>
      </c>
      <c r="G190" t="s">
        <v>934</v>
      </c>
      <c r="H190" t="s">
        <v>935</v>
      </c>
      <c r="I190" t="s">
        <v>959</v>
      </c>
      <c r="J190" t="s">
        <v>1073</v>
      </c>
      <c r="K190" t="s">
        <v>883</v>
      </c>
      <c r="L190" t="s">
        <v>14</v>
      </c>
    </row>
    <row r="191" spans="1:12" x14ac:dyDescent="0.3">
      <c r="A191">
        <v>1</v>
      </c>
      <c r="B191" t="s">
        <v>446</v>
      </c>
      <c r="C191">
        <v>201162</v>
      </c>
      <c r="D191" t="s">
        <v>87</v>
      </c>
      <c r="E191" s="46">
        <v>38370</v>
      </c>
      <c r="F191">
        <v>45</v>
      </c>
      <c r="G191">
        <v>90</v>
      </c>
      <c r="H191">
        <v>60</v>
      </c>
      <c r="I191">
        <v>90</v>
      </c>
      <c r="K191">
        <v>285</v>
      </c>
      <c r="L191">
        <v>1</v>
      </c>
    </row>
    <row r="192" spans="1:12" x14ac:dyDescent="0.3">
      <c r="A192">
        <v>2</v>
      </c>
      <c r="B192" t="s">
        <v>413</v>
      </c>
      <c r="C192">
        <v>200353</v>
      </c>
      <c r="D192" t="s">
        <v>92</v>
      </c>
      <c r="E192" s="46">
        <v>34444</v>
      </c>
      <c r="F192">
        <v>90</v>
      </c>
      <c r="G192">
        <v>60</v>
      </c>
      <c r="H192">
        <v>30</v>
      </c>
      <c r="I192">
        <v>60</v>
      </c>
      <c r="K192">
        <v>240</v>
      </c>
      <c r="L192">
        <v>2</v>
      </c>
    </row>
    <row r="193" spans="1:12" x14ac:dyDescent="0.3">
      <c r="A193">
        <v>3</v>
      </c>
      <c r="B193" t="s">
        <v>665</v>
      </c>
      <c r="C193">
        <v>203747</v>
      </c>
      <c r="D193" t="s">
        <v>93</v>
      </c>
      <c r="E193" s="46">
        <v>39787</v>
      </c>
      <c r="F193">
        <v>30</v>
      </c>
      <c r="G193">
        <v>45</v>
      </c>
      <c r="H193">
        <v>45</v>
      </c>
      <c r="I193">
        <v>45</v>
      </c>
      <c r="K193">
        <v>165</v>
      </c>
      <c r="L193">
        <v>3</v>
      </c>
    </row>
    <row r="194" spans="1:12" x14ac:dyDescent="0.3">
      <c r="A194">
        <v>4</v>
      </c>
      <c r="B194" t="s">
        <v>458</v>
      </c>
      <c r="C194">
        <v>201145</v>
      </c>
      <c r="D194" t="s">
        <v>100</v>
      </c>
      <c r="E194" s="46">
        <v>37971</v>
      </c>
      <c r="F194">
        <v>45</v>
      </c>
      <c r="G194">
        <v>45</v>
      </c>
      <c r="H194">
        <v>30</v>
      </c>
      <c r="I194">
        <v>45</v>
      </c>
      <c r="K194">
        <v>165</v>
      </c>
      <c r="L194">
        <v>3</v>
      </c>
    </row>
    <row r="195" spans="1:12" x14ac:dyDescent="0.3">
      <c r="A195">
        <v>5</v>
      </c>
      <c r="B195" t="s">
        <v>357</v>
      </c>
      <c r="C195">
        <v>205154</v>
      </c>
      <c r="D195" t="s">
        <v>101</v>
      </c>
      <c r="E195" s="46">
        <v>39576</v>
      </c>
      <c r="F195">
        <v>15</v>
      </c>
      <c r="G195">
        <v>30</v>
      </c>
      <c r="H195">
        <v>90</v>
      </c>
      <c r="K195">
        <v>135</v>
      </c>
      <c r="L195">
        <v>5</v>
      </c>
    </row>
    <row r="196" spans="1:12" x14ac:dyDescent="0.3">
      <c r="A196">
        <v>6</v>
      </c>
      <c r="B196" t="s">
        <v>369</v>
      </c>
      <c r="C196">
        <v>204511</v>
      </c>
      <c r="D196" t="s">
        <v>88</v>
      </c>
      <c r="E196" s="46">
        <v>39423</v>
      </c>
      <c r="F196">
        <v>30</v>
      </c>
      <c r="G196">
        <v>30</v>
      </c>
      <c r="H196">
        <v>45</v>
      </c>
      <c r="I196">
        <v>15</v>
      </c>
      <c r="K196">
        <v>120</v>
      </c>
      <c r="L196">
        <v>6</v>
      </c>
    </row>
    <row r="197" spans="1:12" x14ac:dyDescent="0.3">
      <c r="A197">
        <v>7</v>
      </c>
      <c r="B197" t="s">
        <v>350</v>
      </c>
      <c r="C197">
        <v>202679</v>
      </c>
      <c r="D197" t="s">
        <v>113</v>
      </c>
      <c r="E197" s="46">
        <v>38783</v>
      </c>
      <c r="F197">
        <v>30</v>
      </c>
      <c r="G197">
        <v>30</v>
      </c>
      <c r="H197">
        <v>15</v>
      </c>
      <c r="I197">
        <v>30</v>
      </c>
      <c r="K197">
        <v>105</v>
      </c>
      <c r="L197">
        <v>7</v>
      </c>
    </row>
    <row r="198" spans="1:12" x14ac:dyDescent="0.3">
      <c r="A198">
        <v>8</v>
      </c>
      <c r="B198" t="s">
        <v>391</v>
      </c>
      <c r="C198">
        <v>204853</v>
      </c>
      <c r="D198" t="s">
        <v>102</v>
      </c>
      <c r="E198" s="46">
        <v>39940</v>
      </c>
      <c r="F198">
        <v>15</v>
      </c>
      <c r="G198">
        <v>15</v>
      </c>
      <c r="H198">
        <v>30</v>
      </c>
      <c r="I198">
        <v>30</v>
      </c>
      <c r="K198">
        <v>90</v>
      </c>
      <c r="L198">
        <v>8</v>
      </c>
    </row>
    <row r="199" spans="1:12" x14ac:dyDescent="0.3">
      <c r="A199">
        <v>9</v>
      </c>
      <c r="B199" t="s">
        <v>538</v>
      </c>
      <c r="C199">
        <v>203741</v>
      </c>
      <c r="D199" t="s">
        <v>936</v>
      </c>
      <c r="E199" s="46">
        <v>39464</v>
      </c>
      <c r="F199">
        <v>60</v>
      </c>
      <c r="G199">
        <v>0</v>
      </c>
      <c r="H199">
        <v>0</v>
      </c>
      <c r="I199">
        <v>30</v>
      </c>
      <c r="K199">
        <v>90</v>
      </c>
      <c r="L199">
        <v>8</v>
      </c>
    </row>
    <row r="200" spans="1:12" x14ac:dyDescent="0.3">
      <c r="A200">
        <v>10</v>
      </c>
      <c r="B200" t="s">
        <v>365</v>
      </c>
      <c r="C200">
        <v>205607</v>
      </c>
      <c r="D200" t="s">
        <v>67</v>
      </c>
      <c r="E200" s="46">
        <v>40488</v>
      </c>
      <c r="F200">
        <v>15</v>
      </c>
      <c r="G200">
        <v>30</v>
      </c>
      <c r="H200">
        <v>30</v>
      </c>
      <c r="I200">
        <v>15</v>
      </c>
      <c r="K200">
        <v>90</v>
      </c>
      <c r="L200">
        <v>8</v>
      </c>
    </row>
    <row r="201" spans="1:12" x14ac:dyDescent="0.3">
      <c r="A201">
        <v>11</v>
      </c>
      <c r="B201" t="s">
        <v>401</v>
      </c>
      <c r="C201">
        <v>204385</v>
      </c>
      <c r="D201" t="s">
        <v>49</v>
      </c>
      <c r="E201" s="46">
        <v>40363</v>
      </c>
      <c r="F201">
        <v>15</v>
      </c>
      <c r="G201">
        <v>0</v>
      </c>
      <c r="H201">
        <v>15</v>
      </c>
      <c r="I201">
        <v>30</v>
      </c>
      <c r="K201">
        <v>60</v>
      </c>
      <c r="L201">
        <v>11</v>
      </c>
    </row>
    <row r="202" spans="1:12" x14ac:dyDescent="0.3">
      <c r="A202">
        <v>12</v>
      </c>
      <c r="B202" t="s">
        <v>566</v>
      </c>
      <c r="C202">
        <v>202881</v>
      </c>
      <c r="D202" t="s">
        <v>937</v>
      </c>
      <c r="E202" s="46">
        <v>38381</v>
      </c>
      <c r="F202">
        <v>15</v>
      </c>
      <c r="G202">
        <v>15</v>
      </c>
      <c r="H202">
        <v>15</v>
      </c>
      <c r="I202">
        <v>15</v>
      </c>
      <c r="K202">
        <v>60</v>
      </c>
      <c r="L202">
        <v>11</v>
      </c>
    </row>
    <row r="203" spans="1:12" x14ac:dyDescent="0.3">
      <c r="A203">
        <v>13</v>
      </c>
      <c r="B203" t="s">
        <v>364</v>
      </c>
      <c r="C203">
        <v>205182</v>
      </c>
      <c r="D203" t="s">
        <v>133</v>
      </c>
      <c r="E203" s="46">
        <v>39824</v>
      </c>
      <c r="F203">
        <v>15</v>
      </c>
      <c r="G203">
        <v>15</v>
      </c>
      <c r="H203">
        <v>15</v>
      </c>
      <c r="I203">
        <v>15</v>
      </c>
      <c r="K203">
        <v>60</v>
      </c>
      <c r="L203">
        <v>11</v>
      </c>
    </row>
    <row r="204" spans="1:12" x14ac:dyDescent="0.3">
      <c r="A204">
        <v>14</v>
      </c>
      <c r="B204" t="s">
        <v>408</v>
      </c>
      <c r="C204">
        <v>206026</v>
      </c>
      <c r="D204" t="s">
        <v>939</v>
      </c>
      <c r="E204" s="46">
        <v>39359</v>
      </c>
      <c r="F204">
        <v>0</v>
      </c>
      <c r="G204">
        <v>0</v>
      </c>
      <c r="H204">
        <v>15</v>
      </c>
      <c r="I204">
        <v>15</v>
      </c>
      <c r="K204">
        <v>30</v>
      </c>
      <c r="L204">
        <v>14</v>
      </c>
    </row>
    <row r="205" spans="1:12" x14ac:dyDescent="0.3">
      <c r="A205">
        <v>15</v>
      </c>
      <c r="B205" t="s">
        <v>325</v>
      </c>
      <c r="C205">
        <v>202734</v>
      </c>
      <c r="D205" t="s">
        <v>121</v>
      </c>
      <c r="E205" s="46">
        <v>39162</v>
      </c>
      <c r="F205">
        <v>0</v>
      </c>
      <c r="G205">
        <v>15</v>
      </c>
      <c r="H205">
        <v>0</v>
      </c>
      <c r="I205">
        <v>15</v>
      </c>
      <c r="K205">
        <v>30</v>
      </c>
      <c r="L205">
        <v>14</v>
      </c>
    </row>
    <row r="206" spans="1:12" x14ac:dyDescent="0.3">
      <c r="A206">
        <v>16</v>
      </c>
      <c r="B206" t="s">
        <v>611</v>
      </c>
      <c r="C206">
        <v>205917</v>
      </c>
      <c r="D206" t="s">
        <v>57</v>
      </c>
      <c r="E206" s="46">
        <v>40277</v>
      </c>
      <c r="G206">
        <v>15</v>
      </c>
      <c r="H206">
        <v>15</v>
      </c>
      <c r="I206">
        <v>0</v>
      </c>
      <c r="K206">
        <v>30</v>
      </c>
      <c r="L206">
        <v>14</v>
      </c>
    </row>
    <row r="207" spans="1:12" x14ac:dyDescent="0.3">
      <c r="A207">
        <v>17</v>
      </c>
      <c r="B207" t="s">
        <v>524</v>
      </c>
      <c r="C207">
        <v>205867</v>
      </c>
      <c r="D207" t="s">
        <v>523</v>
      </c>
      <c r="E207" s="46">
        <v>39352</v>
      </c>
      <c r="F207">
        <v>15</v>
      </c>
      <c r="G207">
        <v>15</v>
      </c>
      <c r="H207">
        <v>0</v>
      </c>
      <c r="I207">
        <v>0</v>
      </c>
      <c r="K207">
        <v>30</v>
      </c>
      <c r="L207">
        <v>14</v>
      </c>
    </row>
    <row r="208" spans="1:12" x14ac:dyDescent="0.3">
      <c r="A208">
        <v>18</v>
      </c>
      <c r="B208" t="s">
        <v>389</v>
      </c>
      <c r="C208">
        <v>203142</v>
      </c>
      <c r="D208" t="s">
        <v>938</v>
      </c>
      <c r="E208" s="46">
        <v>36351</v>
      </c>
      <c r="F208">
        <v>30</v>
      </c>
      <c r="G208">
        <v>0</v>
      </c>
      <c r="H208">
        <v>0</v>
      </c>
      <c r="I208">
        <v>0</v>
      </c>
      <c r="K208">
        <v>30</v>
      </c>
      <c r="L208">
        <v>14</v>
      </c>
    </row>
    <row r="209" spans="1:12" x14ac:dyDescent="0.3">
      <c r="A209">
        <v>19</v>
      </c>
      <c r="B209" t="s">
        <v>674</v>
      </c>
      <c r="C209">
        <v>205771</v>
      </c>
      <c r="D209" t="s">
        <v>68</v>
      </c>
      <c r="E209" s="46">
        <v>40858</v>
      </c>
      <c r="F209">
        <v>0</v>
      </c>
      <c r="G209">
        <v>0</v>
      </c>
      <c r="H209">
        <v>0</v>
      </c>
      <c r="I209">
        <v>15</v>
      </c>
      <c r="K209">
        <v>15</v>
      </c>
      <c r="L209">
        <v>19</v>
      </c>
    </row>
    <row r="210" spans="1:12" x14ac:dyDescent="0.3">
      <c r="A210">
        <v>20</v>
      </c>
      <c r="B210" t="s">
        <v>683</v>
      </c>
      <c r="C210">
        <v>206165</v>
      </c>
      <c r="D210" t="s">
        <v>123</v>
      </c>
      <c r="E210" s="46">
        <v>39875</v>
      </c>
      <c r="F210">
        <v>0</v>
      </c>
      <c r="G210">
        <v>0</v>
      </c>
      <c r="H210">
        <v>0</v>
      </c>
      <c r="I210">
        <v>15</v>
      </c>
      <c r="K210">
        <v>15</v>
      </c>
      <c r="L210">
        <v>19</v>
      </c>
    </row>
    <row r="211" spans="1:12" x14ac:dyDescent="0.3">
      <c r="A211">
        <v>21</v>
      </c>
      <c r="B211" t="s">
        <v>819</v>
      </c>
      <c r="C211">
        <v>206285</v>
      </c>
      <c r="D211" t="s">
        <v>876</v>
      </c>
      <c r="E211" s="46">
        <v>38262</v>
      </c>
      <c r="F211">
        <v>0</v>
      </c>
      <c r="G211">
        <v>0</v>
      </c>
      <c r="H211">
        <v>15</v>
      </c>
      <c r="I211">
        <v>0</v>
      </c>
      <c r="K211">
        <v>15</v>
      </c>
      <c r="L211">
        <v>19</v>
      </c>
    </row>
    <row r="212" spans="1:12" x14ac:dyDescent="0.3">
      <c r="A212">
        <v>22</v>
      </c>
      <c r="B212" t="s">
        <v>351</v>
      </c>
      <c r="C212">
        <v>207488</v>
      </c>
      <c r="D212" t="s">
        <v>39</v>
      </c>
      <c r="E212" s="46">
        <v>41383</v>
      </c>
      <c r="F212">
        <v>0</v>
      </c>
      <c r="G212">
        <v>0</v>
      </c>
      <c r="H212">
        <v>15</v>
      </c>
      <c r="I212">
        <v>0</v>
      </c>
      <c r="K212">
        <v>15</v>
      </c>
      <c r="L212">
        <v>19</v>
      </c>
    </row>
    <row r="213" spans="1:12" x14ac:dyDescent="0.3">
      <c r="A213">
        <v>23</v>
      </c>
      <c r="B213" t="s">
        <v>318</v>
      </c>
      <c r="C213">
        <v>206531</v>
      </c>
      <c r="D213" t="s">
        <v>54</v>
      </c>
      <c r="E213" s="46">
        <v>41045</v>
      </c>
      <c r="F213">
        <v>0</v>
      </c>
      <c r="G213">
        <v>15</v>
      </c>
      <c r="H213">
        <v>0</v>
      </c>
      <c r="I213">
        <v>0</v>
      </c>
      <c r="K213">
        <v>15</v>
      </c>
      <c r="L213">
        <v>19</v>
      </c>
    </row>
    <row r="214" spans="1:12" x14ac:dyDescent="0.3">
      <c r="A214">
        <v>24</v>
      </c>
      <c r="B214" t="s">
        <v>696</v>
      </c>
      <c r="C214">
        <v>200260</v>
      </c>
      <c r="D214" t="s">
        <v>940</v>
      </c>
      <c r="E214" s="46">
        <v>33807</v>
      </c>
      <c r="F214">
        <v>0</v>
      </c>
      <c r="G214">
        <v>15</v>
      </c>
      <c r="H214">
        <v>0</v>
      </c>
      <c r="I214">
        <v>0</v>
      </c>
      <c r="K214">
        <v>15</v>
      </c>
      <c r="L214">
        <v>19</v>
      </c>
    </row>
    <row r="215" spans="1:12" x14ac:dyDescent="0.3">
      <c r="A215">
        <v>25</v>
      </c>
      <c r="B215" t="s">
        <v>501</v>
      </c>
      <c r="C215">
        <v>201181</v>
      </c>
      <c r="D215" t="s">
        <v>500</v>
      </c>
      <c r="E215" s="46">
        <v>37748</v>
      </c>
      <c r="F215">
        <v>15</v>
      </c>
      <c r="G215">
        <v>0</v>
      </c>
      <c r="H215">
        <v>0</v>
      </c>
      <c r="I215">
        <v>0</v>
      </c>
      <c r="K215">
        <v>15</v>
      </c>
      <c r="L215">
        <v>19</v>
      </c>
    </row>
    <row r="220" spans="1:12" x14ac:dyDescent="0.3">
      <c r="A220" t="s">
        <v>965</v>
      </c>
    </row>
    <row r="221" spans="1:12" x14ac:dyDescent="0.3">
      <c r="A221" t="s">
        <v>879</v>
      </c>
      <c r="B221" t="s">
        <v>870</v>
      </c>
      <c r="C221" t="s">
        <v>880</v>
      </c>
      <c r="D221" t="s">
        <v>307</v>
      </c>
      <c r="E221" t="s">
        <v>881</v>
      </c>
      <c r="F221" t="s">
        <v>882</v>
      </c>
      <c r="G221" t="s">
        <v>934</v>
      </c>
      <c r="H221" t="s">
        <v>935</v>
      </c>
      <c r="I221" t="s">
        <v>959</v>
      </c>
      <c r="J221" t="s">
        <v>1073</v>
      </c>
      <c r="K221" t="s">
        <v>883</v>
      </c>
      <c r="L221" t="s">
        <v>14</v>
      </c>
    </row>
    <row r="222" spans="1:12" x14ac:dyDescent="0.3">
      <c r="A222">
        <v>1</v>
      </c>
      <c r="B222" t="s">
        <v>369</v>
      </c>
      <c r="C222">
        <v>204511</v>
      </c>
      <c r="D222" t="s">
        <v>88</v>
      </c>
      <c r="E222" s="46">
        <v>39423</v>
      </c>
      <c r="F222">
        <v>90</v>
      </c>
      <c r="G222">
        <v>45</v>
      </c>
      <c r="H222">
        <v>45</v>
      </c>
      <c r="I222">
        <v>90</v>
      </c>
      <c r="K222">
        <v>270</v>
      </c>
      <c r="L222">
        <v>1</v>
      </c>
    </row>
    <row r="223" spans="1:12" x14ac:dyDescent="0.3">
      <c r="A223">
        <v>2</v>
      </c>
      <c r="B223" t="s">
        <v>665</v>
      </c>
      <c r="C223">
        <v>203747</v>
      </c>
      <c r="D223" t="s">
        <v>93</v>
      </c>
      <c r="E223" s="46">
        <v>39787</v>
      </c>
      <c r="F223">
        <v>30</v>
      </c>
      <c r="G223">
        <v>90</v>
      </c>
      <c r="H223">
        <v>90</v>
      </c>
      <c r="I223">
        <v>45</v>
      </c>
      <c r="K223">
        <v>255</v>
      </c>
      <c r="L223">
        <v>2</v>
      </c>
    </row>
    <row r="224" spans="1:12" x14ac:dyDescent="0.3">
      <c r="A224">
        <v>3</v>
      </c>
      <c r="B224" t="s">
        <v>391</v>
      </c>
      <c r="C224">
        <v>204853</v>
      </c>
      <c r="D224" t="s">
        <v>102</v>
      </c>
      <c r="E224" s="46">
        <v>39940</v>
      </c>
      <c r="F224">
        <v>45</v>
      </c>
      <c r="G224">
        <v>45</v>
      </c>
      <c r="H224">
        <v>30</v>
      </c>
      <c r="I224">
        <v>60</v>
      </c>
      <c r="K224">
        <v>180</v>
      </c>
      <c r="L224">
        <v>3</v>
      </c>
    </row>
    <row r="225" spans="1:12" x14ac:dyDescent="0.3">
      <c r="A225">
        <v>4</v>
      </c>
      <c r="B225" t="s">
        <v>357</v>
      </c>
      <c r="C225">
        <v>205154</v>
      </c>
      <c r="D225" t="s">
        <v>101</v>
      </c>
      <c r="E225" s="46">
        <v>39576</v>
      </c>
      <c r="F225">
        <v>60</v>
      </c>
      <c r="G225">
        <v>60</v>
      </c>
      <c r="H225">
        <v>60</v>
      </c>
      <c r="K225">
        <v>180</v>
      </c>
      <c r="L225">
        <v>3</v>
      </c>
    </row>
    <row r="226" spans="1:12" x14ac:dyDescent="0.3">
      <c r="A226">
        <v>5</v>
      </c>
      <c r="B226" t="s">
        <v>365</v>
      </c>
      <c r="C226">
        <v>205607</v>
      </c>
      <c r="D226" t="s">
        <v>67</v>
      </c>
      <c r="E226" s="46">
        <v>40488</v>
      </c>
      <c r="F226">
        <v>30</v>
      </c>
      <c r="G226">
        <v>30</v>
      </c>
      <c r="H226">
        <v>30</v>
      </c>
      <c r="I226">
        <v>45</v>
      </c>
      <c r="K226">
        <v>135</v>
      </c>
      <c r="L226">
        <v>5</v>
      </c>
    </row>
    <row r="227" spans="1:12" x14ac:dyDescent="0.3">
      <c r="A227">
        <v>6</v>
      </c>
      <c r="B227" t="s">
        <v>350</v>
      </c>
      <c r="C227">
        <v>202679</v>
      </c>
      <c r="D227" t="s">
        <v>113</v>
      </c>
      <c r="E227" s="46">
        <v>38783</v>
      </c>
      <c r="F227">
        <v>15</v>
      </c>
      <c r="G227">
        <v>30</v>
      </c>
      <c r="H227">
        <v>45</v>
      </c>
      <c r="I227">
        <v>30</v>
      </c>
      <c r="K227">
        <v>120</v>
      </c>
      <c r="L227">
        <v>6</v>
      </c>
    </row>
    <row r="228" spans="1:12" x14ac:dyDescent="0.3">
      <c r="A228">
        <v>7</v>
      </c>
      <c r="B228" t="s">
        <v>325</v>
      </c>
      <c r="C228">
        <v>202734</v>
      </c>
      <c r="D228" t="s">
        <v>121</v>
      </c>
      <c r="E228" s="46">
        <v>39162</v>
      </c>
      <c r="F228">
        <v>15</v>
      </c>
      <c r="G228">
        <v>30</v>
      </c>
      <c r="H228">
        <v>30</v>
      </c>
      <c r="I228">
        <v>30</v>
      </c>
      <c r="K228">
        <v>105</v>
      </c>
      <c r="L228">
        <v>7</v>
      </c>
    </row>
    <row r="229" spans="1:12" x14ac:dyDescent="0.3">
      <c r="A229">
        <v>8</v>
      </c>
      <c r="B229" t="s">
        <v>401</v>
      </c>
      <c r="C229">
        <v>204385</v>
      </c>
      <c r="D229" t="s">
        <v>49</v>
      </c>
      <c r="E229" s="46">
        <v>40363</v>
      </c>
      <c r="F229">
        <v>45</v>
      </c>
      <c r="G229">
        <v>15</v>
      </c>
      <c r="H229">
        <v>15</v>
      </c>
      <c r="I229">
        <v>15</v>
      </c>
      <c r="K229">
        <v>90</v>
      </c>
      <c r="L229">
        <v>8</v>
      </c>
    </row>
    <row r="230" spans="1:12" x14ac:dyDescent="0.3">
      <c r="A230">
        <v>9</v>
      </c>
      <c r="B230" t="s">
        <v>364</v>
      </c>
      <c r="C230">
        <v>205182</v>
      </c>
      <c r="D230" t="s">
        <v>133</v>
      </c>
      <c r="E230" s="46">
        <v>39824</v>
      </c>
      <c r="F230">
        <v>15</v>
      </c>
      <c r="G230">
        <v>30</v>
      </c>
      <c r="H230">
        <v>15</v>
      </c>
      <c r="I230">
        <v>15</v>
      </c>
      <c r="K230">
        <v>75</v>
      </c>
      <c r="L230">
        <v>9</v>
      </c>
    </row>
    <row r="231" spans="1:12" x14ac:dyDescent="0.3">
      <c r="A231">
        <v>10</v>
      </c>
      <c r="B231" t="s">
        <v>674</v>
      </c>
      <c r="C231">
        <v>205771</v>
      </c>
      <c r="D231" t="s">
        <v>68</v>
      </c>
      <c r="E231" s="46">
        <v>40858</v>
      </c>
      <c r="G231">
        <v>15</v>
      </c>
      <c r="H231">
        <v>15</v>
      </c>
      <c r="I231">
        <v>30</v>
      </c>
      <c r="K231">
        <v>60</v>
      </c>
      <c r="L231">
        <v>10</v>
      </c>
    </row>
    <row r="232" spans="1:12" x14ac:dyDescent="0.3">
      <c r="A232">
        <v>11</v>
      </c>
      <c r="B232" t="s">
        <v>538</v>
      </c>
      <c r="C232">
        <v>203741</v>
      </c>
      <c r="D232" t="s">
        <v>936</v>
      </c>
      <c r="E232" s="46">
        <v>39464</v>
      </c>
      <c r="F232">
        <v>30</v>
      </c>
      <c r="G232">
        <v>0</v>
      </c>
      <c r="H232">
        <v>0</v>
      </c>
      <c r="I232">
        <v>30</v>
      </c>
      <c r="K232">
        <v>60</v>
      </c>
      <c r="L232">
        <v>10</v>
      </c>
    </row>
    <row r="233" spans="1:12" x14ac:dyDescent="0.3">
      <c r="A233">
        <v>12</v>
      </c>
      <c r="B233" t="s">
        <v>408</v>
      </c>
      <c r="C233">
        <v>206026</v>
      </c>
      <c r="D233" t="s">
        <v>939</v>
      </c>
      <c r="E233" s="46">
        <v>39359</v>
      </c>
      <c r="F233">
        <v>0</v>
      </c>
      <c r="G233">
        <v>15</v>
      </c>
      <c r="H233">
        <v>15</v>
      </c>
      <c r="I233">
        <v>15</v>
      </c>
      <c r="K233">
        <v>45</v>
      </c>
      <c r="L233">
        <v>12</v>
      </c>
    </row>
    <row r="234" spans="1:12" x14ac:dyDescent="0.3">
      <c r="A234">
        <v>13</v>
      </c>
      <c r="B234" t="s">
        <v>340</v>
      </c>
      <c r="C234">
        <v>204522</v>
      </c>
      <c r="D234" t="s">
        <v>118</v>
      </c>
      <c r="E234" s="46">
        <v>39611</v>
      </c>
      <c r="F234">
        <v>15</v>
      </c>
      <c r="G234">
        <v>15</v>
      </c>
      <c r="I234">
        <v>15</v>
      </c>
      <c r="K234">
        <v>45</v>
      </c>
      <c r="L234">
        <v>12</v>
      </c>
    </row>
    <row r="235" spans="1:12" x14ac:dyDescent="0.3">
      <c r="A235">
        <v>14</v>
      </c>
      <c r="B235" t="s">
        <v>611</v>
      </c>
      <c r="C235">
        <v>205917</v>
      </c>
      <c r="D235" t="s">
        <v>57</v>
      </c>
      <c r="E235" s="46">
        <v>40277</v>
      </c>
      <c r="F235">
        <v>0</v>
      </c>
      <c r="G235">
        <v>15</v>
      </c>
      <c r="H235">
        <v>30</v>
      </c>
      <c r="K235">
        <v>45</v>
      </c>
      <c r="L235">
        <v>12</v>
      </c>
    </row>
    <row r="236" spans="1:12" x14ac:dyDescent="0.3">
      <c r="A236">
        <v>15</v>
      </c>
      <c r="B236" t="s">
        <v>407</v>
      </c>
      <c r="C236">
        <v>205175</v>
      </c>
      <c r="D236" t="s">
        <v>55</v>
      </c>
      <c r="E236" s="46">
        <v>40512</v>
      </c>
      <c r="F236">
        <v>15</v>
      </c>
      <c r="G236">
        <v>15</v>
      </c>
      <c r="H236">
        <v>15</v>
      </c>
      <c r="K236">
        <v>45</v>
      </c>
      <c r="L236">
        <v>12</v>
      </c>
    </row>
    <row r="237" spans="1:12" x14ac:dyDescent="0.3">
      <c r="A237">
        <v>16</v>
      </c>
      <c r="B237" t="s">
        <v>462</v>
      </c>
      <c r="C237">
        <v>208333</v>
      </c>
      <c r="D237" t="s">
        <v>461</v>
      </c>
      <c r="E237" s="46">
        <v>40132</v>
      </c>
      <c r="G237">
        <v>0</v>
      </c>
      <c r="H237">
        <v>15</v>
      </c>
      <c r="I237">
        <v>15</v>
      </c>
      <c r="K237">
        <v>30</v>
      </c>
      <c r="L237">
        <v>16</v>
      </c>
    </row>
    <row r="238" spans="1:12" x14ac:dyDescent="0.3">
      <c r="A238">
        <v>17</v>
      </c>
      <c r="B238" t="s">
        <v>683</v>
      </c>
      <c r="C238">
        <v>206165</v>
      </c>
      <c r="D238" t="s">
        <v>123</v>
      </c>
      <c r="E238" s="46">
        <v>39875</v>
      </c>
      <c r="F238">
        <v>15</v>
      </c>
      <c r="G238">
        <v>0</v>
      </c>
      <c r="I238">
        <v>15</v>
      </c>
      <c r="K238">
        <v>30</v>
      </c>
      <c r="L238">
        <v>16</v>
      </c>
    </row>
    <row r="239" spans="1:12" x14ac:dyDescent="0.3">
      <c r="A239">
        <v>18</v>
      </c>
      <c r="B239" t="s">
        <v>404</v>
      </c>
      <c r="C239">
        <v>203800</v>
      </c>
      <c r="D239" t="s">
        <v>403</v>
      </c>
      <c r="E239" s="46">
        <v>38994</v>
      </c>
      <c r="F239">
        <v>15</v>
      </c>
      <c r="G239">
        <v>15</v>
      </c>
      <c r="H239">
        <v>0</v>
      </c>
      <c r="I239">
        <v>0</v>
      </c>
      <c r="K239">
        <v>30</v>
      </c>
      <c r="L239">
        <v>16</v>
      </c>
    </row>
    <row r="240" spans="1:12" x14ac:dyDescent="0.3">
      <c r="A240">
        <v>19</v>
      </c>
      <c r="B240" t="s">
        <v>375</v>
      </c>
      <c r="C240">
        <v>206216</v>
      </c>
      <c r="D240" t="s">
        <v>374</v>
      </c>
      <c r="E240" s="46">
        <v>40495</v>
      </c>
      <c r="F240">
        <v>30</v>
      </c>
      <c r="G240">
        <v>0</v>
      </c>
      <c r="H240">
        <v>0</v>
      </c>
      <c r="I240">
        <v>0</v>
      </c>
      <c r="K240">
        <v>30</v>
      </c>
      <c r="L240">
        <v>16</v>
      </c>
    </row>
    <row r="241" spans="1:12" x14ac:dyDescent="0.3">
      <c r="A241">
        <v>21</v>
      </c>
      <c r="B241" t="s">
        <v>483</v>
      </c>
      <c r="C241">
        <v>204850</v>
      </c>
      <c r="D241" t="s">
        <v>482</v>
      </c>
      <c r="E241" s="46">
        <v>39548</v>
      </c>
      <c r="F241">
        <v>0</v>
      </c>
      <c r="G241">
        <v>0</v>
      </c>
      <c r="I241">
        <v>15</v>
      </c>
      <c r="K241">
        <v>15</v>
      </c>
      <c r="L241">
        <v>20</v>
      </c>
    </row>
    <row r="242" spans="1:12" x14ac:dyDescent="0.3">
      <c r="A242">
        <v>22</v>
      </c>
      <c r="B242" t="s">
        <v>323</v>
      </c>
      <c r="C242">
        <v>206150</v>
      </c>
      <c r="D242" t="s">
        <v>56</v>
      </c>
      <c r="E242" s="46">
        <v>41255</v>
      </c>
      <c r="F242">
        <v>0</v>
      </c>
      <c r="G242">
        <v>0</v>
      </c>
      <c r="H242">
        <v>15</v>
      </c>
      <c r="I242">
        <v>0</v>
      </c>
      <c r="K242">
        <v>15</v>
      </c>
      <c r="L242">
        <v>20</v>
      </c>
    </row>
    <row r="243" spans="1:12" x14ac:dyDescent="0.3">
      <c r="A243">
        <v>23</v>
      </c>
      <c r="B243" t="s">
        <v>475</v>
      </c>
      <c r="C243">
        <v>207134</v>
      </c>
      <c r="D243" t="s">
        <v>915</v>
      </c>
      <c r="E243" s="46">
        <v>39861</v>
      </c>
      <c r="G243">
        <v>15</v>
      </c>
      <c r="H243">
        <v>0</v>
      </c>
      <c r="I243">
        <v>0</v>
      </c>
      <c r="K243">
        <v>15</v>
      </c>
      <c r="L243">
        <v>20</v>
      </c>
    </row>
    <row r="244" spans="1:12" x14ac:dyDescent="0.3">
      <c r="A244">
        <v>24</v>
      </c>
      <c r="D244" t="s">
        <v>916</v>
      </c>
      <c r="F244">
        <v>15</v>
      </c>
      <c r="H244">
        <v>0</v>
      </c>
      <c r="I244">
        <v>0</v>
      </c>
      <c r="K244">
        <v>15</v>
      </c>
      <c r="L244">
        <v>20</v>
      </c>
    </row>
    <row r="249" spans="1:12" x14ac:dyDescent="0.3">
      <c r="A249" t="s">
        <v>966</v>
      </c>
    </row>
    <row r="250" spans="1:12" x14ac:dyDescent="0.3">
      <c r="A250" t="s">
        <v>879</v>
      </c>
      <c r="B250" t="s">
        <v>870</v>
      </c>
      <c r="C250" t="s">
        <v>880</v>
      </c>
      <c r="D250" t="s">
        <v>307</v>
      </c>
      <c r="E250" t="s">
        <v>881</v>
      </c>
      <c r="F250" t="s">
        <v>882</v>
      </c>
      <c r="G250" t="s">
        <v>934</v>
      </c>
      <c r="H250" t="s">
        <v>935</v>
      </c>
      <c r="I250" t="s">
        <v>959</v>
      </c>
      <c r="J250" t="s">
        <v>1073</v>
      </c>
      <c r="K250" t="s">
        <v>883</v>
      </c>
      <c r="L250" t="s">
        <v>14</v>
      </c>
    </row>
    <row r="251" spans="1:12" x14ac:dyDescent="0.3">
      <c r="A251">
        <v>1</v>
      </c>
      <c r="B251" t="s">
        <v>665</v>
      </c>
      <c r="C251">
        <v>203747</v>
      </c>
      <c r="D251" t="s">
        <v>93</v>
      </c>
      <c r="E251" s="46">
        <v>39787</v>
      </c>
      <c r="F251">
        <v>90</v>
      </c>
      <c r="G251">
        <v>45</v>
      </c>
      <c r="H251">
        <v>90</v>
      </c>
      <c r="I251">
        <v>90</v>
      </c>
      <c r="K251">
        <v>315</v>
      </c>
      <c r="L251">
        <v>1</v>
      </c>
    </row>
    <row r="252" spans="1:12" x14ac:dyDescent="0.3">
      <c r="A252">
        <v>2</v>
      </c>
      <c r="B252" t="s">
        <v>391</v>
      </c>
      <c r="C252">
        <v>204853</v>
      </c>
      <c r="D252" t="s">
        <v>102</v>
      </c>
      <c r="E252" s="46">
        <v>39940</v>
      </c>
      <c r="F252">
        <v>45</v>
      </c>
      <c r="G252">
        <v>60</v>
      </c>
      <c r="H252">
        <v>45</v>
      </c>
      <c r="I252">
        <v>45</v>
      </c>
      <c r="K252">
        <v>195</v>
      </c>
      <c r="L252">
        <v>2</v>
      </c>
    </row>
    <row r="253" spans="1:12" x14ac:dyDescent="0.3">
      <c r="A253">
        <v>3</v>
      </c>
      <c r="B253" t="s">
        <v>365</v>
      </c>
      <c r="C253">
        <v>205607</v>
      </c>
      <c r="D253" t="s">
        <v>67</v>
      </c>
      <c r="E253" s="46">
        <v>40488</v>
      </c>
      <c r="F253">
        <v>30</v>
      </c>
      <c r="G253">
        <v>30</v>
      </c>
      <c r="H253">
        <v>60</v>
      </c>
      <c r="I253">
        <v>45</v>
      </c>
      <c r="K253">
        <v>165</v>
      </c>
      <c r="L253">
        <v>3</v>
      </c>
    </row>
    <row r="254" spans="1:12" x14ac:dyDescent="0.3">
      <c r="A254">
        <v>4</v>
      </c>
      <c r="B254" t="s">
        <v>611</v>
      </c>
      <c r="C254">
        <v>205917</v>
      </c>
      <c r="D254" t="s">
        <v>57</v>
      </c>
      <c r="E254" s="46">
        <v>40277</v>
      </c>
      <c r="F254">
        <v>30</v>
      </c>
      <c r="G254">
        <v>45</v>
      </c>
      <c r="H254">
        <v>45</v>
      </c>
      <c r="I254">
        <v>30</v>
      </c>
      <c r="K254">
        <v>150</v>
      </c>
      <c r="L254">
        <v>4</v>
      </c>
    </row>
    <row r="255" spans="1:12" x14ac:dyDescent="0.3">
      <c r="A255">
        <v>5</v>
      </c>
      <c r="B255" t="s">
        <v>357</v>
      </c>
      <c r="C255">
        <v>205154</v>
      </c>
      <c r="D255" t="s">
        <v>101</v>
      </c>
      <c r="E255" s="46">
        <v>39576</v>
      </c>
      <c r="F255">
        <v>60</v>
      </c>
      <c r="G255">
        <v>90</v>
      </c>
      <c r="H255">
        <v>0</v>
      </c>
      <c r="I255">
        <v>0</v>
      </c>
      <c r="K255">
        <v>150</v>
      </c>
      <c r="L255">
        <v>4</v>
      </c>
    </row>
    <row r="256" spans="1:12" x14ac:dyDescent="0.3">
      <c r="A256">
        <v>6</v>
      </c>
      <c r="B256" t="s">
        <v>401</v>
      </c>
      <c r="C256">
        <v>204385</v>
      </c>
      <c r="D256" t="s">
        <v>49</v>
      </c>
      <c r="E256" s="46">
        <v>40363</v>
      </c>
      <c r="F256">
        <v>45</v>
      </c>
      <c r="G256">
        <v>30</v>
      </c>
      <c r="H256">
        <v>30</v>
      </c>
      <c r="I256">
        <v>30</v>
      </c>
      <c r="K256">
        <v>135</v>
      </c>
      <c r="L256">
        <v>6</v>
      </c>
    </row>
    <row r="257" spans="1:12" x14ac:dyDescent="0.3">
      <c r="A257">
        <v>7</v>
      </c>
      <c r="B257" t="s">
        <v>323</v>
      </c>
      <c r="C257">
        <v>206150</v>
      </c>
      <c r="D257" t="s">
        <v>56</v>
      </c>
      <c r="E257" s="46">
        <v>41255</v>
      </c>
      <c r="F257">
        <v>30</v>
      </c>
      <c r="G257">
        <v>30</v>
      </c>
      <c r="H257">
        <v>30</v>
      </c>
      <c r="I257">
        <v>30</v>
      </c>
      <c r="K257">
        <v>120</v>
      </c>
      <c r="L257">
        <v>7</v>
      </c>
    </row>
    <row r="258" spans="1:12" x14ac:dyDescent="0.3">
      <c r="A258">
        <v>8</v>
      </c>
      <c r="B258" t="s">
        <v>538</v>
      </c>
      <c r="C258">
        <v>203741</v>
      </c>
      <c r="D258" t="s">
        <v>936</v>
      </c>
      <c r="E258" s="46">
        <v>39464</v>
      </c>
      <c r="F258">
        <v>0</v>
      </c>
      <c r="G258">
        <v>0</v>
      </c>
      <c r="H258">
        <v>30</v>
      </c>
      <c r="I258">
        <v>60</v>
      </c>
      <c r="K258">
        <v>90</v>
      </c>
      <c r="L258">
        <v>8</v>
      </c>
    </row>
    <row r="259" spans="1:12" x14ac:dyDescent="0.3">
      <c r="A259">
        <v>9</v>
      </c>
      <c r="B259" t="s">
        <v>340</v>
      </c>
      <c r="C259">
        <v>204522</v>
      </c>
      <c r="D259" t="s">
        <v>118</v>
      </c>
      <c r="E259" s="46">
        <v>39611</v>
      </c>
      <c r="F259">
        <v>30</v>
      </c>
      <c r="G259">
        <v>30</v>
      </c>
      <c r="H259">
        <v>15</v>
      </c>
      <c r="I259">
        <v>15</v>
      </c>
      <c r="K259">
        <v>90</v>
      </c>
      <c r="L259">
        <v>8</v>
      </c>
    </row>
    <row r="260" spans="1:12" x14ac:dyDescent="0.3">
      <c r="A260">
        <v>10</v>
      </c>
      <c r="B260" t="s">
        <v>690</v>
      </c>
      <c r="C260">
        <v>206173</v>
      </c>
      <c r="D260" t="s">
        <v>47</v>
      </c>
      <c r="E260" s="46">
        <v>41340</v>
      </c>
      <c r="F260">
        <v>15</v>
      </c>
      <c r="G260">
        <v>15</v>
      </c>
      <c r="H260">
        <v>30</v>
      </c>
      <c r="I260">
        <v>15</v>
      </c>
      <c r="K260">
        <v>75</v>
      </c>
      <c r="L260">
        <v>10</v>
      </c>
    </row>
    <row r="261" spans="1:12" x14ac:dyDescent="0.3">
      <c r="A261">
        <v>11</v>
      </c>
      <c r="B261" t="s">
        <v>674</v>
      </c>
      <c r="C261">
        <v>205771</v>
      </c>
      <c r="D261" t="s">
        <v>68</v>
      </c>
      <c r="E261" s="46">
        <v>40858</v>
      </c>
      <c r="G261">
        <v>15</v>
      </c>
      <c r="H261">
        <v>15</v>
      </c>
      <c r="I261">
        <v>30</v>
      </c>
      <c r="K261">
        <v>60</v>
      </c>
      <c r="L261">
        <v>11</v>
      </c>
    </row>
    <row r="262" spans="1:12" x14ac:dyDescent="0.3">
      <c r="A262">
        <v>12</v>
      </c>
      <c r="B262" t="s">
        <v>683</v>
      </c>
      <c r="C262">
        <v>206165</v>
      </c>
      <c r="D262" t="s">
        <v>123</v>
      </c>
      <c r="E262" s="46">
        <v>39875</v>
      </c>
      <c r="F262">
        <v>15</v>
      </c>
      <c r="G262">
        <v>15</v>
      </c>
      <c r="H262">
        <v>15</v>
      </c>
      <c r="I262">
        <v>15</v>
      </c>
      <c r="K262">
        <v>60</v>
      </c>
      <c r="L262">
        <v>11</v>
      </c>
    </row>
    <row r="263" spans="1:12" x14ac:dyDescent="0.3">
      <c r="A263">
        <v>13</v>
      </c>
      <c r="B263" t="s">
        <v>653</v>
      </c>
      <c r="C263">
        <v>207923</v>
      </c>
      <c r="D263" t="s">
        <v>41</v>
      </c>
      <c r="E263" s="46">
        <v>40247</v>
      </c>
      <c r="F263">
        <v>15</v>
      </c>
      <c r="G263">
        <v>15</v>
      </c>
      <c r="H263">
        <v>15</v>
      </c>
      <c r="I263">
        <v>15</v>
      </c>
      <c r="K263">
        <v>60</v>
      </c>
      <c r="L263">
        <v>11</v>
      </c>
    </row>
    <row r="264" spans="1:12" x14ac:dyDescent="0.3">
      <c r="A264">
        <v>14</v>
      </c>
      <c r="B264" t="s">
        <v>321</v>
      </c>
      <c r="C264">
        <v>204716</v>
      </c>
      <c r="D264" t="s">
        <v>42</v>
      </c>
      <c r="E264" s="46">
        <v>40251</v>
      </c>
      <c r="G264">
        <v>15</v>
      </c>
      <c r="H264">
        <v>15</v>
      </c>
      <c r="I264">
        <v>15</v>
      </c>
      <c r="K264">
        <v>45</v>
      </c>
      <c r="L264">
        <v>14</v>
      </c>
    </row>
    <row r="265" spans="1:12" x14ac:dyDescent="0.3">
      <c r="A265">
        <v>15</v>
      </c>
      <c r="B265" t="s">
        <v>318</v>
      </c>
      <c r="C265">
        <v>206531</v>
      </c>
      <c r="D265" t="s">
        <v>54</v>
      </c>
      <c r="E265" s="46">
        <v>41045</v>
      </c>
      <c r="F265">
        <v>15</v>
      </c>
      <c r="G265">
        <v>15</v>
      </c>
      <c r="I265">
        <v>15</v>
      </c>
      <c r="K265">
        <v>45</v>
      </c>
      <c r="L265">
        <v>14</v>
      </c>
    </row>
    <row r="266" spans="1:12" x14ac:dyDescent="0.3">
      <c r="A266">
        <v>16</v>
      </c>
      <c r="B266" t="s">
        <v>483</v>
      </c>
      <c r="C266">
        <v>204850</v>
      </c>
      <c r="D266" t="s">
        <v>482</v>
      </c>
      <c r="E266" s="46">
        <v>39548</v>
      </c>
      <c r="F266">
        <v>15</v>
      </c>
      <c r="G266">
        <v>0</v>
      </c>
      <c r="H266">
        <v>0</v>
      </c>
      <c r="I266">
        <v>15</v>
      </c>
      <c r="K266">
        <v>30</v>
      </c>
      <c r="L266">
        <v>16</v>
      </c>
    </row>
    <row r="267" spans="1:12" x14ac:dyDescent="0.3">
      <c r="A267">
        <v>17</v>
      </c>
      <c r="B267" t="s">
        <v>364</v>
      </c>
      <c r="C267">
        <v>205182</v>
      </c>
      <c r="D267" t="s">
        <v>133</v>
      </c>
      <c r="E267" s="46">
        <v>39824</v>
      </c>
      <c r="F267">
        <v>15</v>
      </c>
      <c r="G267">
        <v>15</v>
      </c>
      <c r="I267">
        <v>0</v>
      </c>
      <c r="K267">
        <v>30</v>
      </c>
      <c r="L267">
        <v>16</v>
      </c>
    </row>
    <row r="268" spans="1:12" x14ac:dyDescent="0.3">
      <c r="A268">
        <v>18</v>
      </c>
      <c r="B268" t="s">
        <v>510</v>
      </c>
      <c r="C268">
        <v>207471</v>
      </c>
      <c r="D268" t="s">
        <v>1023</v>
      </c>
      <c r="E268" s="46">
        <v>39702</v>
      </c>
      <c r="F268">
        <v>0</v>
      </c>
      <c r="G268">
        <v>0</v>
      </c>
      <c r="H268">
        <v>0</v>
      </c>
      <c r="I268">
        <v>15</v>
      </c>
      <c r="K268">
        <v>15</v>
      </c>
      <c r="L268">
        <v>18</v>
      </c>
    </row>
    <row r="269" spans="1:12" x14ac:dyDescent="0.3">
      <c r="A269">
        <v>19</v>
      </c>
      <c r="B269" t="s">
        <v>726</v>
      </c>
      <c r="C269">
        <v>206174</v>
      </c>
      <c r="D269" t="s">
        <v>191</v>
      </c>
      <c r="E269" s="46">
        <v>39720</v>
      </c>
      <c r="F269">
        <v>0</v>
      </c>
      <c r="G269">
        <v>0</v>
      </c>
      <c r="H269">
        <v>15</v>
      </c>
      <c r="K269">
        <v>15</v>
      </c>
      <c r="L269">
        <v>18</v>
      </c>
    </row>
    <row r="270" spans="1:12" x14ac:dyDescent="0.3">
      <c r="A270">
        <v>20</v>
      </c>
      <c r="B270" t="s">
        <v>729</v>
      </c>
      <c r="D270" t="s">
        <v>50</v>
      </c>
      <c r="E270" s="46">
        <v>40201</v>
      </c>
      <c r="F270">
        <v>0</v>
      </c>
      <c r="G270">
        <v>0</v>
      </c>
      <c r="H270">
        <v>15</v>
      </c>
      <c r="K270">
        <v>15</v>
      </c>
      <c r="L270">
        <v>18</v>
      </c>
    </row>
    <row r="271" spans="1:12" x14ac:dyDescent="0.3">
      <c r="A271">
        <v>21</v>
      </c>
      <c r="B271" t="s">
        <v>707</v>
      </c>
      <c r="C271">
        <v>206487</v>
      </c>
      <c r="D271" t="s">
        <v>40</v>
      </c>
      <c r="E271" s="46">
        <v>40846</v>
      </c>
      <c r="F271">
        <v>0</v>
      </c>
      <c r="G271">
        <v>0</v>
      </c>
      <c r="H271">
        <v>15</v>
      </c>
      <c r="K271">
        <v>15</v>
      </c>
      <c r="L271">
        <v>18</v>
      </c>
    </row>
    <row r="272" spans="1:12" x14ac:dyDescent="0.3">
      <c r="A272">
        <v>22</v>
      </c>
      <c r="B272" t="s">
        <v>344</v>
      </c>
      <c r="C272">
        <v>208673</v>
      </c>
      <c r="D272" t="s">
        <v>70</v>
      </c>
      <c r="E272" s="46">
        <v>40706</v>
      </c>
      <c r="G272">
        <v>15</v>
      </c>
      <c r="H272">
        <v>0</v>
      </c>
      <c r="I272">
        <v>0</v>
      </c>
      <c r="K272">
        <v>15</v>
      </c>
      <c r="L272">
        <v>18</v>
      </c>
    </row>
    <row r="273" spans="1:12" x14ac:dyDescent="0.3">
      <c r="A273">
        <v>23</v>
      </c>
      <c r="B273" t="s">
        <v>648</v>
      </c>
      <c r="C273">
        <v>206273</v>
      </c>
      <c r="D273" t="s">
        <v>46</v>
      </c>
      <c r="E273" s="46">
        <v>40775</v>
      </c>
      <c r="F273">
        <v>15</v>
      </c>
      <c r="G273">
        <v>0</v>
      </c>
      <c r="H273">
        <v>0</v>
      </c>
      <c r="I273">
        <v>0</v>
      </c>
      <c r="K273">
        <v>15</v>
      </c>
      <c r="L273">
        <v>18</v>
      </c>
    </row>
    <row r="274" spans="1:12" x14ac:dyDescent="0.3">
      <c r="A274">
        <v>24</v>
      </c>
      <c r="B274" t="s">
        <v>375</v>
      </c>
      <c r="C274">
        <v>206216</v>
      </c>
      <c r="D274" t="s">
        <v>374</v>
      </c>
      <c r="E274" s="46">
        <v>40495</v>
      </c>
      <c r="F274">
        <v>15</v>
      </c>
      <c r="G274">
        <v>0</v>
      </c>
      <c r="H274">
        <v>0</v>
      </c>
      <c r="I274">
        <v>0</v>
      </c>
      <c r="K274">
        <v>15</v>
      </c>
      <c r="L274">
        <v>18</v>
      </c>
    </row>
    <row r="279" spans="1:12" x14ac:dyDescent="0.3">
      <c r="A279" t="s">
        <v>967</v>
      </c>
    </row>
    <row r="280" spans="1:12" x14ac:dyDescent="0.3">
      <c r="A280" t="s">
        <v>879</v>
      </c>
      <c r="B280" t="s">
        <v>870</v>
      </c>
      <c r="C280" t="s">
        <v>880</v>
      </c>
      <c r="D280" t="s">
        <v>307</v>
      </c>
      <c r="E280" t="s">
        <v>881</v>
      </c>
      <c r="F280" t="s">
        <v>882</v>
      </c>
      <c r="G280" t="s">
        <v>934</v>
      </c>
      <c r="H280" t="s">
        <v>935</v>
      </c>
      <c r="I280" t="s">
        <v>959</v>
      </c>
      <c r="J280" t="s">
        <v>1073</v>
      </c>
      <c r="K280" t="s">
        <v>883</v>
      </c>
      <c r="L280" t="s">
        <v>14</v>
      </c>
    </row>
    <row r="281" spans="1:12" x14ac:dyDescent="0.3">
      <c r="A281">
        <v>1</v>
      </c>
      <c r="B281" t="s">
        <v>401</v>
      </c>
      <c r="C281">
        <v>204385</v>
      </c>
      <c r="D281" t="s">
        <v>49</v>
      </c>
      <c r="E281" s="46">
        <v>40363</v>
      </c>
      <c r="F281">
        <v>30</v>
      </c>
      <c r="G281">
        <v>45</v>
      </c>
      <c r="H281">
        <v>90</v>
      </c>
      <c r="I281">
        <v>90</v>
      </c>
      <c r="K281">
        <v>255</v>
      </c>
      <c r="L281">
        <v>1</v>
      </c>
    </row>
    <row r="282" spans="1:12" x14ac:dyDescent="0.3">
      <c r="A282">
        <v>2</v>
      </c>
      <c r="B282" t="s">
        <v>365</v>
      </c>
      <c r="C282">
        <v>205607</v>
      </c>
      <c r="D282" t="s">
        <v>67</v>
      </c>
      <c r="E282" s="46">
        <v>40488</v>
      </c>
      <c r="F282">
        <v>90</v>
      </c>
      <c r="G282">
        <v>60</v>
      </c>
      <c r="H282">
        <v>45</v>
      </c>
      <c r="I282">
        <v>60</v>
      </c>
      <c r="K282">
        <v>255</v>
      </c>
      <c r="L282">
        <v>1</v>
      </c>
    </row>
    <row r="283" spans="1:12" x14ac:dyDescent="0.3">
      <c r="A283">
        <v>3</v>
      </c>
      <c r="B283" t="s">
        <v>611</v>
      </c>
      <c r="C283">
        <v>205917</v>
      </c>
      <c r="D283" t="s">
        <v>57</v>
      </c>
      <c r="E283" s="46">
        <v>40277</v>
      </c>
      <c r="F283">
        <v>30</v>
      </c>
      <c r="G283">
        <v>90</v>
      </c>
      <c r="H283">
        <v>45</v>
      </c>
      <c r="I283">
        <v>45</v>
      </c>
      <c r="K283">
        <v>210</v>
      </c>
      <c r="L283">
        <v>3</v>
      </c>
    </row>
    <row r="284" spans="1:12" x14ac:dyDescent="0.3">
      <c r="A284">
        <v>4</v>
      </c>
      <c r="B284" t="s">
        <v>674</v>
      </c>
      <c r="C284">
        <v>205771</v>
      </c>
      <c r="D284" t="s">
        <v>68</v>
      </c>
      <c r="E284" s="46">
        <v>40858</v>
      </c>
      <c r="F284">
        <v>30</v>
      </c>
      <c r="G284">
        <v>30</v>
      </c>
      <c r="H284">
        <v>60</v>
      </c>
      <c r="I284">
        <v>45</v>
      </c>
      <c r="K284">
        <v>165</v>
      </c>
      <c r="L284">
        <v>4</v>
      </c>
    </row>
    <row r="285" spans="1:12" x14ac:dyDescent="0.3">
      <c r="A285">
        <v>5</v>
      </c>
      <c r="B285" t="s">
        <v>318</v>
      </c>
      <c r="C285">
        <v>206531</v>
      </c>
      <c r="D285" t="s">
        <v>54</v>
      </c>
      <c r="E285" s="46">
        <v>41045</v>
      </c>
      <c r="F285">
        <v>30</v>
      </c>
      <c r="G285">
        <v>30</v>
      </c>
      <c r="H285">
        <v>30</v>
      </c>
      <c r="I285">
        <v>30</v>
      </c>
      <c r="K285">
        <v>120</v>
      </c>
      <c r="L285">
        <v>5</v>
      </c>
    </row>
    <row r="286" spans="1:12" x14ac:dyDescent="0.3">
      <c r="A286">
        <v>6</v>
      </c>
      <c r="B286" t="s">
        <v>407</v>
      </c>
      <c r="C286">
        <v>205175</v>
      </c>
      <c r="D286" t="s">
        <v>55</v>
      </c>
      <c r="E286" s="46">
        <v>40512</v>
      </c>
      <c r="G286">
        <v>45</v>
      </c>
      <c r="H286">
        <v>30</v>
      </c>
      <c r="I286">
        <v>30</v>
      </c>
      <c r="K286">
        <v>105</v>
      </c>
      <c r="L286">
        <v>6</v>
      </c>
    </row>
    <row r="287" spans="1:12" x14ac:dyDescent="0.3">
      <c r="A287">
        <v>7</v>
      </c>
      <c r="B287" t="s">
        <v>690</v>
      </c>
      <c r="C287">
        <v>206173</v>
      </c>
      <c r="D287" t="s">
        <v>47</v>
      </c>
      <c r="E287" s="46">
        <v>41340</v>
      </c>
      <c r="F287">
        <v>45</v>
      </c>
      <c r="H287">
        <v>30</v>
      </c>
      <c r="I287">
        <v>30</v>
      </c>
      <c r="K287">
        <v>105</v>
      </c>
      <c r="L287">
        <v>6</v>
      </c>
    </row>
    <row r="288" spans="1:12" x14ac:dyDescent="0.3">
      <c r="A288">
        <v>8</v>
      </c>
      <c r="B288" t="s">
        <v>653</v>
      </c>
      <c r="C288">
        <v>207923</v>
      </c>
      <c r="D288" t="s">
        <v>41</v>
      </c>
      <c r="E288" s="46">
        <v>40247</v>
      </c>
      <c r="F288">
        <v>45</v>
      </c>
      <c r="H288">
        <v>30</v>
      </c>
      <c r="I288">
        <v>30</v>
      </c>
      <c r="K288">
        <v>105</v>
      </c>
      <c r="L288">
        <v>6</v>
      </c>
    </row>
    <row r="289" spans="1:12" x14ac:dyDescent="0.3">
      <c r="A289">
        <v>9</v>
      </c>
      <c r="B289" t="s">
        <v>375</v>
      </c>
      <c r="C289">
        <v>206216</v>
      </c>
      <c r="D289" t="s">
        <v>374</v>
      </c>
      <c r="E289" s="46">
        <v>40495</v>
      </c>
      <c r="F289">
        <v>60</v>
      </c>
      <c r="G289">
        <v>30</v>
      </c>
      <c r="H289">
        <v>0</v>
      </c>
      <c r="I289">
        <v>0</v>
      </c>
      <c r="K289">
        <v>90</v>
      </c>
      <c r="L289">
        <v>9</v>
      </c>
    </row>
    <row r="290" spans="1:12" x14ac:dyDescent="0.3">
      <c r="A290">
        <v>10</v>
      </c>
      <c r="B290" t="s">
        <v>351</v>
      </c>
      <c r="C290">
        <v>207488</v>
      </c>
      <c r="D290" t="s">
        <v>39</v>
      </c>
      <c r="E290" s="46">
        <v>41383</v>
      </c>
      <c r="F290">
        <v>15</v>
      </c>
      <c r="G290">
        <v>15</v>
      </c>
      <c r="H290">
        <v>15</v>
      </c>
      <c r="I290">
        <v>15</v>
      </c>
      <c r="K290">
        <v>60</v>
      </c>
      <c r="L290">
        <v>10</v>
      </c>
    </row>
    <row r="291" spans="1:12" x14ac:dyDescent="0.3">
      <c r="A291">
        <v>11</v>
      </c>
      <c r="B291" t="s">
        <v>323</v>
      </c>
      <c r="C291">
        <v>206150</v>
      </c>
      <c r="D291" t="s">
        <v>56</v>
      </c>
      <c r="E291" s="46">
        <v>41255</v>
      </c>
      <c r="F291">
        <v>15</v>
      </c>
      <c r="G291">
        <v>15</v>
      </c>
      <c r="H291">
        <v>15</v>
      </c>
      <c r="I291">
        <v>15</v>
      </c>
      <c r="K291">
        <v>60</v>
      </c>
      <c r="L291">
        <v>10</v>
      </c>
    </row>
    <row r="292" spans="1:12" x14ac:dyDescent="0.3">
      <c r="A292">
        <v>12</v>
      </c>
      <c r="B292" t="s">
        <v>515</v>
      </c>
      <c r="D292" t="s">
        <v>917</v>
      </c>
      <c r="E292" s="46">
        <v>40483</v>
      </c>
      <c r="G292">
        <v>15</v>
      </c>
      <c r="H292">
        <v>15</v>
      </c>
      <c r="I292">
        <v>15</v>
      </c>
      <c r="K292">
        <v>45</v>
      </c>
      <c r="L292">
        <v>12</v>
      </c>
    </row>
    <row r="293" spans="1:12" x14ac:dyDescent="0.3">
      <c r="A293">
        <v>13</v>
      </c>
      <c r="B293" t="s">
        <v>495</v>
      </c>
      <c r="C293">
        <v>207470</v>
      </c>
      <c r="D293" t="s">
        <v>61</v>
      </c>
      <c r="E293" s="46">
        <v>40813</v>
      </c>
      <c r="F293">
        <v>15</v>
      </c>
      <c r="G293">
        <v>0</v>
      </c>
      <c r="H293">
        <v>15</v>
      </c>
      <c r="I293">
        <v>15</v>
      </c>
      <c r="K293">
        <v>45</v>
      </c>
      <c r="L293">
        <v>12</v>
      </c>
    </row>
    <row r="294" spans="1:12" x14ac:dyDescent="0.3">
      <c r="A294">
        <v>14</v>
      </c>
      <c r="B294" t="s">
        <v>622</v>
      </c>
      <c r="C294">
        <v>207784</v>
      </c>
      <c r="D294" t="s">
        <v>69</v>
      </c>
      <c r="E294" s="46">
        <v>41282</v>
      </c>
      <c r="F294">
        <v>15</v>
      </c>
      <c r="G294">
        <v>30</v>
      </c>
      <c r="H294">
        <v>0</v>
      </c>
      <c r="I294">
        <v>0</v>
      </c>
      <c r="K294">
        <v>45</v>
      </c>
      <c r="L294">
        <v>12</v>
      </c>
    </row>
    <row r="295" spans="1:12" x14ac:dyDescent="0.3">
      <c r="A295">
        <v>15</v>
      </c>
      <c r="B295" t="s">
        <v>409</v>
      </c>
      <c r="C295">
        <v>208656</v>
      </c>
      <c r="D295" t="s">
        <v>871</v>
      </c>
      <c r="E295" s="46">
        <v>40414</v>
      </c>
      <c r="F295">
        <v>0</v>
      </c>
      <c r="G295">
        <v>0</v>
      </c>
      <c r="H295">
        <v>15</v>
      </c>
      <c r="I295">
        <v>15</v>
      </c>
      <c r="K295">
        <v>30</v>
      </c>
      <c r="L295">
        <v>15</v>
      </c>
    </row>
    <row r="296" spans="1:12" x14ac:dyDescent="0.3">
      <c r="A296">
        <v>16</v>
      </c>
      <c r="B296" t="s">
        <v>640</v>
      </c>
      <c r="C296">
        <v>207283</v>
      </c>
      <c r="D296" t="s">
        <v>918</v>
      </c>
      <c r="E296" s="46">
        <v>41055</v>
      </c>
      <c r="F296">
        <v>15</v>
      </c>
      <c r="G296">
        <v>0</v>
      </c>
      <c r="H296">
        <v>0</v>
      </c>
      <c r="I296">
        <v>15</v>
      </c>
      <c r="K296">
        <v>30</v>
      </c>
      <c r="L296">
        <v>15</v>
      </c>
    </row>
    <row r="297" spans="1:12" x14ac:dyDescent="0.3">
      <c r="A297">
        <v>17</v>
      </c>
      <c r="B297" t="s">
        <v>400</v>
      </c>
      <c r="C297">
        <v>208484</v>
      </c>
      <c r="D297" t="s">
        <v>48</v>
      </c>
      <c r="E297" s="46">
        <v>41142</v>
      </c>
      <c r="G297">
        <v>15</v>
      </c>
      <c r="H297">
        <v>15</v>
      </c>
      <c r="I297">
        <v>0</v>
      </c>
      <c r="K297">
        <v>30</v>
      </c>
      <c r="L297">
        <v>15</v>
      </c>
    </row>
    <row r="298" spans="1:12" x14ac:dyDescent="0.3">
      <c r="A298">
        <v>18</v>
      </c>
      <c r="B298" t="s">
        <v>648</v>
      </c>
      <c r="C298">
        <v>206273</v>
      </c>
      <c r="D298" t="s">
        <v>46</v>
      </c>
      <c r="E298" s="46">
        <v>40775</v>
      </c>
      <c r="F298">
        <v>15</v>
      </c>
      <c r="G298">
        <v>15</v>
      </c>
      <c r="H298">
        <v>0</v>
      </c>
      <c r="I298">
        <v>0</v>
      </c>
      <c r="K298">
        <v>30</v>
      </c>
      <c r="L298">
        <v>15</v>
      </c>
    </row>
    <row r="299" spans="1:12" x14ac:dyDescent="0.3">
      <c r="A299">
        <v>19</v>
      </c>
      <c r="B299" t="s">
        <v>520</v>
      </c>
      <c r="C299">
        <v>205866</v>
      </c>
      <c r="D299" t="s">
        <v>1024</v>
      </c>
      <c r="E299" s="46">
        <v>40397</v>
      </c>
      <c r="F299">
        <v>15</v>
      </c>
      <c r="G299">
        <v>15</v>
      </c>
      <c r="H299">
        <v>0</v>
      </c>
      <c r="I299">
        <v>0</v>
      </c>
      <c r="K299">
        <v>30</v>
      </c>
      <c r="L299">
        <v>15</v>
      </c>
    </row>
    <row r="300" spans="1:12" x14ac:dyDescent="0.3">
      <c r="A300">
        <v>20</v>
      </c>
      <c r="B300" t="s">
        <v>511</v>
      </c>
      <c r="C300">
        <v>207855</v>
      </c>
      <c r="D300" t="s">
        <v>44</v>
      </c>
      <c r="E300" s="46">
        <v>41183</v>
      </c>
      <c r="F300">
        <v>0</v>
      </c>
      <c r="G300">
        <v>0</v>
      </c>
      <c r="H300">
        <v>0</v>
      </c>
      <c r="I300">
        <v>15</v>
      </c>
      <c r="K300">
        <v>15</v>
      </c>
      <c r="L300">
        <v>20</v>
      </c>
    </row>
    <row r="301" spans="1:12" x14ac:dyDescent="0.3">
      <c r="A301">
        <v>21</v>
      </c>
      <c r="B301" t="s">
        <v>687</v>
      </c>
      <c r="C301">
        <v>207715</v>
      </c>
      <c r="D301" t="s">
        <v>874</v>
      </c>
      <c r="E301" s="46">
        <v>41729</v>
      </c>
      <c r="F301">
        <v>0</v>
      </c>
      <c r="G301">
        <v>0</v>
      </c>
      <c r="H301">
        <v>0</v>
      </c>
      <c r="I301">
        <v>15</v>
      </c>
      <c r="K301">
        <v>15</v>
      </c>
      <c r="L301">
        <v>20</v>
      </c>
    </row>
    <row r="302" spans="1:12" x14ac:dyDescent="0.3">
      <c r="A302">
        <v>22</v>
      </c>
      <c r="B302" t="s">
        <v>797</v>
      </c>
      <c r="D302" t="s">
        <v>66</v>
      </c>
      <c r="E302" s="46">
        <v>40766</v>
      </c>
      <c r="F302">
        <v>0</v>
      </c>
      <c r="G302">
        <v>0</v>
      </c>
      <c r="H302">
        <v>15</v>
      </c>
      <c r="K302">
        <v>15</v>
      </c>
      <c r="L302">
        <v>20</v>
      </c>
    </row>
    <row r="303" spans="1:12" x14ac:dyDescent="0.3">
      <c r="A303">
        <v>23</v>
      </c>
      <c r="B303" t="s">
        <v>321</v>
      </c>
      <c r="C303">
        <v>204716</v>
      </c>
      <c r="D303" t="s">
        <v>42</v>
      </c>
      <c r="E303" s="46">
        <v>40251</v>
      </c>
      <c r="F303">
        <v>0</v>
      </c>
      <c r="G303">
        <v>0</v>
      </c>
      <c r="H303">
        <v>15</v>
      </c>
      <c r="K303">
        <v>15</v>
      </c>
      <c r="L303">
        <v>20</v>
      </c>
    </row>
    <row r="304" spans="1:12" x14ac:dyDescent="0.3">
      <c r="A304">
        <v>24</v>
      </c>
      <c r="B304" t="s">
        <v>339</v>
      </c>
      <c r="C304">
        <v>208672</v>
      </c>
      <c r="D304" t="s">
        <v>53</v>
      </c>
      <c r="E304" s="46">
        <v>40856</v>
      </c>
      <c r="G304">
        <v>15</v>
      </c>
      <c r="H304">
        <v>0</v>
      </c>
      <c r="I304">
        <v>0</v>
      </c>
      <c r="K304">
        <v>15</v>
      </c>
      <c r="L304">
        <v>20</v>
      </c>
    </row>
    <row r="305" spans="1:12" x14ac:dyDescent="0.3">
      <c r="A305">
        <v>25</v>
      </c>
      <c r="B305" t="s">
        <v>612</v>
      </c>
      <c r="C305">
        <v>207388</v>
      </c>
      <c r="D305" t="s">
        <v>94</v>
      </c>
      <c r="E305" s="46">
        <v>41671</v>
      </c>
      <c r="G305">
        <v>15</v>
      </c>
      <c r="H305">
        <v>0</v>
      </c>
      <c r="I305">
        <v>0</v>
      </c>
      <c r="K305">
        <v>15</v>
      </c>
      <c r="L305">
        <v>20</v>
      </c>
    </row>
    <row r="306" spans="1:12" x14ac:dyDescent="0.3">
      <c r="A306">
        <v>26</v>
      </c>
      <c r="B306" t="s">
        <v>344</v>
      </c>
      <c r="C306">
        <v>208673</v>
      </c>
      <c r="D306" t="s">
        <v>70</v>
      </c>
      <c r="E306" s="46">
        <v>40706</v>
      </c>
      <c r="F306">
        <v>15</v>
      </c>
      <c r="H306">
        <v>0</v>
      </c>
      <c r="I306">
        <v>0</v>
      </c>
      <c r="K306">
        <v>15</v>
      </c>
      <c r="L306">
        <v>20</v>
      </c>
    </row>
    <row r="308" spans="1:12" x14ac:dyDescent="0.3">
      <c r="A308" t="s">
        <v>1025</v>
      </c>
    </row>
    <row r="311" spans="1:12" x14ac:dyDescent="0.3">
      <c r="A311" t="s">
        <v>968</v>
      </c>
    </row>
    <row r="312" spans="1:12" x14ac:dyDescent="0.3">
      <c r="A312" t="s">
        <v>879</v>
      </c>
      <c r="B312" t="s">
        <v>870</v>
      </c>
      <c r="C312" t="s">
        <v>880</v>
      </c>
      <c r="D312" t="s">
        <v>307</v>
      </c>
      <c r="E312" t="s">
        <v>881</v>
      </c>
      <c r="F312" t="s">
        <v>882</v>
      </c>
      <c r="G312" t="s">
        <v>934</v>
      </c>
      <c r="H312" t="s">
        <v>935</v>
      </c>
      <c r="I312" t="s">
        <v>959</v>
      </c>
      <c r="J312" t="s">
        <v>1073</v>
      </c>
      <c r="K312" t="s">
        <v>883</v>
      </c>
      <c r="L312" t="s">
        <v>14</v>
      </c>
    </row>
    <row r="313" spans="1:12" x14ac:dyDescent="0.3">
      <c r="A313">
        <v>2</v>
      </c>
      <c r="B313" t="s">
        <v>690</v>
      </c>
      <c r="C313">
        <v>206173</v>
      </c>
      <c r="D313" t="s">
        <v>47</v>
      </c>
      <c r="E313" s="46">
        <v>41340</v>
      </c>
      <c r="F313">
        <v>60</v>
      </c>
      <c r="G313">
        <v>90</v>
      </c>
      <c r="H313">
        <v>60</v>
      </c>
      <c r="I313">
        <v>90</v>
      </c>
      <c r="K313">
        <v>300</v>
      </c>
      <c r="L313">
        <v>1</v>
      </c>
    </row>
    <row r="314" spans="1:12" x14ac:dyDescent="0.3">
      <c r="A314">
        <v>1</v>
      </c>
      <c r="B314" t="s">
        <v>318</v>
      </c>
      <c r="C314">
        <v>206531</v>
      </c>
      <c r="D314" t="s">
        <v>54</v>
      </c>
      <c r="E314" s="46">
        <v>41045</v>
      </c>
      <c r="F314">
        <v>90</v>
      </c>
      <c r="G314">
        <v>45</v>
      </c>
      <c r="H314">
        <v>90</v>
      </c>
      <c r="I314">
        <v>60</v>
      </c>
      <c r="K314">
        <v>285</v>
      </c>
      <c r="L314">
        <v>2</v>
      </c>
    </row>
    <row r="315" spans="1:12" x14ac:dyDescent="0.3">
      <c r="A315">
        <v>3</v>
      </c>
      <c r="B315" t="s">
        <v>346</v>
      </c>
      <c r="C315">
        <v>207489</v>
      </c>
      <c r="D315" t="s">
        <v>52</v>
      </c>
      <c r="E315" s="46">
        <v>41808</v>
      </c>
      <c r="F315">
        <v>45</v>
      </c>
      <c r="G315">
        <v>60</v>
      </c>
      <c r="H315">
        <v>45</v>
      </c>
      <c r="I315">
        <v>30</v>
      </c>
      <c r="K315">
        <v>180</v>
      </c>
      <c r="L315">
        <v>3</v>
      </c>
    </row>
    <row r="316" spans="1:12" x14ac:dyDescent="0.3">
      <c r="A316">
        <v>4</v>
      </c>
      <c r="B316" t="s">
        <v>351</v>
      </c>
      <c r="C316">
        <v>207488</v>
      </c>
      <c r="D316" t="s">
        <v>39</v>
      </c>
      <c r="E316" s="46">
        <v>41383</v>
      </c>
      <c r="F316">
        <v>30</v>
      </c>
      <c r="G316">
        <v>45</v>
      </c>
      <c r="H316">
        <v>45</v>
      </c>
      <c r="I316">
        <v>45</v>
      </c>
      <c r="K316">
        <v>165</v>
      </c>
      <c r="L316">
        <v>4</v>
      </c>
    </row>
    <row r="317" spans="1:12" x14ac:dyDescent="0.3">
      <c r="A317">
        <v>7</v>
      </c>
      <c r="B317" t="s">
        <v>400</v>
      </c>
      <c r="C317">
        <v>208484</v>
      </c>
      <c r="D317" t="s">
        <v>48</v>
      </c>
      <c r="E317" s="46">
        <v>41142</v>
      </c>
      <c r="F317">
        <v>30</v>
      </c>
      <c r="G317">
        <v>30</v>
      </c>
      <c r="H317">
        <v>30</v>
      </c>
      <c r="I317">
        <v>45</v>
      </c>
      <c r="K317">
        <v>135</v>
      </c>
      <c r="L317">
        <v>5</v>
      </c>
    </row>
    <row r="318" spans="1:12" x14ac:dyDescent="0.3">
      <c r="A318">
        <v>5</v>
      </c>
      <c r="B318" t="s">
        <v>323</v>
      </c>
      <c r="C318">
        <v>206150</v>
      </c>
      <c r="D318" t="s">
        <v>56</v>
      </c>
      <c r="E318" s="46">
        <v>41255</v>
      </c>
      <c r="F318">
        <v>45</v>
      </c>
      <c r="G318">
        <v>30</v>
      </c>
      <c r="H318">
        <v>30</v>
      </c>
      <c r="I318">
        <v>30</v>
      </c>
      <c r="K318">
        <v>135</v>
      </c>
      <c r="L318">
        <v>5</v>
      </c>
    </row>
    <row r="319" spans="1:12" x14ac:dyDescent="0.3">
      <c r="A319">
        <v>6</v>
      </c>
      <c r="B319" t="s">
        <v>442</v>
      </c>
      <c r="D319" t="s">
        <v>58</v>
      </c>
      <c r="E319" s="46">
        <v>41229</v>
      </c>
      <c r="F319">
        <v>30</v>
      </c>
      <c r="G319">
        <v>15</v>
      </c>
      <c r="H319">
        <v>30</v>
      </c>
      <c r="I319">
        <v>15</v>
      </c>
      <c r="K319">
        <v>90</v>
      </c>
      <c r="L319">
        <v>7</v>
      </c>
    </row>
    <row r="320" spans="1:12" x14ac:dyDescent="0.3">
      <c r="A320">
        <v>8</v>
      </c>
      <c r="B320" t="s">
        <v>612</v>
      </c>
      <c r="D320" t="s">
        <v>94</v>
      </c>
      <c r="E320" s="46">
        <v>41671</v>
      </c>
      <c r="F320">
        <v>15</v>
      </c>
      <c r="G320">
        <v>30</v>
      </c>
      <c r="H320">
        <v>15</v>
      </c>
      <c r="I320">
        <v>30</v>
      </c>
      <c r="K320">
        <v>90</v>
      </c>
      <c r="L320">
        <v>7</v>
      </c>
    </row>
    <row r="321" spans="1:12" x14ac:dyDescent="0.3">
      <c r="A321">
        <v>9</v>
      </c>
      <c r="B321" t="s">
        <v>640</v>
      </c>
      <c r="C321">
        <v>207283</v>
      </c>
      <c r="D321" t="s">
        <v>918</v>
      </c>
      <c r="E321" s="46">
        <v>41055</v>
      </c>
      <c r="F321">
        <v>30</v>
      </c>
      <c r="G321">
        <v>15</v>
      </c>
      <c r="H321">
        <v>15</v>
      </c>
      <c r="K321">
        <v>60</v>
      </c>
      <c r="L321">
        <v>9</v>
      </c>
    </row>
    <row r="322" spans="1:12" x14ac:dyDescent="0.3">
      <c r="A322">
        <v>11</v>
      </c>
      <c r="B322" t="s">
        <v>687</v>
      </c>
      <c r="C322">
        <v>207715</v>
      </c>
      <c r="D322" t="s">
        <v>874</v>
      </c>
      <c r="E322" s="46">
        <v>41729</v>
      </c>
      <c r="F322">
        <v>15</v>
      </c>
      <c r="G322">
        <v>15</v>
      </c>
      <c r="H322">
        <v>15</v>
      </c>
      <c r="I322">
        <v>15</v>
      </c>
      <c r="K322">
        <v>60</v>
      </c>
      <c r="L322">
        <v>9</v>
      </c>
    </row>
    <row r="323" spans="1:12" x14ac:dyDescent="0.3">
      <c r="A323">
        <v>16</v>
      </c>
      <c r="B323" t="s">
        <v>385</v>
      </c>
      <c r="C323">
        <v>207483</v>
      </c>
      <c r="D323" t="s">
        <v>103</v>
      </c>
      <c r="E323" s="46">
        <v>42079</v>
      </c>
      <c r="F323">
        <v>15</v>
      </c>
      <c r="H323">
        <v>15</v>
      </c>
      <c r="I323">
        <v>30</v>
      </c>
      <c r="K323">
        <v>60</v>
      </c>
      <c r="L323">
        <v>9</v>
      </c>
    </row>
    <row r="324" spans="1:12" x14ac:dyDescent="0.3">
      <c r="A324">
        <v>13</v>
      </c>
      <c r="B324" t="s">
        <v>397</v>
      </c>
      <c r="C324">
        <v>207920</v>
      </c>
      <c r="D324" t="s">
        <v>919</v>
      </c>
      <c r="E324" s="46">
        <v>41518</v>
      </c>
      <c r="F324">
        <v>15</v>
      </c>
      <c r="G324">
        <v>15</v>
      </c>
      <c r="H324">
        <v>15</v>
      </c>
      <c r="I324">
        <v>15</v>
      </c>
      <c r="K324">
        <v>60</v>
      </c>
      <c r="L324">
        <v>9</v>
      </c>
    </row>
    <row r="325" spans="1:12" x14ac:dyDescent="0.3">
      <c r="A325">
        <v>14</v>
      </c>
      <c r="B325" t="s">
        <v>406</v>
      </c>
      <c r="C325">
        <v>207624</v>
      </c>
      <c r="D325" t="s">
        <v>64</v>
      </c>
      <c r="E325" s="46">
        <v>41554</v>
      </c>
      <c r="F325">
        <v>15</v>
      </c>
      <c r="G325">
        <v>30</v>
      </c>
      <c r="I325">
        <v>15</v>
      </c>
      <c r="K325">
        <v>60</v>
      </c>
      <c r="L325">
        <v>9</v>
      </c>
    </row>
    <row r="326" spans="1:12" x14ac:dyDescent="0.3">
      <c r="A326">
        <v>12</v>
      </c>
      <c r="B326" t="s">
        <v>622</v>
      </c>
      <c r="C326">
        <v>207784</v>
      </c>
      <c r="D326" t="s">
        <v>69</v>
      </c>
      <c r="E326" s="46">
        <v>41282</v>
      </c>
      <c r="F326">
        <v>15</v>
      </c>
      <c r="G326">
        <v>15</v>
      </c>
      <c r="H326">
        <v>15</v>
      </c>
      <c r="K326">
        <v>45</v>
      </c>
      <c r="L326">
        <v>14</v>
      </c>
    </row>
    <row r="327" spans="1:12" x14ac:dyDescent="0.3">
      <c r="A327">
        <v>15</v>
      </c>
      <c r="B327" t="s">
        <v>583</v>
      </c>
      <c r="D327" t="s">
        <v>143</v>
      </c>
      <c r="E327" s="46">
        <v>41111</v>
      </c>
      <c r="G327">
        <v>15</v>
      </c>
      <c r="H327">
        <v>15</v>
      </c>
      <c r="I327">
        <v>15</v>
      </c>
      <c r="K327">
        <v>45</v>
      </c>
      <c r="L327">
        <v>14</v>
      </c>
    </row>
    <row r="328" spans="1:12" x14ac:dyDescent="0.3">
      <c r="A328">
        <v>10</v>
      </c>
      <c r="B328" t="s">
        <v>480</v>
      </c>
      <c r="D328" t="s">
        <v>192</v>
      </c>
      <c r="E328" s="46">
        <v>40917</v>
      </c>
      <c r="G328">
        <v>15</v>
      </c>
      <c r="H328">
        <v>30</v>
      </c>
      <c r="I328">
        <v>0</v>
      </c>
      <c r="K328">
        <v>45</v>
      </c>
      <c r="L328">
        <v>14</v>
      </c>
    </row>
    <row r="329" spans="1:12" x14ac:dyDescent="0.3">
      <c r="A329">
        <v>17</v>
      </c>
      <c r="B329" t="s">
        <v>341</v>
      </c>
      <c r="C329">
        <v>207421</v>
      </c>
      <c r="D329" t="s">
        <v>109</v>
      </c>
      <c r="E329" s="46">
        <v>41886</v>
      </c>
      <c r="F329">
        <v>15</v>
      </c>
      <c r="H329">
        <v>15</v>
      </c>
      <c r="I329">
        <v>15</v>
      </c>
      <c r="K329">
        <v>45</v>
      </c>
      <c r="L329">
        <v>14</v>
      </c>
    </row>
    <row r="330" spans="1:12" x14ac:dyDescent="0.3">
      <c r="A330">
        <v>18</v>
      </c>
      <c r="B330" t="s">
        <v>511</v>
      </c>
      <c r="C330">
        <v>207855</v>
      </c>
      <c r="D330" t="s">
        <v>44</v>
      </c>
      <c r="E330" s="46">
        <v>41183</v>
      </c>
      <c r="F330">
        <v>0</v>
      </c>
      <c r="G330">
        <v>15</v>
      </c>
      <c r="H330">
        <v>0</v>
      </c>
      <c r="I330">
        <v>15</v>
      </c>
      <c r="K330">
        <v>30</v>
      </c>
      <c r="L330">
        <v>18</v>
      </c>
    </row>
    <row r="331" spans="1:12" x14ac:dyDescent="0.3">
      <c r="A331">
        <v>19</v>
      </c>
      <c r="B331" t="s">
        <v>787</v>
      </c>
      <c r="D331" t="s">
        <v>114</v>
      </c>
      <c r="E331" s="46">
        <v>41702</v>
      </c>
      <c r="F331">
        <v>0</v>
      </c>
      <c r="G331">
        <v>0</v>
      </c>
      <c r="H331">
        <v>0</v>
      </c>
      <c r="I331">
        <v>15</v>
      </c>
      <c r="K331">
        <v>15</v>
      </c>
      <c r="L331">
        <v>19</v>
      </c>
    </row>
    <row r="332" spans="1:12" x14ac:dyDescent="0.3">
      <c r="A332">
        <v>20</v>
      </c>
      <c r="D332" t="s">
        <v>920</v>
      </c>
      <c r="F332">
        <v>15</v>
      </c>
      <c r="G332">
        <v>0</v>
      </c>
      <c r="H332">
        <v>0</v>
      </c>
      <c r="I332">
        <v>0</v>
      </c>
      <c r="K332">
        <v>15</v>
      </c>
      <c r="L332">
        <v>19</v>
      </c>
    </row>
    <row r="337" spans="1:12" x14ac:dyDescent="0.3">
      <c r="A337" t="s">
        <v>969</v>
      </c>
    </row>
    <row r="338" spans="1:12" x14ac:dyDescent="0.3">
      <c r="A338" t="s">
        <v>879</v>
      </c>
      <c r="B338" t="s">
        <v>870</v>
      </c>
      <c r="C338" t="s">
        <v>880</v>
      </c>
      <c r="D338" t="s">
        <v>307</v>
      </c>
      <c r="E338" t="s">
        <v>881</v>
      </c>
      <c r="F338" t="s">
        <v>882</v>
      </c>
      <c r="G338" t="s">
        <v>934</v>
      </c>
      <c r="H338" t="s">
        <v>935</v>
      </c>
      <c r="I338" t="s">
        <v>959</v>
      </c>
      <c r="J338" t="s">
        <v>1073</v>
      </c>
      <c r="K338" t="s">
        <v>883</v>
      </c>
      <c r="L338" t="s">
        <v>14</v>
      </c>
    </row>
    <row r="339" spans="1:12" x14ac:dyDescent="0.3">
      <c r="A339">
        <v>1</v>
      </c>
      <c r="B339" t="s">
        <v>612</v>
      </c>
      <c r="C339">
        <v>207388</v>
      </c>
      <c r="D339" t="s">
        <v>94</v>
      </c>
      <c r="E339" s="46">
        <v>41671</v>
      </c>
      <c r="F339">
        <v>60</v>
      </c>
      <c r="G339">
        <v>90</v>
      </c>
      <c r="H339">
        <v>90</v>
      </c>
      <c r="I339">
        <v>60</v>
      </c>
      <c r="K339">
        <v>300</v>
      </c>
      <c r="L339">
        <v>1</v>
      </c>
    </row>
    <row r="340" spans="1:12" x14ac:dyDescent="0.3">
      <c r="A340">
        <v>2</v>
      </c>
      <c r="B340" t="s">
        <v>346</v>
      </c>
      <c r="C340">
        <v>207489</v>
      </c>
      <c r="D340" t="s">
        <v>52</v>
      </c>
      <c r="E340" s="46">
        <v>41808</v>
      </c>
      <c r="F340">
        <v>90</v>
      </c>
      <c r="G340">
        <v>60</v>
      </c>
      <c r="H340">
        <v>45</v>
      </c>
      <c r="I340">
        <v>90</v>
      </c>
      <c r="K340">
        <v>285</v>
      </c>
      <c r="L340">
        <v>2</v>
      </c>
    </row>
    <row r="341" spans="1:12" x14ac:dyDescent="0.3">
      <c r="A341">
        <v>3</v>
      </c>
      <c r="B341" t="s">
        <v>385</v>
      </c>
      <c r="C341">
        <v>207483</v>
      </c>
      <c r="D341" t="s">
        <v>103</v>
      </c>
      <c r="E341" s="46">
        <v>42079</v>
      </c>
      <c r="F341">
        <v>45</v>
      </c>
      <c r="G341">
        <v>45</v>
      </c>
      <c r="H341">
        <v>60</v>
      </c>
      <c r="I341">
        <v>45</v>
      </c>
      <c r="K341">
        <v>195</v>
      </c>
      <c r="L341">
        <v>3</v>
      </c>
    </row>
    <row r="342" spans="1:12" x14ac:dyDescent="0.3">
      <c r="A342">
        <v>4</v>
      </c>
      <c r="B342" t="s">
        <v>687</v>
      </c>
      <c r="C342">
        <v>207715</v>
      </c>
      <c r="D342" t="s">
        <v>874</v>
      </c>
      <c r="E342" s="46">
        <v>41729</v>
      </c>
      <c r="F342">
        <v>45</v>
      </c>
      <c r="G342">
        <v>45</v>
      </c>
      <c r="H342">
        <v>45</v>
      </c>
      <c r="I342">
        <v>45</v>
      </c>
      <c r="K342">
        <v>180</v>
      </c>
      <c r="L342">
        <v>4</v>
      </c>
    </row>
    <row r="343" spans="1:12" x14ac:dyDescent="0.3">
      <c r="A343">
        <v>5</v>
      </c>
      <c r="B343" t="s">
        <v>341</v>
      </c>
      <c r="C343">
        <v>207421</v>
      </c>
      <c r="D343" t="s">
        <v>109</v>
      </c>
      <c r="E343" s="46">
        <v>41886</v>
      </c>
      <c r="F343">
        <v>30</v>
      </c>
      <c r="G343">
        <v>30</v>
      </c>
      <c r="H343">
        <v>30</v>
      </c>
      <c r="I343">
        <v>30</v>
      </c>
      <c r="K343">
        <v>120</v>
      </c>
      <c r="L343">
        <v>5</v>
      </c>
    </row>
    <row r="344" spans="1:12" x14ac:dyDescent="0.3">
      <c r="A344">
        <v>6</v>
      </c>
      <c r="B344" t="s">
        <v>522</v>
      </c>
      <c r="C344">
        <v>208661</v>
      </c>
      <c r="D344" t="s">
        <v>201</v>
      </c>
      <c r="E344" s="46">
        <v>42055</v>
      </c>
      <c r="F344">
        <v>15</v>
      </c>
      <c r="G344">
        <v>30</v>
      </c>
      <c r="H344">
        <v>30</v>
      </c>
      <c r="I344">
        <v>30</v>
      </c>
      <c r="K344">
        <v>105</v>
      </c>
      <c r="L344">
        <v>6</v>
      </c>
    </row>
    <row r="345" spans="1:12" x14ac:dyDescent="0.3">
      <c r="A345">
        <v>7</v>
      </c>
      <c r="B345" t="s">
        <v>727</v>
      </c>
      <c r="D345" t="s">
        <v>110</v>
      </c>
      <c r="E345" s="46">
        <v>42608</v>
      </c>
      <c r="F345">
        <v>30</v>
      </c>
      <c r="G345">
        <v>15</v>
      </c>
      <c r="H345">
        <v>30</v>
      </c>
      <c r="I345">
        <v>15</v>
      </c>
      <c r="K345">
        <v>90</v>
      </c>
      <c r="L345">
        <v>7</v>
      </c>
    </row>
    <row r="346" spans="1:12" x14ac:dyDescent="0.3">
      <c r="A346">
        <v>8</v>
      </c>
      <c r="B346" t="s">
        <v>787</v>
      </c>
      <c r="D346" t="s">
        <v>114</v>
      </c>
      <c r="E346" s="46">
        <v>41702</v>
      </c>
      <c r="F346">
        <v>30</v>
      </c>
      <c r="G346">
        <v>30</v>
      </c>
      <c r="I346">
        <v>30</v>
      </c>
      <c r="K346">
        <v>90</v>
      </c>
      <c r="L346">
        <v>7</v>
      </c>
    </row>
    <row r="347" spans="1:12" x14ac:dyDescent="0.3">
      <c r="A347">
        <v>9</v>
      </c>
      <c r="B347" t="s">
        <v>610</v>
      </c>
      <c r="D347" t="s">
        <v>134</v>
      </c>
      <c r="E347" s="46">
        <v>42637</v>
      </c>
      <c r="F347">
        <v>15</v>
      </c>
      <c r="G347">
        <v>15</v>
      </c>
      <c r="H347">
        <v>30</v>
      </c>
      <c r="I347">
        <v>15</v>
      </c>
      <c r="K347">
        <v>75</v>
      </c>
      <c r="L347">
        <v>9</v>
      </c>
    </row>
    <row r="348" spans="1:12" x14ac:dyDescent="0.3">
      <c r="A348">
        <v>10</v>
      </c>
      <c r="B348" t="s">
        <v>730</v>
      </c>
      <c r="D348" t="s">
        <v>115</v>
      </c>
      <c r="E348" s="46">
        <v>42671</v>
      </c>
      <c r="G348">
        <v>30</v>
      </c>
      <c r="H348">
        <v>15</v>
      </c>
      <c r="I348">
        <v>15</v>
      </c>
      <c r="K348">
        <v>60</v>
      </c>
      <c r="L348">
        <v>10</v>
      </c>
    </row>
    <row r="349" spans="1:12" x14ac:dyDescent="0.3">
      <c r="A349">
        <v>11</v>
      </c>
      <c r="B349" t="s">
        <v>556</v>
      </c>
      <c r="D349" t="s">
        <v>124</v>
      </c>
      <c r="E349" s="46">
        <v>41695</v>
      </c>
      <c r="F349">
        <v>30</v>
      </c>
      <c r="G349">
        <v>15</v>
      </c>
      <c r="I349">
        <v>15</v>
      </c>
      <c r="K349">
        <v>60</v>
      </c>
      <c r="L349">
        <v>10</v>
      </c>
    </row>
    <row r="350" spans="1:12" x14ac:dyDescent="0.3">
      <c r="A350">
        <v>12</v>
      </c>
      <c r="B350" t="s">
        <v>381</v>
      </c>
      <c r="D350" t="s">
        <v>138</v>
      </c>
      <c r="E350" s="46">
        <v>41851</v>
      </c>
      <c r="G350">
        <v>15</v>
      </c>
      <c r="H350">
        <v>15</v>
      </c>
      <c r="I350">
        <v>15</v>
      </c>
      <c r="K350">
        <v>45</v>
      </c>
      <c r="L350">
        <v>12</v>
      </c>
    </row>
    <row r="351" spans="1:12" x14ac:dyDescent="0.3">
      <c r="A351">
        <v>13</v>
      </c>
      <c r="B351" t="s">
        <v>415</v>
      </c>
      <c r="D351" t="s">
        <v>922</v>
      </c>
      <c r="E351" s="46">
        <v>41860</v>
      </c>
      <c r="F351">
        <v>15</v>
      </c>
      <c r="G351">
        <v>15</v>
      </c>
      <c r="I351">
        <v>15</v>
      </c>
      <c r="K351">
        <v>45</v>
      </c>
      <c r="L351">
        <v>12</v>
      </c>
    </row>
    <row r="352" spans="1:12" x14ac:dyDescent="0.3">
      <c r="A352">
        <v>14</v>
      </c>
      <c r="B352" t="s">
        <v>621</v>
      </c>
      <c r="D352" t="s">
        <v>620</v>
      </c>
      <c r="E352" s="46">
        <v>42291</v>
      </c>
      <c r="F352">
        <v>0</v>
      </c>
      <c r="G352">
        <v>0</v>
      </c>
      <c r="H352">
        <v>15</v>
      </c>
      <c r="I352">
        <v>30</v>
      </c>
      <c r="K352">
        <v>45</v>
      </c>
      <c r="L352">
        <v>12</v>
      </c>
    </row>
    <row r="353" spans="1:12" x14ac:dyDescent="0.3">
      <c r="A353">
        <v>15</v>
      </c>
      <c r="D353" t="s">
        <v>921</v>
      </c>
      <c r="F353">
        <v>15</v>
      </c>
      <c r="G353">
        <v>15</v>
      </c>
      <c r="H353">
        <v>0</v>
      </c>
      <c r="I353">
        <v>0</v>
      </c>
      <c r="K353">
        <v>30</v>
      </c>
      <c r="L353">
        <v>15</v>
      </c>
    </row>
    <row r="354" spans="1:12" x14ac:dyDescent="0.3">
      <c r="A354">
        <v>16</v>
      </c>
      <c r="B354" t="s">
        <v>765</v>
      </c>
      <c r="D354" t="s">
        <v>169</v>
      </c>
      <c r="E354" s="46">
        <v>42255</v>
      </c>
      <c r="F354">
        <v>0</v>
      </c>
      <c r="G354">
        <v>0</v>
      </c>
      <c r="H354">
        <v>15</v>
      </c>
      <c r="I354">
        <v>15</v>
      </c>
      <c r="K354">
        <v>30</v>
      </c>
      <c r="L354">
        <v>15</v>
      </c>
    </row>
    <row r="355" spans="1:12" x14ac:dyDescent="0.3">
      <c r="A355">
        <v>17</v>
      </c>
      <c r="B355" t="s">
        <v>728</v>
      </c>
      <c r="D355" t="s">
        <v>159</v>
      </c>
      <c r="E355" s="46">
        <v>42239</v>
      </c>
      <c r="F355">
        <v>0</v>
      </c>
      <c r="G355">
        <v>0</v>
      </c>
      <c r="H355">
        <v>15</v>
      </c>
      <c r="I355">
        <v>15</v>
      </c>
      <c r="K355">
        <v>30</v>
      </c>
      <c r="L355">
        <v>15</v>
      </c>
    </row>
    <row r="356" spans="1:12" x14ac:dyDescent="0.3">
      <c r="A356">
        <v>18</v>
      </c>
      <c r="B356" t="s">
        <v>776</v>
      </c>
      <c r="D356" t="s">
        <v>174</v>
      </c>
      <c r="E356" s="46">
        <v>41740</v>
      </c>
      <c r="F356">
        <v>0</v>
      </c>
      <c r="G356">
        <v>0</v>
      </c>
      <c r="H356">
        <v>15</v>
      </c>
      <c r="I356">
        <v>0</v>
      </c>
      <c r="K356">
        <v>15</v>
      </c>
      <c r="L356">
        <v>18</v>
      </c>
    </row>
    <row r="357" spans="1:12" x14ac:dyDescent="0.3">
      <c r="A357">
        <v>19</v>
      </c>
      <c r="B357" t="s">
        <v>804</v>
      </c>
      <c r="D357" t="s">
        <v>180</v>
      </c>
      <c r="E357" s="46">
        <v>41921</v>
      </c>
      <c r="F357">
        <v>0</v>
      </c>
      <c r="G357">
        <v>0</v>
      </c>
      <c r="H357">
        <v>15</v>
      </c>
      <c r="I357">
        <v>0</v>
      </c>
      <c r="K357">
        <v>15</v>
      </c>
      <c r="L357">
        <v>18</v>
      </c>
    </row>
    <row r="358" spans="1:12" x14ac:dyDescent="0.3">
      <c r="A358">
        <v>20</v>
      </c>
      <c r="B358" t="s">
        <v>571</v>
      </c>
      <c r="D358" t="s">
        <v>570</v>
      </c>
      <c r="E358" s="46">
        <v>42274</v>
      </c>
      <c r="F358">
        <v>0</v>
      </c>
      <c r="G358">
        <v>15</v>
      </c>
      <c r="I358">
        <v>0</v>
      </c>
      <c r="K358">
        <v>15</v>
      </c>
      <c r="L358">
        <v>18</v>
      </c>
    </row>
    <row r="359" spans="1:12" x14ac:dyDescent="0.3">
      <c r="A359">
        <v>21</v>
      </c>
      <c r="B359" t="s">
        <v>557</v>
      </c>
      <c r="D359" t="s">
        <v>923</v>
      </c>
      <c r="E359" s="46">
        <v>42006</v>
      </c>
      <c r="F359">
        <v>15</v>
      </c>
      <c r="G359">
        <v>0</v>
      </c>
      <c r="H359">
        <v>0</v>
      </c>
      <c r="I359">
        <v>0</v>
      </c>
      <c r="K359">
        <v>15</v>
      </c>
      <c r="L359">
        <v>18</v>
      </c>
    </row>
    <row r="360" spans="1:12" x14ac:dyDescent="0.3">
      <c r="A360">
        <v>22</v>
      </c>
      <c r="D360" t="s">
        <v>924</v>
      </c>
      <c r="F360">
        <v>15</v>
      </c>
      <c r="G360">
        <v>0</v>
      </c>
      <c r="H360">
        <v>0</v>
      </c>
      <c r="I360">
        <v>0</v>
      </c>
      <c r="K360">
        <v>15</v>
      </c>
      <c r="L360">
        <v>18</v>
      </c>
    </row>
    <row r="361" spans="1:12" x14ac:dyDescent="0.3">
      <c r="A361">
        <v>23</v>
      </c>
      <c r="B361" t="s">
        <v>649</v>
      </c>
      <c r="D361" t="s">
        <v>144</v>
      </c>
      <c r="E361" s="46">
        <v>42168</v>
      </c>
      <c r="F361">
        <v>15</v>
      </c>
      <c r="G361">
        <v>0</v>
      </c>
      <c r="H361">
        <v>0</v>
      </c>
      <c r="I361">
        <v>0</v>
      </c>
      <c r="K361">
        <v>15</v>
      </c>
      <c r="L361">
        <v>18</v>
      </c>
    </row>
    <row r="366" spans="1:12" x14ac:dyDescent="0.3">
      <c r="A366" t="s">
        <v>970</v>
      </c>
    </row>
    <row r="367" spans="1:12" x14ac:dyDescent="0.3">
      <c r="A367" t="s">
        <v>879</v>
      </c>
      <c r="B367" t="s">
        <v>870</v>
      </c>
      <c r="C367" t="s">
        <v>880</v>
      </c>
      <c r="D367" t="s">
        <v>307</v>
      </c>
      <c r="E367" t="s">
        <v>881</v>
      </c>
      <c r="F367" t="s">
        <v>882</v>
      </c>
      <c r="G367" t="s">
        <v>934</v>
      </c>
      <c r="H367" t="s">
        <v>935</v>
      </c>
      <c r="I367" t="s">
        <v>959</v>
      </c>
      <c r="J367" t="s">
        <v>1073</v>
      </c>
      <c r="K367" t="s">
        <v>883</v>
      </c>
      <c r="L367" t="s">
        <v>14</v>
      </c>
    </row>
    <row r="368" spans="1:12" x14ac:dyDescent="0.3">
      <c r="A368">
        <v>1</v>
      </c>
      <c r="B368" t="s">
        <v>386</v>
      </c>
      <c r="D368" t="s">
        <v>95</v>
      </c>
      <c r="E368" s="46">
        <v>42740</v>
      </c>
      <c r="F368">
        <v>15</v>
      </c>
      <c r="G368">
        <v>90</v>
      </c>
      <c r="H368">
        <v>90</v>
      </c>
      <c r="I368">
        <v>60</v>
      </c>
      <c r="K368">
        <v>255</v>
      </c>
      <c r="L368">
        <v>1</v>
      </c>
    </row>
    <row r="369" spans="1:12" x14ac:dyDescent="0.3">
      <c r="A369">
        <v>2</v>
      </c>
      <c r="B369" t="s">
        <v>540</v>
      </c>
      <c r="C369">
        <v>208764</v>
      </c>
      <c r="D369" t="s">
        <v>104</v>
      </c>
      <c r="E369" s="46">
        <v>42746</v>
      </c>
      <c r="F369">
        <v>60</v>
      </c>
      <c r="G369">
        <v>30</v>
      </c>
      <c r="H369">
        <v>60</v>
      </c>
      <c r="I369">
        <v>90</v>
      </c>
      <c r="K369">
        <v>240</v>
      </c>
      <c r="L369">
        <v>2</v>
      </c>
    </row>
    <row r="370" spans="1:12" x14ac:dyDescent="0.3">
      <c r="A370">
        <v>3</v>
      </c>
      <c r="B370" t="s">
        <v>619</v>
      </c>
      <c r="C370">
        <v>208730</v>
      </c>
      <c r="D370" t="s">
        <v>618</v>
      </c>
      <c r="E370" s="46">
        <v>42696</v>
      </c>
      <c r="F370">
        <v>90</v>
      </c>
      <c r="G370">
        <v>45</v>
      </c>
      <c r="H370">
        <v>30</v>
      </c>
      <c r="I370">
        <v>45</v>
      </c>
      <c r="K370">
        <v>210</v>
      </c>
      <c r="L370">
        <v>3</v>
      </c>
    </row>
    <row r="371" spans="1:12" x14ac:dyDescent="0.3">
      <c r="A371">
        <v>4</v>
      </c>
      <c r="B371" t="s">
        <v>680</v>
      </c>
      <c r="C371">
        <v>208667</v>
      </c>
      <c r="D371" t="s">
        <v>90</v>
      </c>
      <c r="E371" s="46">
        <v>42444</v>
      </c>
      <c r="F371">
        <v>45</v>
      </c>
      <c r="G371">
        <v>60</v>
      </c>
      <c r="H371">
        <v>45</v>
      </c>
      <c r="I371">
        <v>45</v>
      </c>
      <c r="K371">
        <v>195</v>
      </c>
      <c r="L371">
        <v>4</v>
      </c>
    </row>
    <row r="372" spans="1:12" x14ac:dyDescent="0.3">
      <c r="A372">
        <v>5</v>
      </c>
      <c r="B372" t="s">
        <v>727</v>
      </c>
      <c r="D372" t="s">
        <v>110</v>
      </c>
      <c r="E372" s="46">
        <v>42608</v>
      </c>
      <c r="F372">
        <v>30</v>
      </c>
      <c r="G372">
        <v>30</v>
      </c>
      <c r="H372">
        <v>45</v>
      </c>
      <c r="I372">
        <v>30</v>
      </c>
      <c r="K372">
        <v>135</v>
      </c>
      <c r="L372">
        <v>5</v>
      </c>
    </row>
    <row r="373" spans="1:12" x14ac:dyDescent="0.3">
      <c r="A373">
        <v>6</v>
      </c>
      <c r="B373" t="s">
        <v>730</v>
      </c>
      <c r="D373" t="s">
        <v>115</v>
      </c>
      <c r="E373" s="46">
        <v>42671</v>
      </c>
      <c r="F373">
        <v>45</v>
      </c>
      <c r="G373">
        <v>15</v>
      </c>
      <c r="H373">
        <v>30</v>
      </c>
      <c r="I373">
        <v>30</v>
      </c>
      <c r="K373">
        <v>120</v>
      </c>
      <c r="L373">
        <v>6</v>
      </c>
    </row>
    <row r="374" spans="1:12" x14ac:dyDescent="0.3">
      <c r="A374">
        <v>7</v>
      </c>
      <c r="B374" t="s">
        <v>579</v>
      </c>
      <c r="D374" t="s">
        <v>925</v>
      </c>
      <c r="E374" s="46">
        <v>42661</v>
      </c>
      <c r="F374">
        <v>30</v>
      </c>
      <c r="G374">
        <v>45</v>
      </c>
      <c r="I374">
        <v>30</v>
      </c>
      <c r="K374">
        <v>105</v>
      </c>
      <c r="L374">
        <v>7</v>
      </c>
    </row>
    <row r="375" spans="1:12" x14ac:dyDescent="0.3">
      <c r="A375">
        <v>8</v>
      </c>
      <c r="B375" t="s">
        <v>753</v>
      </c>
      <c r="D375" t="s">
        <v>752</v>
      </c>
      <c r="E375" s="46">
        <v>42459</v>
      </c>
      <c r="F375">
        <v>15</v>
      </c>
      <c r="G375">
        <v>30</v>
      </c>
      <c r="H375">
        <v>30</v>
      </c>
      <c r="I375">
        <v>15</v>
      </c>
      <c r="K375">
        <v>90</v>
      </c>
      <c r="L375">
        <v>8</v>
      </c>
    </row>
    <row r="376" spans="1:12" x14ac:dyDescent="0.3">
      <c r="A376">
        <v>9</v>
      </c>
      <c r="B376" t="s">
        <v>734</v>
      </c>
      <c r="D376" t="s">
        <v>122</v>
      </c>
      <c r="E376" s="46">
        <v>43114</v>
      </c>
      <c r="F376">
        <v>15</v>
      </c>
      <c r="G376">
        <v>15</v>
      </c>
      <c r="H376">
        <v>30</v>
      </c>
      <c r="I376">
        <v>15</v>
      </c>
      <c r="K376">
        <v>75</v>
      </c>
      <c r="L376">
        <v>9</v>
      </c>
    </row>
    <row r="377" spans="1:12" x14ac:dyDescent="0.3">
      <c r="A377">
        <v>10</v>
      </c>
      <c r="D377" t="s">
        <v>926</v>
      </c>
      <c r="F377">
        <v>30</v>
      </c>
      <c r="G377">
        <v>30</v>
      </c>
      <c r="H377">
        <v>0</v>
      </c>
      <c r="I377">
        <v>0</v>
      </c>
      <c r="K377">
        <v>60</v>
      </c>
      <c r="L377">
        <v>10</v>
      </c>
    </row>
    <row r="378" spans="1:12" x14ac:dyDescent="0.3">
      <c r="A378">
        <v>11</v>
      </c>
      <c r="B378" t="s">
        <v>837</v>
      </c>
      <c r="D378" t="s">
        <v>928</v>
      </c>
      <c r="E378" s="46">
        <v>42558</v>
      </c>
      <c r="F378">
        <v>15</v>
      </c>
      <c r="G378">
        <v>0</v>
      </c>
      <c r="H378">
        <v>15</v>
      </c>
      <c r="I378">
        <v>30</v>
      </c>
      <c r="K378">
        <v>60</v>
      </c>
      <c r="L378">
        <v>10</v>
      </c>
    </row>
    <row r="379" spans="1:12" x14ac:dyDescent="0.3">
      <c r="A379">
        <v>12</v>
      </c>
      <c r="B379" t="s">
        <v>430</v>
      </c>
      <c r="D379" t="s">
        <v>125</v>
      </c>
      <c r="E379" s="46">
        <v>43023</v>
      </c>
      <c r="F379">
        <v>0</v>
      </c>
      <c r="G379">
        <v>15</v>
      </c>
      <c r="H379">
        <v>15</v>
      </c>
      <c r="I379">
        <v>15</v>
      </c>
      <c r="K379">
        <v>45</v>
      </c>
      <c r="L379">
        <v>12</v>
      </c>
    </row>
    <row r="380" spans="1:12" x14ac:dyDescent="0.3">
      <c r="A380">
        <v>13</v>
      </c>
      <c r="B380" t="s">
        <v>610</v>
      </c>
      <c r="D380" t="s">
        <v>134</v>
      </c>
      <c r="E380" s="46">
        <v>42637</v>
      </c>
      <c r="F380">
        <v>0</v>
      </c>
      <c r="G380">
        <v>15</v>
      </c>
      <c r="H380">
        <v>15</v>
      </c>
      <c r="I380">
        <v>15</v>
      </c>
      <c r="K380">
        <v>45</v>
      </c>
      <c r="L380">
        <v>12</v>
      </c>
    </row>
    <row r="381" spans="1:12" x14ac:dyDescent="0.3">
      <c r="A381">
        <v>14</v>
      </c>
      <c r="B381" t="s">
        <v>745</v>
      </c>
      <c r="D381" t="s">
        <v>744</v>
      </c>
      <c r="E381" s="46">
        <v>42692</v>
      </c>
      <c r="F381">
        <v>0</v>
      </c>
      <c r="G381">
        <v>15</v>
      </c>
      <c r="H381">
        <v>15</v>
      </c>
      <c r="I381">
        <v>0</v>
      </c>
      <c r="K381">
        <v>30</v>
      </c>
      <c r="L381">
        <v>14</v>
      </c>
    </row>
    <row r="382" spans="1:12" x14ac:dyDescent="0.3">
      <c r="A382">
        <v>15</v>
      </c>
      <c r="B382" t="s">
        <v>927</v>
      </c>
      <c r="D382" t="s">
        <v>139</v>
      </c>
      <c r="E382" s="46">
        <v>42572</v>
      </c>
      <c r="F382">
        <v>15</v>
      </c>
      <c r="G382">
        <v>0</v>
      </c>
      <c r="H382">
        <v>15</v>
      </c>
      <c r="I382">
        <v>0</v>
      </c>
      <c r="K382">
        <v>30</v>
      </c>
      <c r="L382">
        <v>14</v>
      </c>
    </row>
    <row r="383" spans="1:12" x14ac:dyDescent="0.3">
      <c r="A383">
        <v>16</v>
      </c>
      <c r="B383" t="s">
        <v>396</v>
      </c>
      <c r="D383" t="s">
        <v>395</v>
      </c>
      <c r="E383" s="46">
        <v>42503</v>
      </c>
      <c r="F383">
        <v>30</v>
      </c>
      <c r="G383">
        <v>0</v>
      </c>
      <c r="H383">
        <v>0</v>
      </c>
      <c r="I383">
        <v>0</v>
      </c>
      <c r="K383">
        <v>30</v>
      </c>
      <c r="L383">
        <v>14</v>
      </c>
    </row>
    <row r="384" spans="1:12" x14ac:dyDescent="0.3">
      <c r="A384">
        <v>17</v>
      </c>
      <c r="B384" t="s">
        <v>427</v>
      </c>
      <c r="D384" t="s">
        <v>929</v>
      </c>
      <c r="E384" s="46">
        <v>42532</v>
      </c>
      <c r="F384">
        <v>0</v>
      </c>
      <c r="G384">
        <v>0</v>
      </c>
      <c r="H384">
        <v>15</v>
      </c>
      <c r="I384">
        <v>15</v>
      </c>
      <c r="K384">
        <v>30</v>
      </c>
      <c r="L384">
        <v>14</v>
      </c>
    </row>
    <row r="385" spans="1:12" x14ac:dyDescent="0.3">
      <c r="A385">
        <v>18</v>
      </c>
      <c r="B385" t="s">
        <v>733</v>
      </c>
      <c r="D385" t="s">
        <v>732</v>
      </c>
      <c r="E385" s="46">
        <v>42395</v>
      </c>
      <c r="F385">
        <v>0</v>
      </c>
      <c r="G385">
        <v>15</v>
      </c>
      <c r="H385">
        <v>0</v>
      </c>
      <c r="I385">
        <v>15</v>
      </c>
      <c r="K385">
        <v>30</v>
      </c>
      <c r="L385">
        <v>14</v>
      </c>
    </row>
    <row r="386" spans="1:12" x14ac:dyDescent="0.3">
      <c r="A386">
        <v>19</v>
      </c>
      <c r="B386" t="s">
        <v>708</v>
      </c>
      <c r="D386" t="s">
        <v>152</v>
      </c>
      <c r="E386" s="46">
        <v>42487</v>
      </c>
      <c r="F386">
        <v>0</v>
      </c>
      <c r="G386">
        <v>0</v>
      </c>
      <c r="H386">
        <v>15</v>
      </c>
      <c r="I386">
        <v>0</v>
      </c>
      <c r="K386">
        <v>15</v>
      </c>
      <c r="L386">
        <v>19</v>
      </c>
    </row>
    <row r="387" spans="1:12" x14ac:dyDescent="0.3">
      <c r="A387">
        <v>20</v>
      </c>
      <c r="D387" t="s">
        <v>930</v>
      </c>
      <c r="F387">
        <v>0</v>
      </c>
      <c r="G387">
        <v>15</v>
      </c>
      <c r="H387">
        <v>0</v>
      </c>
      <c r="I387">
        <v>0</v>
      </c>
      <c r="K387">
        <v>15</v>
      </c>
      <c r="L387">
        <v>19</v>
      </c>
    </row>
    <row r="388" spans="1:12" x14ac:dyDescent="0.3">
      <c r="A388">
        <v>21</v>
      </c>
      <c r="D388" t="s">
        <v>931</v>
      </c>
      <c r="F388">
        <v>0</v>
      </c>
      <c r="G388">
        <v>15</v>
      </c>
      <c r="H388">
        <v>0</v>
      </c>
      <c r="I388">
        <v>0</v>
      </c>
      <c r="K388">
        <v>15</v>
      </c>
      <c r="L388">
        <v>19</v>
      </c>
    </row>
    <row r="389" spans="1:12" x14ac:dyDescent="0.3">
      <c r="A389">
        <v>22</v>
      </c>
      <c r="D389" t="s">
        <v>932</v>
      </c>
      <c r="F389">
        <v>15</v>
      </c>
      <c r="G389">
        <v>0</v>
      </c>
      <c r="H389">
        <v>0</v>
      </c>
      <c r="I389">
        <v>0</v>
      </c>
      <c r="K389">
        <v>15</v>
      </c>
      <c r="L389">
        <v>19</v>
      </c>
    </row>
    <row r="390" spans="1:12" x14ac:dyDescent="0.3">
      <c r="A390">
        <v>23</v>
      </c>
      <c r="D390" t="s">
        <v>933</v>
      </c>
      <c r="F390">
        <v>15</v>
      </c>
      <c r="G390">
        <v>0</v>
      </c>
      <c r="H390">
        <v>0</v>
      </c>
      <c r="I390">
        <v>0</v>
      </c>
      <c r="K390">
        <v>15</v>
      </c>
      <c r="L390">
        <v>19</v>
      </c>
    </row>
    <row r="391" spans="1:12" x14ac:dyDescent="0.3">
      <c r="A391">
        <v>24</v>
      </c>
      <c r="B391" t="s">
        <v>765</v>
      </c>
      <c r="D391" t="s">
        <v>169</v>
      </c>
      <c r="E391" s="46">
        <v>42255</v>
      </c>
      <c r="F391">
        <v>15</v>
      </c>
      <c r="G391">
        <v>0</v>
      </c>
      <c r="H391">
        <v>0</v>
      </c>
      <c r="I391">
        <v>0</v>
      </c>
      <c r="K391">
        <v>15</v>
      </c>
      <c r="L391">
        <v>19</v>
      </c>
    </row>
    <row r="392" spans="1:12" x14ac:dyDescent="0.3">
      <c r="A392">
        <v>25</v>
      </c>
      <c r="B392" t="s">
        <v>774</v>
      </c>
      <c r="D392" t="s">
        <v>175</v>
      </c>
      <c r="E392" s="46">
        <v>42612</v>
      </c>
      <c r="F392">
        <v>0</v>
      </c>
      <c r="G392">
        <v>0</v>
      </c>
      <c r="H392">
        <v>0</v>
      </c>
      <c r="I392">
        <v>15</v>
      </c>
      <c r="K392">
        <v>15</v>
      </c>
      <c r="L392">
        <v>19</v>
      </c>
    </row>
    <row r="393" spans="1:12" x14ac:dyDescent="0.3">
      <c r="A393">
        <v>26</v>
      </c>
      <c r="B393" t="s">
        <v>377</v>
      </c>
      <c r="D393" t="s">
        <v>1026</v>
      </c>
      <c r="E393" s="46">
        <v>42611</v>
      </c>
      <c r="F393">
        <v>0</v>
      </c>
      <c r="G393">
        <v>0</v>
      </c>
      <c r="H393">
        <v>0</v>
      </c>
      <c r="I393">
        <v>15</v>
      </c>
      <c r="K393">
        <v>15</v>
      </c>
      <c r="L393">
        <v>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09B00-E004-43E0-8998-8189A68F201B}">
  <sheetPr codeName="Sheet12"/>
  <dimension ref="B2:BX73"/>
  <sheetViews>
    <sheetView topLeftCell="A2" workbookViewId="0">
      <pane xSplit="16" topLeftCell="Q1" activePane="topRight" state="frozen"/>
      <selection pane="topRight" activeCell="B1" sqref="B1:D1048576"/>
    </sheetView>
  </sheetViews>
  <sheetFormatPr defaultRowHeight="14.4" x14ac:dyDescent="0.3"/>
  <cols>
    <col min="1" max="1" width="15.77734375" customWidth="1"/>
    <col min="2" max="2" width="5" bestFit="1" customWidth="1"/>
    <col min="3" max="3" width="23.109375" bestFit="1" customWidth="1"/>
    <col min="4" max="7" width="11.109375" bestFit="1" customWidth="1"/>
    <col min="8" max="8" width="5" bestFit="1" customWidth="1"/>
    <col min="9" max="9" width="19" bestFit="1" customWidth="1"/>
    <col min="10" max="13" width="11.109375" bestFit="1" customWidth="1"/>
    <col min="14" max="14" width="5" bestFit="1" customWidth="1"/>
    <col min="15" max="15" width="20.5546875" bestFit="1" customWidth="1"/>
    <col min="16" max="19" width="11.109375" bestFit="1" customWidth="1"/>
    <col min="20" max="20" width="5" bestFit="1" customWidth="1"/>
    <col min="21" max="21" width="20.5546875" bestFit="1" customWidth="1"/>
    <col min="22" max="25" width="11.109375" bestFit="1" customWidth="1"/>
    <col min="26" max="26" width="5" bestFit="1" customWidth="1"/>
    <col min="27" max="27" width="19.44140625" bestFit="1" customWidth="1"/>
    <col min="28" max="31" width="11.109375" bestFit="1" customWidth="1"/>
    <col min="32" max="32" width="5" bestFit="1" customWidth="1"/>
    <col min="33" max="33" width="19.44140625" bestFit="1" customWidth="1"/>
    <col min="34" max="37" width="11.109375" bestFit="1" customWidth="1"/>
    <col min="38" max="38" width="5" bestFit="1" customWidth="1"/>
    <col min="39" max="39" width="19.44140625" bestFit="1" customWidth="1"/>
    <col min="40" max="43" width="11.109375" bestFit="1" customWidth="1"/>
    <col min="44" max="44" width="5" bestFit="1" customWidth="1"/>
    <col min="45" max="45" width="19.77734375" bestFit="1" customWidth="1"/>
    <col min="46" max="49" width="11.109375" bestFit="1" customWidth="1"/>
    <col min="50" max="50" width="5" bestFit="1" customWidth="1"/>
    <col min="51" max="51" width="20.5546875" bestFit="1" customWidth="1"/>
    <col min="52" max="55" width="11.109375" bestFit="1" customWidth="1"/>
    <col min="56" max="56" width="5" bestFit="1" customWidth="1"/>
    <col min="57" max="57" width="24.21875" bestFit="1" customWidth="1"/>
    <col min="58" max="61" width="11.109375" bestFit="1" customWidth="1"/>
    <col min="62" max="62" width="5" bestFit="1" customWidth="1"/>
    <col min="63" max="63" width="20.5546875" bestFit="1" customWidth="1"/>
    <col min="64" max="67" width="11.109375" bestFit="1" customWidth="1"/>
    <col min="68" max="68" width="5" bestFit="1" customWidth="1"/>
    <col min="69" max="69" width="23" bestFit="1" customWidth="1"/>
    <col min="70" max="73" width="11.109375" bestFit="1" customWidth="1"/>
    <col min="74" max="74" width="5" bestFit="1" customWidth="1"/>
    <col min="75" max="75" width="20.5546875" bestFit="1" customWidth="1"/>
    <col min="76" max="91" width="11.109375" bestFit="1" customWidth="1"/>
  </cols>
  <sheetData>
    <row r="2" spans="2:76" x14ac:dyDescent="0.3">
      <c r="B2" s="191" t="s">
        <v>1043</v>
      </c>
      <c r="C2" s="191"/>
      <c r="D2" s="191"/>
      <c r="H2" s="191" t="s">
        <v>1044</v>
      </c>
      <c r="I2" s="191"/>
      <c r="J2" s="191"/>
      <c r="N2" s="191" t="s">
        <v>1045</v>
      </c>
      <c r="O2" s="191"/>
      <c r="P2" s="191"/>
      <c r="T2" s="191" t="s">
        <v>1046</v>
      </c>
      <c r="U2" s="191"/>
      <c r="V2" s="191"/>
      <c r="Z2" s="191" t="s">
        <v>1047</v>
      </c>
      <c r="AA2" s="191"/>
      <c r="AB2" s="191"/>
      <c r="AF2" s="191" t="s">
        <v>1048</v>
      </c>
      <c r="AG2" s="191"/>
      <c r="AH2" s="191"/>
      <c r="AL2" s="191" t="s">
        <v>305</v>
      </c>
      <c r="AM2" s="191"/>
      <c r="AN2" s="191"/>
      <c r="AR2" s="191" t="s">
        <v>1049</v>
      </c>
      <c r="AS2" s="191"/>
      <c r="AT2" s="191"/>
      <c r="AX2" s="191" t="s">
        <v>1050</v>
      </c>
      <c r="AY2" s="191"/>
      <c r="AZ2" s="191"/>
      <c r="BD2" s="191" t="s">
        <v>869</v>
      </c>
      <c r="BE2" s="191"/>
      <c r="BF2" s="191"/>
      <c r="BJ2" s="191" t="s">
        <v>1051</v>
      </c>
      <c r="BK2" s="191"/>
      <c r="BL2" s="191"/>
      <c r="BP2" s="191" t="s">
        <v>1052</v>
      </c>
      <c r="BQ2" s="191"/>
      <c r="BR2" s="191"/>
      <c r="BV2" s="191" t="s">
        <v>304</v>
      </c>
      <c r="BW2" s="191"/>
      <c r="BX2" s="191"/>
    </row>
    <row r="3" spans="2:76" x14ac:dyDescent="0.3">
      <c r="B3" s="2" t="s">
        <v>14</v>
      </c>
      <c r="C3" s="2" t="s">
        <v>307</v>
      </c>
      <c r="D3" s="2" t="s">
        <v>870</v>
      </c>
      <c r="H3" s="2" t="s">
        <v>14</v>
      </c>
      <c r="I3" s="2" t="s">
        <v>307</v>
      </c>
      <c r="J3" s="2" t="s">
        <v>870</v>
      </c>
      <c r="N3" s="2" t="s">
        <v>14</v>
      </c>
      <c r="O3" s="2" t="s">
        <v>307</v>
      </c>
      <c r="P3" s="2" t="s">
        <v>870</v>
      </c>
      <c r="T3" s="2" t="s">
        <v>14</v>
      </c>
      <c r="U3" s="2" t="s">
        <v>307</v>
      </c>
      <c r="V3" s="2" t="s">
        <v>870</v>
      </c>
      <c r="Z3" s="2" t="s">
        <v>14</v>
      </c>
      <c r="AA3" s="2" t="s">
        <v>307</v>
      </c>
      <c r="AB3" s="2" t="s">
        <v>870</v>
      </c>
      <c r="AF3" s="2" t="s">
        <v>14</v>
      </c>
      <c r="AG3" s="2" t="s">
        <v>307</v>
      </c>
      <c r="AH3" s="2" t="s">
        <v>870</v>
      </c>
      <c r="AL3" s="2" t="s">
        <v>14</v>
      </c>
      <c r="AM3" s="2" t="s">
        <v>307</v>
      </c>
      <c r="AN3" s="2" t="s">
        <v>870</v>
      </c>
      <c r="AR3" s="2" t="s">
        <v>14</v>
      </c>
      <c r="AS3" s="2" t="s">
        <v>307</v>
      </c>
      <c r="AT3" s="2" t="s">
        <v>870</v>
      </c>
      <c r="AX3" s="2" t="s">
        <v>14</v>
      </c>
      <c r="AY3" s="2" t="s">
        <v>307</v>
      </c>
      <c r="AZ3" s="2" t="s">
        <v>870</v>
      </c>
      <c r="BD3" s="2" t="s">
        <v>14</v>
      </c>
      <c r="BE3" s="2" t="s">
        <v>307</v>
      </c>
      <c r="BF3" s="2" t="s">
        <v>870</v>
      </c>
      <c r="BJ3" s="2" t="s">
        <v>14</v>
      </c>
      <c r="BK3" s="2" t="s">
        <v>307</v>
      </c>
      <c r="BL3" s="2" t="s">
        <v>870</v>
      </c>
      <c r="BP3" s="2" t="s">
        <v>14</v>
      </c>
      <c r="BQ3" s="2" t="s">
        <v>307</v>
      </c>
      <c r="BR3" s="2" t="s">
        <v>870</v>
      </c>
      <c r="BV3" s="2" t="s">
        <v>14</v>
      </c>
      <c r="BW3" s="2" t="s">
        <v>307</v>
      </c>
      <c r="BX3" s="2" t="s">
        <v>870</v>
      </c>
    </row>
    <row r="4" spans="2:76" x14ac:dyDescent="0.3">
      <c r="B4" s="2"/>
      <c r="C4" s="2" t="s">
        <v>1186</v>
      </c>
      <c r="D4" s="2" t="s">
        <v>680</v>
      </c>
      <c r="H4" s="2"/>
      <c r="I4" s="2" t="s">
        <v>1187</v>
      </c>
      <c r="J4" s="2" t="s">
        <v>1185</v>
      </c>
      <c r="N4" s="2"/>
      <c r="O4" s="2" t="s">
        <v>1188</v>
      </c>
      <c r="P4" s="2" t="s">
        <v>318</v>
      </c>
      <c r="T4" s="2"/>
      <c r="U4" s="2" t="s">
        <v>1189</v>
      </c>
      <c r="V4" s="2" t="s">
        <v>344</v>
      </c>
      <c r="Z4" s="2"/>
      <c r="AA4" s="2" t="s">
        <v>1190</v>
      </c>
      <c r="AB4" s="2" t="s">
        <v>674</v>
      </c>
      <c r="AF4" s="2"/>
      <c r="AG4" s="2" t="s">
        <v>1189</v>
      </c>
      <c r="AH4" s="2" t="s">
        <v>344</v>
      </c>
      <c r="AL4" s="2"/>
      <c r="AM4" s="2" t="s">
        <v>121</v>
      </c>
      <c r="AN4" s="2" t="s">
        <v>325</v>
      </c>
      <c r="AR4" s="2"/>
      <c r="AS4" s="2" t="s">
        <v>153</v>
      </c>
      <c r="AT4" s="2" t="s">
        <v>663</v>
      </c>
      <c r="AX4" s="2"/>
      <c r="AY4" s="2" t="s">
        <v>1191</v>
      </c>
      <c r="AZ4" s="2" t="s">
        <v>1003</v>
      </c>
      <c r="BD4" s="2"/>
      <c r="BE4" s="2" t="s">
        <v>1192</v>
      </c>
      <c r="BF4" s="2" t="s">
        <v>773</v>
      </c>
      <c r="BJ4" s="2"/>
      <c r="BK4" s="2" t="s">
        <v>1193</v>
      </c>
      <c r="BL4" s="2" t="s">
        <v>693</v>
      </c>
      <c r="BP4" s="2"/>
      <c r="BQ4" s="2" t="s">
        <v>1193</v>
      </c>
      <c r="BR4" s="2" t="s">
        <v>693</v>
      </c>
      <c r="BV4" s="2"/>
      <c r="BW4" s="2" t="s">
        <v>1193</v>
      </c>
      <c r="BX4" s="2" t="s">
        <v>693</v>
      </c>
    </row>
    <row r="5" spans="2:76" x14ac:dyDescent="0.3">
      <c r="B5" s="2"/>
      <c r="C5" s="2" t="s">
        <v>1194</v>
      </c>
      <c r="D5" s="2" t="s">
        <v>1195</v>
      </c>
      <c r="H5" s="2"/>
      <c r="I5" s="2" t="s">
        <v>1196</v>
      </c>
      <c r="J5" s="2" t="s">
        <v>1177</v>
      </c>
      <c r="N5" s="2"/>
      <c r="O5" s="2" t="s">
        <v>1197</v>
      </c>
      <c r="P5" s="2" t="s">
        <v>1198</v>
      </c>
      <c r="T5" s="2"/>
      <c r="U5" s="2" t="s">
        <v>1188</v>
      </c>
      <c r="V5" s="2" t="s">
        <v>318</v>
      </c>
      <c r="Z5" s="2"/>
      <c r="AA5" s="2" t="s">
        <v>1199</v>
      </c>
      <c r="AB5" s="2" t="s">
        <v>1173</v>
      </c>
      <c r="AF5" s="2"/>
      <c r="AG5" s="2" t="s">
        <v>121</v>
      </c>
      <c r="AH5" s="2" t="s">
        <v>325</v>
      </c>
      <c r="AL5" s="2"/>
      <c r="AM5" s="2" t="s">
        <v>1190</v>
      </c>
      <c r="AN5" s="2" t="s">
        <v>674</v>
      </c>
      <c r="AR5" s="2"/>
      <c r="AS5" s="2" t="s">
        <v>1200</v>
      </c>
      <c r="AT5" s="2" t="s">
        <v>380</v>
      </c>
      <c r="AX5" s="2"/>
      <c r="AY5" s="2" t="s">
        <v>1201</v>
      </c>
      <c r="AZ5" s="2" t="s">
        <v>681</v>
      </c>
      <c r="BD5" s="2"/>
      <c r="BE5" s="2" t="s">
        <v>1201</v>
      </c>
      <c r="BF5" s="2" t="s">
        <v>681</v>
      </c>
      <c r="BJ5" s="2"/>
      <c r="BK5" s="2" t="s">
        <v>1202</v>
      </c>
      <c r="BL5" s="2" t="s">
        <v>675</v>
      </c>
      <c r="BP5" s="2"/>
      <c r="BQ5" s="2" t="s">
        <v>127</v>
      </c>
      <c r="BR5" s="2" t="s">
        <v>327</v>
      </c>
      <c r="BV5" s="2"/>
      <c r="BW5" s="2" t="s">
        <v>127</v>
      </c>
      <c r="BX5" s="2" t="s">
        <v>327</v>
      </c>
    </row>
    <row r="6" spans="2:76" x14ac:dyDescent="0.3">
      <c r="B6" s="2"/>
      <c r="C6" s="2" t="s">
        <v>1203</v>
      </c>
      <c r="D6" s="2" t="s">
        <v>837</v>
      </c>
      <c r="H6" s="2"/>
      <c r="I6" s="2" t="s">
        <v>1197</v>
      </c>
      <c r="J6" s="2" t="s">
        <v>1198</v>
      </c>
      <c r="N6" s="2"/>
      <c r="O6" s="2" t="s">
        <v>1204</v>
      </c>
      <c r="P6" s="2" t="s">
        <v>406</v>
      </c>
      <c r="T6" s="2"/>
      <c r="U6" s="2" t="s">
        <v>1190</v>
      </c>
      <c r="V6" s="2" t="s">
        <v>674</v>
      </c>
      <c r="Z6" s="2"/>
      <c r="AA6" s="2" t="s">
        <v>390</v>
      </c>
      <c r="AB6" s="2" t="s">
        <v>391</v>
      </c>
      <c r="AF6" s="2"/>
      <c r="AG6" s="2" t="s">
        <v>1190</v>
      </c>
      <c r="AH6" s="2" t="s">
        <v>674</v>
      </c>
      <c r="AL6" s="2"/>
      <c r="AM6" s="2" t="s">
        <v>390</v>
      </c>
      <c r="AN6" s="2" t="s">
        <v>391</v>
      </c>
      <c r="AR6" s="2"/>
      <c r="AS6" s="2" t="s">
        <v>1205</v>
      </c>
      <c r="AT6" s="2" t="s">
        <v>680</v>
      </c>
      <c r="AX6" s="2"/>
      <c r="AY6" s="2" t="s">
        <v>1200</v>
      </c>
      <c r="AZ6" s="2" t="s">
        <v>380</v>
      </c>
      <c r="BD6" s="2"/>
      <c r="BE6" s="2" t="s">
        <v>1206</v>
      </c>
      <c r="BF6" s="2" t="s">
        <v>1179</v>
      </c>
      <c r="BJ6" s="2"/>
      <c r="BK6" s="2" t="s">
        <v>1207</v>
      </c>
      <c r="BL6" s="2" t="s">
        <v>342</v>
      </c>
      <c r="BP6" s="2"/>
      <c r="BQ6" s="2" t="s">
        <v>1208</v>
      </c>
      <c r="BR6" s="2" t="s">
        <v>1183</v>
      </c>
      <c r="BV6" s="2"/>
      <c r="BW6" s="2" t="s">
        <v>1207</v>
      </c>
      <c r="BX6" s="2" t="s">
        <v>342</v>
      </c>
    </row>
    <row r="7" spans="2:76" x14ac:dyDescent="0.3">
      <c r="B7" s="2"/>
      <c r="C7" s="2" t="s">
        <v>1209</v>
      </c>
      <c r="D7" s="2" t="s">
        <v>1097</v>
      </c>
      <c r="H7" s="2"/>
      <c r="I7" s="2" t="s">
        <v>1210</v>
      </c>
      <c r="J7" s="2" t="s">
        <v>612</v>
      </c>
      <c r="N7" s="2"/>
      <c r="O7" s="2" t="s">
        <v>547</v>
      </c>
      <c r="P7" s="2" t="s">
        <v>548</v>
      </c>
      <c r="T7" s="2"/>
      <c r="U7" s="2" t="s">
        <v>1098</v>
      </c>
      <c r="V7" s="2" t="s">
        <v>1099</v>
      </c>
      <c r="Z7" s="2"/>
      <c r="AA7" s="2" t="s">
        <v>1284</v>
      </c>
      <c r="AB7" s="2" t="s">
        <v>650</v>
      </c>
      <c r="AF7" s="2"/>
      <c r="AG7" s="2" t="s">
        <v>390</v>
      </c>
      <c r="AH7" s="2" t="s">
        <v>391</v>
      </c>
      <c r="AL7" s="2"/>
      <c r="AM7" s="2" t="s">
        <v>88</v>
      </c>
      <c r="AN7" s="2" t="s">
        <v>369</v>
      </c>
      <c r="AR7" s="2"/>
      <c r="AS7" s="2" t="s">
        <v>1211</v>
      </c>
      <c r="AT7" s="2" t="s">
        <v>552</v>
      </c>
      <c r="AX7" s="2"/>
      <c r="AY7" s="2" t="s">
        <v>1205</v>
      </c>
      <c r="AZ7" s="2" t="s">
        <v>680</v>
      </c>
      <c r="BD7" s="2"/>
      <c r="BE7" s="2" t="s">
        <v>1212</v>
      </c>
      <c r="BF7" s="2" t="s">
        <v>1181</v>
      </c>
      <c r="BJ7" s="2"/>
      <c r="BK7" s="2" t="s">
        <v>1200</v>
      </c>
      <c r="BL7" s="2" t="s">
        <v>380</v>
      </c>
      <c r="BP7" s="2"/>
      <c r="BQ7" s="2" t="s">
        <v>1202</v>
      </c>
      <c r="BR7" s="2" t="s">
        <v>675</v>
      </c>
      <c r="BV7" s="2"/>
      <c r="BW7" s="2" t="s">
        <v>1213</v>
      </c>
      <c r="BX7" s="2" t="s">
        <v>457</v>
      </c>
    </row>
    <row r="8" spans="2:76" x14ac:dyDescent="0.3">
      <c r="B8" s="2"/>
      <c r="C8" s="2" t="s">
        <v>578</v>
      </c>
      <c r="D8" s="2" t="s">
        <v>579</v>
      </c>
      <c r="H8" s="2"/>
      <c r="I8" s="2" t="s">
        <v>1214</v>
      </c>
      <c r="J8" s="2" t="s">
        <v>557</v>
      </c>
      <c r="N8" s="2"/>
      <c r="O8" s="2" t="s">
        <v>45</v>
      </c>
      <c r="P8" s="2" t="s">
        <v>397</v>
      </c>
      <c r="T8" s="2"/>
      <c r="U8" s="2" t="s">
        <v>67</v>
      </c>
      <c r="V8" s="2" t="s">
        <v>365</v>
      </c>
      <c r="Z8" s="2"/>
      <c r="AA8" s="2" t="s">
        <v>67</v>
      </c>
      <c r="AB8" s="2" t="s">
        <v>365</v>
      </c>
      <c r="AF8" s="2"/>
      <c r="AG8" s="2" t="s">
        <v>88</v>
      </c>
      <c r="AH8" s="2" t="s">
        <v>369</v>
      </c>
      <c r="AL8" s="2"/>
      <c r="AM8" s="2" t="s">
        <v>1215</v>
      </c>
      <c r="AN8" s="2" t="s">
        <v>569</v>
      </c>
      <c r="AR8" s="2"/>
      <c r="AS8" s="2" t="s">
        <v>1186</v>
      </c>
      <c r="AT8" s="2" t="s">
        <v>680</v>
      </c>
      <c r="AX8" s="2"/>
      <c r="AY8" s="2" t="s">
        <v>1216</v>
      </c>
      <c r="AZ8" s="2" t="s">
        <v>1169</v>
      </c>
      <c r="BD8" s="2"/>
      <c r="BE8" s="2" t="s">
        <v>1207</v>
      </c>
      <c r="BF8" s="2" t="s">
        <v>342</v>
      </c>
      <c r="BJ8" s="2"/>
      <c r="BK8" s="2" t="s">
        <v>347</v>
      </c>
      <c r="BL8" s="2" t="s">
        <v>348</v>
      </c>
      <c r="BP8" s="2"/>
      <c r="BQ8" s="2" t="s">
        <v>1207</v>
      </c>
      <c r="BR8" s="2" t="s">
        <v>342</v>
      </c>
      <c r="BV8" s="2"/>
      <c r="BW8" s="2" t="s">
        <v>347</v>
      </c>
      <c r="BX8" s="2" t="s">
        <v>348</v>
      </c>
    </row>
    <row r="9" spans="2:76" x14ac:dyDescent="0.3">
      <c r="B9" s="2"/>
      <c r="C9" s="2" t="s">
        <v>1217</v>
      </c>
      <c r="D9" s="2" t="s">
        <v>1156</v>
      </c>
      <c r="H9" s="2"/>
      <c r="I9" s="2" t="s">
        <v>1218</v>
      </c>
      <c r="J9" s="2" t="s">
        <v>1219</v>
      </c>
      <c r="N9" s="2"/>
      <c r="O9" s="2" t="s">
        <v>1220</v>
      </c>
      <c r="P9" s="2" t="s">
        <v>517</v>
      </c>
      <c r="T9" s="2"/>
      <c r="U9" s="2" t="s">
        <v>1221</v>
      </c>
      <c r="V9" s="2" t="s">
        <v>707</v>
      </c>
      <c r="Z9" s="2"/>
      <c r="AA9" s="2" t="s">
        <v>1222</v>
      </c>
      <c r="AB9" s="2" t="s">
        <v>1160</v>
      </c>
      <c r="AF9" s="2"/>
      <c r="AG9" s="2" t="s">
        <v>1284</v>
      </c>
      <c r="AH9" s="2" t="s">
        <v>650</v>
      </c>
      <c r="AL9" s="2"/>
      <c r="AM9" s="2" t="s">
        <v>937</v>
      </c>
      <c r="AN9" s="2" t="s">
        <v>566</v>
      </c>
      <c r="AR9" s="2"/>
      <c r="AS9" s="2" t="s">
        <v>1194</v>
      </c>
      <c r="AT9" s="2" t="s">
        <v>1195</v>
      </c>
      <c r="AX9" s="2"/>
      <c r="AY9" s="2" t="s">
        <v>1223</v>
      </c>
      <c r="AZ9" s="2" t="s">
        <v>545</v>
      </c>
      <c r="BD9" s="2"/>
      <c r="BE9" s="2" t="s">
        <v>1200</v>
      </c>
      <c r="BF9" s="2" t="s">
        <v>380</v>
      </c>
      <c r="BJ9" s="2"/>
      <c r="BK9" s="2" t="s">
        <v>1224</v>
      </c>
      <c r="BL9" s="2" t="s">
        <v>1175</v>
      </c>
      <c r="BP9" s="2"/>
      <c r="BQ9" s="2" t="s">
        <v>347</v>
      </c>
      <c r="BR9" s="2" t="s">
        <v>348</v>
      </c>
      <c r="BV9" s="2"/>
      <c r="BW9" s="2" t="s">
        <v>526</v>
      </c>
      <c r="BX9" s="2" t="s">
        <v>527</v>
      </c>
    </row>
    <row r="10" spans="2:76" x14ac:dyDescent="0.3">
      <c r="B10" s="2"/>
      <c r="C10" s="2" t="s">
        <v>110</v>
      </c>
      <c r="D10" s="2" t="s">
        <v>727</v>
      </c>
      <c r="H10" s="2"/>
      <c r="I10" s="2" t="s">
        <v>1225</v>
      </c>
      <c r="J10" s="2" t="s">
        <v>787</v>
      </c>
      <c r="N10" s="2"/>
      <c r="O10" s="2" t="s">
        <v>1210</v>
      </c>
      <c r="P10" s="2" t="s">
        <v>612</v>
      </c>
      <c r="T10" s="2"/>
      <c r="U10" s="2" t="s">
        <v>1204</v>
      </c>
      <c r="V10" s="2" t="s">
        <v>406</v>
      </c>
      <c r="Z10" s="2"/>
      <c r="AA10" s="2" t="s">
        <v>1221</v>
      </c>
      <c r="AB10" s="2" t="s">
        <v>707</v>
      </c>
      <c r="AF10" s="2"/>
      <c r="AG10" s="2" t="s">
        <v>67</v>
      </c>
      <c r="AH10" s="2" t="s">
        <v>365</v>
      </c>
      <c r="AL10" s="2"/>
      <c r="AM10" s="2" t="s">
        <v>67</v>
      </c>
      <c r="AN10" s="2" t="s">
        <v>365</v>
      </c>
      <c r="AR10" s="2"/>
      <c r="AS10" s="2" t="s">
        <v>1203</v>
      </c>
      <c r="AT10" s="2" t="s">
        <v>837</v>
      </c>
      <c r="AX10" s="2"/>
      <c r="AY10" s="2" t="s">
        <v>1226</v>
      </c>
      <c r="AZ10" s="2" t="s">
        <v>664</v>
      </c>
      <c r="BD10" s="2"/>
      <c r="BE10" s="2" t="s">
        <v>526</v>
      </c>
      <c r="BF10" s="2" t="s">
        <v>527</v>
      </c>
      <c r="BJ10" s="2"/>
      <c r="BK10" s="2" t="s">
        <v>526</v>
      </c>
      <c r="BL10" s="2" t="s">
        <v>527</v>
      </c>
      <c r="BP10" s="2"/>
      <c r="BQ10" s="2" t="s">
        <v>1224</v>
      </c>
      <c r="BR10" s="2" t="s">
        <v>1175</v>
      </c>
      <c r="BV10" s="2"/>
      <c r="BW10" s="2" t="s">
        <v>1227</v>
      </c>
      <c r="BX10" s="2" t="s">
        <v>1088</v>
      </c>
    </row>
    <row r="11" spans="2:76" x14ac:dyDescent="0.3">
      <c r="B11" s="2"/>
      <c r="C11" s="2" t="s">
        <v>1228</v>
      </c>
      <c r="D11" s="2" t="s">
        <v>1031</v>
      </c>
      <c r="H11" s="2"/>
      <c r="I11" s="2" t="s">
        <v>1229</v>
      </c>
      <c r="J11" s="2" t="s">
        <v>1230</v>
      </c>
      <c r="N11" s="2"/>
      <c r="O11" s="2" t="s">
        <v>1285</v>
      </c>
      <c r="P11" s="2" t="s">
        <v>778</v>
      </c>
      <c r="T11" s="2"/>
      <c r="U11" s="2" t="s">
        <v>45</v>
      </c>
      <c r="V11" s="2" t="s">
        <v>397</v>
      </c>
      <c r="Z11" s="2"/>
      <c r="AA11" s="2" t="s">
        <v>1231</v>
      </c>
      <c r="AB11" s="2" t="s">
        <v>339</v>
      </c>
      <c r="AF11" s="2"/>
      <c r="AG11" s="2" t="s">
        <v>1222</v>
      </c>
      <c r="AH11" s="2" t="s">
        <v>1160</v>
      </c>
      <c r="AL11" s="2"/>
      <c r="AM11" s="2" t="s">
        <v>1222</v>
      </c>
      <c r="AN11" s="2" t="s">
        <v>1160</v>
      </c>
      <c r="AR11" s="2"/>
      <c r="AS11" s="2" t="s">
        <v>1232</v>
      </c>
      <c r="AT11" s="2" t="s">
        <v>1233</v>
      </c>
      <c r="AX11" s="2"/>
      <c r="AY11" s="2" t="s">
        <v>1234</v>
      </c>
      <c r="AZ11" s="2" t="s">
        <v>320</v>
      </c>
      <c r="BD11" s="2"/>
      <c r="BE11" s="2" t="s">
        <v>1235</v>
      </c>
      <c r="BF11" s="2" t="s">
        <v>694</v>
      </c>
      <c r="BJ11" s="2"/>
      <c r="BK11" s="2" t="s">
        <v>691</v>
      </c>
      <c r="BL11" s="2" t="s">
        <v>692</v>
      </c>
      <c r="BP11" s="2"/>
      <c r="BQ11" s="2" t="s">
        <v>526</v>
      </c>
      <c r="BR11" s="2" t="s">
        <v>527</v>
      </c>
      <c r="BV11" s="2"/>
      <c r="BW11" s="2" t="s">
        <v>691</v>
      </c>
      <c r="BX11" s="2" t="s">
        <v>692</v>
      </c>
    </row>
    <row r="12" spans="2:76" x14ac:dyDescent="0.3">
      <c r="B12" s="2"/>
      <c r="C12" s="2" t="s">
        <v>1236</v>
      </c>
      <c r="D12" s="2" t="s">
        <v>730</v>
      </c>
      <c r="H12" s="2"/>
      <c r="I12" s="2" t="s">
        <v>1237</v>
      </c>
      <c r="J12" s="2" t="s">
        <v>556</v>
      </c>
      <c r="N12" s="2"/>
      <c r="O12" s="2" t="s">
        <v>1225</v>
      </c>
      <c r="P12" s="2" t="s">
        <v>787</v>
      </c>
      <c r="T12" s="2"/>
      <c r="U12" s="2" t="s">
        <v>1231</v>
      </c>
      <c r="V12" s="2" t="s">
        <v>339</v>
      </c>
      <c r="Z12" s="2"/>
      <c r="AA12" s="2" t="s">
        <v>1286</v>
      </c>
      <c r="AB12" s="2" t="s">
        <v>357</v>
      </c>
      <c r="AF12" s="2"/>
      <c r="AG12" s="2" t="s">
        <v>1221</v>
      </c>
      <c r="AH12" s="2" t="s">
        <v>707</v>
      </c>
      <c r="AL12" s="2"/>
      <c r="AM12" s="2" t="s">
        <v>1286</v>
      </c>
      <c r="AN12" s="2" t="s">
        <v>357</v>
      </c>
      <c r="AR12" s="2"/>
      <c r="AS12" s="2" t="s">
        <v>578</v>
      </c>
      <c r="AT12" s="2" t="s">
        <v>579</v>
      </c>
      <c r="AX12" s="2"/>
      <c r="AY12" s="2" t="s">
        <v>224</v>
      </c>
      <c r="AZ12" s="2" t="s">
        <v>331</v>
      </c>
      <c r="BD12" s="2"/>
      <c r="BE12" s="2" t="s">
        <v>560</v>
      </c>
      <c r="BF12" s="2" t="s">
        <v>561</v>
      </c>
      <c r="BJ12" s="2"/>
      <c r="BK12" s="2" t="s">
        <v>172</v>
      </c>
      <c r="BL12" s="2" t="s">
        <v>567</v>
      </c>
      <c r="BP12" s="2"/>
      <c r="BQ12" s="2" t="s">
        <v>691</v>
      </c>
      <c r="BR12" s="2" t="s">
        <v>692</v>
      </c>
      <c r="BV12" s="2"/>
      <c r="BW12" s="2" t="s">
        <v>1238</v>
      </c>
      <c r="BX12" s="2" t="s">
        <v>1040</v>
      </c>
    </row>
    <row r="13" spans="2:76" x14ac:dyDescent="0.3">
      <c r="B13" s="2"/>
      <c r="C13" s="2" t="s">
        <v>1287</v>
      </c>
      <c r="D13" s="2" t="s">
        <v>619</v>
      </c>
      <c r="H13" s="2"/>
      <c r="I13" s="2" t="s">
        <v>110</v>
      </c>
      <c r="J13" s="2" t="s">
        <v>727</v>
      </c>
      <c r="N13" s="2"/>
      <c r="O13" s="2" t="s">
        <v>1214</v>
      </c>
      <c r="P13" s="2" t="s">
        <v>557</v>
      </c>
      <c r="T13" s="2"/>
      <c r="U13" s="2" t="s">
        <v>1210</v>
      </c>
      <c r="V13" s="2" t="s">
        <v>612</v>
      </c>
      <c r="Z13" s="2"/>
      <c r="AA13" s="2" t="s">
        <v>1239</v>
      </c>
      <c r="AB13" s="2" t="s">
        <v>1240</v>
      </c>
      <c r="AF13" s="2"/>
      <c r="AG13" s="2" t="s">
        <v>1231</v>
      </c>
      <c r="AH13" s="2" t="s">
        <v>339</v>
      </c>
      <c r="AL13" s="2"/>
      <c r="AM13" s="2" t="s">
        <v>1288</v>
      </c>
      <c r="AN13" s="2" t="s">
        <v>538</v>
      </c>
      <c r="AR13" s="2"/>
      <c r="AS13" s="2" t="s">
        <v>1089</v>
      </c>
      <c r="AT13" s="2" t="s">
        <v>1090</v>
      </c>
      <c r="AX13" s="2"/>
      <c r="AY13" s="2" t="s">
        <v>120</v>
      </c>
      <c r="AZ13" s="2" t="s">
        <v>584</v>
      </c>
      <c r="BD13" s="2"/>
      <c r="BE13" s="2" t="s">
        <v>198</v>
      </c>
      <c r="BF13" s="2" t="s">
        <v>387</v>
      </c>
      <c r="BJ13" s="2"/>
      <c r="BK13" s="2" t="s">
        <v>1241</v>
      </c>
      <c r="BL13" s="2" t="s">
        <v>676</v>
      </c>
      <c r="BP13" s="2"/>
      <c r="BQ13" s="2" t="s">
        <v>172</v>
      </c>
      <c r="BR13" s="2" t="s">
        <v>567</v>
      </c>
      <c r="BV13" s="2"/>
      <c r="BW13" s="2" t="s">
        <v>172</v>
      </c>
      <c r="BX13" s="2" t="s">
        <v>567</v>
      </c>
    </row>
    <row r="14" spans="2:76" x14ac:dyDescent="0.3">
      <c r="B14" s="2"/>
      <c r="C14" s="2" t="s">
        <v>376</v>
      </c>
      <c r="D14" s="2" t="s">
        <v>377</v>
      </c>
      <c r="H14" s="2"/>
      <c r="I14" s="2" t="s">
        <v>159</v>
      </c>
      <c r="J14" s="2" t="s">
        <v>728</v>
      </c>
      <c r="N14" s="2"/>
      <c r="O14" s="2" t="s">
        <v>1218</v>
      </c>
      <c r="P14" s="2" t="s">
        <v>1219</v>
      </c>
      <c r="T14" s="2"/>
      <c r="U14" s="2" t="s">
        <v>1242</v>
      </c>
      <c r="V14" s="2" t="s">
        <v>1154</v>
      </c>
      <c r="Z14" s="2"/>
      <c r="AA14" s="2" t="s">
        <v>1288</v>
      </c>
      <c r="AB14" s="2" t="s">
        <v>538</v>
      </c>
      <c r="AF14" s="2"/>
      <c r="AG14" s="2" t="s">
        <v>1286</v>
      </c>
      <c r="AH14" s="2" t="s">
        <v>357</v>
      </c>
      <c r="AL14" s="2"/>
      <c r="AM14" s="2" t="s">
        <v>1159</v>
      </c>
      <c r="AN14" s="2" t="s">
        <v>665</v>
      </c>
      <c r="AR14" s="2"/>
      <c r="AS14" s="2" t="s">
        <v>1243</v>
      </c>
      <c r="AT14" s="2" t="s">
        <v>844</v>
      </c>
      <c r="AX14" s="2"/>
      <c r="AY14" s="2" t="s">
        <v>1232</v>
      </c>
      <c r="AZ14" s="2" t="s">
        <v>1233</v>
      </c>
      <c r="BD14" s="2"/>
      <c r="BE14" s="2" t="s">
        <v>1244</v>
      </c>
      <c r="BF14" s="2" t="s">
        <v>948</v>
      </c>
      <c r="BJ14" s="2"/>
      <c r="BK14" s="2" t="s">
        <v>560</v>
      </c>
      <c r="BL14" s="2" t="s">
        <v>561</v>
      </c>
      <c r="BP14" s="2"/>
      <c r="BQ14" s="2" t="s">
        <v>1241</v>
      </c>
      <c r="BR14" s="2" t="s">
        <v>676</v>
      </c>
      <c r="BV14" s="2"/>
      <c r="BW14" s="2" t="s">
        <v>1245</v>
      </c>
      <c r="BX14" s="2" t="s">
        <v>320</v>
      </c>
    </row>
    <row r="15" spans="2:76" x14ac:dyDescent="0.3">
      <c r="B15" s="2"/>
      <c r="C15" s="2" t="s">
        <v>1120</v>
      </c>
      <c r="D15" s="2" t="s">
        <v>386</v>
      </c>
      <c r="H15" s="2"/>
      <c r="I15" s="2" t="s">
        <v>1236</v>
      </c>
      <c r="J15" s="2" t="s">
        <v>730</v>
      </c>
      <c r="N15" s="2"/>
      <c r="O15" s="2" t="s">
        <v>1246</v>
      </c>
      <c r="P15" s="2" t="s">
        <v>400</v>
      </c>
      <c r="T15" s="2"/>
      <c r="U15" s="2" t="s">
        <v>1246</v>
      </c>
      <c r="V15" s="2" t="s">
        <v>400</v>
      </c>
      <c r="Z15" s="2"/>
      <c r="AA15" s="2" t="s">
        <v>1159</v>
      </c>
      <c r="AB15" s="2" t="s">
        <v>665</v>
      </c>
      <c r="AF15" s="2"/>
      <c r="AG15" s="2" t="s">
        <v>1288</v>
      </c>
      <c r="AH15" s="2" t="s">
        <v>538</v>
      </c>
      <c r="AL15" s="2"/>
      <c r="AM15" s="2" t="s">
        <v>1289</v>
      </c>
      <c r="AN15" s="2" t="s">
        <v>350</v>
      </c>
      <c r="AR15" s="2"/>
      <c r="AS15" s="2" t="s">
        <v>1247</v>
      </c>
      <c r="AT15" s="2" t="s">
        <v>427</v>
      </c>
      <c r="AX15" s="2"/>
      <c r="AY15" s="2" t="s">
        <v>1150</v>
      </c>
      <c r="AZ15" s="2" t="s">
        <v>1151</v>
      </c>
      <c r="BD15" s="2"/>
      <c r="BE15" s="2" t="s">
        <v>1248</v>
      </c>
      <c r="BF15" s="2" t="s">
        <v>1103</v>
      </c>
      <c r="BJ15" s="2"/>
      <c r="BK15" s="2" t="s">
        <v>198</v>
      </c>
      <c r="BL15" s="2" t="s">
        <v>387</v>
      </c>
      <c r="BP15" s="2"/>
      <c r="BQ15" s="2" t="s">
        <v>560</v>
      </c>
      <c r="BR15" s="2" t="s">
        <v>561</v>
      </c>
      <c r="BV15" s="2"/>
      <c r="BW15" s="2" t="s">
        <v>1249</v>
      </c>
      <c r="BX15" s="2" t="s">
        <v>371</v>
      </c>
    </row>
    <row r="16" spans="2:76" x14ac:dyDescent="0.3">
      <c r="B16" s="2"/>
      <c r="C16" s="2" t="s">
        <v>1110</v>
      </c>
      <c r="D16" s="2" t="s">
        <v>753</v>
      </c>
      <c r="H16" s="2"/>
      <c r="I16" s="2" t="s">
        <v>802</v>
      </c>
      <c r="J16" s="2" t="s">
        <v>803</v>
      </c>
      <c r="N16" s="2"/>
      <c r="O16" s="2" t="s">
        <v>1239</v>
      </c>
      <c r="P16" s="2" t="s">
        <v>1240</v>
      </c>
      <c r="T16" s="2"/>
      <c r="U16" s="2" t="s">
        <v>1239</v>
      </c>
      <c r="V16" s="2" t="s">
        <v>1240</v>
      </c>
      <c r="Z16" s="2"/>
      <c r="AA16" s="2" t="s">
        <v>1250</v>
      </c>
      <c r="AB16" s="2" t="s">
        <v>1251</v>
      </c>
      <c r="AF16" s="2"/>
      <c r="AG16" s="2" t="s">
        <v>1159</v>
      </c>
      <c r="AH16" s="2" t="s">
        <v>665</v>
      </c>
      <c r="AL16" s="2"/>
      <c r="AM16" s="2" t="s">
        <v>87</v>
      </c>
      <c r="AN16" s="2" t="s">
        <v>446</v>
      </c>
      <c r="AR16" s="2"/>
      <c r="AS16" s="2" t="s">
        <v>1252</v>
      </c>
      <c r="AT16" s="2" t="s">
        <v>562</v>
      </c>
      <c r="AX16" s="2"/>
      <c r="AY16" s="2" t="s">
        <v>454</v>
      </c>
      <c r="AZ16" s="2" t="s">
        <v>455</v>
      </c>
      <c r="BD16" s="2"/>
      <c r="BE16" s="2" t="s">
        <v>1253</v>
      </c>
      <c r="BF16" s="2" t="s">
        <v>559</v>
      </c>
      <c r="BJ16" s="2"/>
      <c r="BK16" s="2" t="s">
        <v>1254</v>
      </c>
      <c r="BL16" s="2" t="s">
        <v>1171</v>
      </c>
      <c r="BP16" s="2"/>
      <c r="BQ16" s="2" t="s">
        <v>1255</v>
      </c>
      <c r="BR16" s="2" t="s">
        <v>865</v>
      </c>
      <c r="BV16" s="2"/>
      <c r="BW16" s="2" t="s">
        <v>1256</v>
      </c>
      <c r="BX16" s="2" t="s">
        <v>433</v>
      </c>
    </row>
    <row r="17" spans="2:76" x14ac:dyDescent="0.3">
      <c r="B17" s="2"/>
      <c r="C17" s="2" t="s">
        <v>1257</v>
      </c>
      <c r="D17" s="2" t="s">
        <v>850</v>
      </c>
      <c r="H17" s="2"/>
      <c r="I17" s="2" t="s">
        <v>1121</v>
      </c>
      <c r="J17" s="2" t="s">
        <v>687</v>
      </c>
      <c r="N17" s="2"/>
      <c r="O17" s="2" t="s">
        <v>1290</v>
      </c>
      <c r="P17" s="2" t="s">
        <v>343</v>
      </c>
      <c r="T17" s="2"/>
      <c r="U17" s="2" t="s">
        <v>1290</v>
      </c>
      <c r="V17" s="2" t="s">
        <v>343</v>
      </c>
      <c r="Z17" s="2"/>
      <c r="AA17" s="2" t="s">
        <v>50</v>
      </c>
      <c r="AB17" s="2" t="s">
        <v>729</v>
      </c>
      <c r="AF17" s="2"/>
      <c r="AG17" s="2" t="s">
        <v>1289</v>
      </c>
      <c r="AH17" s="2" t="s">
        <v>350</v>
      </c>
      <c r="AL17" s="2"/>
      <c r="AM17" s="2" t="s">
        <v>1158</v>
      </c>
      <c r="AN17" s="2" t="s">
        <v>407</v>
      </c>
      <c r="AR17" s="2"/>
      <c r="AS17" s="2" t="s">
        <v>1258</v>
      </c>
      <c r="AT17" s="2" t="s">
        <v>1078</v>
      </c>
      <c r="AX17" s="2"/>
      <c r="AY17" s="2" t="s">
        <v>209</v>
      </c>
      <c r="AZ17" s="2" t="s">
        <v>590</v>
      </c>
      <c r="BD17" s="2"/>
      <c r="BE17" s="2" t="s">
        <v>1226</v>
      </c>
      <c r="BF17" s="2" t="s">
        <v>664</v>
      </c>
      <c r="BJ17" s="2"/>
      <c r="BK17" s="2" t="s">
        <v>1255</v>
      </c>
      <c r="BL17" s="2" t="s">
        <v>865</v>
      </c>
      <c r="BP17" s="2"/>
      <c r="BQ17" s="2" t="s">
        <v>1259</v>
      </c>
      <c r="BR17" s="2" t="s">
        <v>1101</v>
      </c>
      <c r="BV17" s="2"/>
      <c r="BW17" s="2" t="s">
        <v>1260</v>
      </c>
      <c r="BX17" s="2" t="s">
        <v>448</v>
      </c>
    </row>
    <row r="18" spans="2:76" x14ac:dyDescent="0.3">
      <c r="B18" s="2"/>
      <c r="C18" s="2" t="s">
        <v>139</v>
      </c>
      <c r="D18" s="2" t="s">
        <v>927</v>
      </c>
      <c r="H18" s="2"/>
      <c r="I18" s="2" t="s">
        <v>414</v>
      </c>
      <c r="J18" s="2" t="s">
        <v>415</v>
      </c>
      <c r="N18" s="2"/>
      <c r="O18" s="2" t="s">
        <v>1229</v>
      </c>
      <c r="P18" s="2" t="s">
        <v>1230</v>
      </c>
      <c r="T18" s="2"/>
      <c r="U18" s="2" t="s">
        <v>1250</v>
      </c>
      <c r="V18" s="2" t="s">
        <v>1251</v>
      </c>
      <c r="Z18" s="2"/>
      <c r="AA18" s="2" t="s">
        <v>46</v>
      </c>
      <c r="AB18" s="2" t="s">
        <v>648</v>
      </c>
      <c r="AF18" s="2"/>
      <c r="AG18" s="2" t="s">
        <v>1158</v>
      </c>
      <c r="AH18" s="2" t="s">
        <v>407</v>
      </c>
      <c r="AL18" s="2"/>
      <c r="AM18" s="2" t="s">
        <v>1157</v>
      </c>
      <c r="AN18" s="2" t="s">
        <v>401</v>
      </c>
      <c r="AR18" s="2"/>
      <c r="AS18" s="2" t="s">
        <v>1261</v>
      </c>
      <c r="AT18" s="2" t="s">
        <v>689</v>
      </c>
      <c r="AX18" s="2"/>
      <c r="AY18" s="2" t="s">
        <v>436</v>
      </c>
      <c r="AZ18" s="2" t="s">
        <v>437</v>
      </c>
      <c r="BD18" s="2"/>
      <c r="BE18" s="2" t="s">
        <v>1234</v>
      </c>
      <c r="BF18" s="2" t="s">
        <v>320</v>
      </c>
      <c r="BJ18" s="2"/>
      <c r="BK18" s="2" t="s">
        <v>1226</v>
      </c>
      <c r="BL18" s="2" t="s">
        <v>664</v>
      </c>
      <c r="BP18" s="2"/>
      <c r="BQ18" s="2" t="s">
        <v>1245</v>
      </c>
      <c r="BR18" s="2" t="s">
        <v>320</v>
      </c>
      <c r="BV18" s="2"/>
      <c r="BW18" s="2" t="s">
        <v>1262</v>
      </c>
      <c r="BX18" s="2" t="s">
        <v>361</v>
      </c>
    </row>
    <row r="19" spans="2:76" x14ac:dyDescent="0.3">
      <c r="B19" s="2"/>
      <c r="C19" s="2" t="s">
        <v>746</v>
      </c>
      <c r="D19" s="2" t="s">
        <v>747</v>
      </c>
      <c r="H19" s="2"/>
      <c r="I19" s="2" t="s">
        <v>139</v>
      </c>
      <c r="J19" s="2" t="s">
        <v>927</v>
      </c>
      <c r="N19" s="2"/>
      <c r="O19" s="2" t="s">
        <v>159</v>
      </c>
      <c r="P19" s="2" t="s">
        <v>728</v>
      </c>
      <c r="T19" s="2"/>
      <c r="U19" s="2" t="s">
        <v>50</v>
      </c>
      <c r="V19" s="2" t="s">
        <v>729</v>
      </c>
      <c r="Z19" s="2"/>
      <c r="AA19" s="2" t="s">
        <v>1164</v>
      </c>
      <c r="AB19" s="2" t="s">
        <v>826</v>
      </c>
      <c r="AF19" s="2"/>
      <c r="AG19" s="2" t="s">
        <v>1157</v>
      </c>
      <c r="AH19" s="2" t="s">
        <v>401</v>
      </c>
      <c r="AL19" s="2"/>
      <c r="AM19" s="2" t="s">
        <v>482</v>
      </c>
      <c r="AN19" s="2" t="s">
        <v>483</v>
      </c>
      <c r="AR19" s="2"/>
      <c r="AS19" s="2" t="s">
        <v>1165</v>
      </c>
      <c r="AT19" s="2" t="s">
        <v>631</v>
      </c>
      <c r="AX19" s="2"/>
      <c r="AY19" s="2" t="s">
        <v>1263</v>
      </c>
      <c r="AZ19" s="2" t="s">
        <v>809</v>
      </c>
      <c r="BD19" s="2"/>
      <c r="BE19" s="2" t="s">
        <v>224</v>
      </c>
      <c r="BF19" s="2" t="s">
        <v>331</v>
      </c>
      <c r="BJ19" s="2"/>
      <c r="BK19" s="2" t="s">
        <v>1234</v>
      </c>
      <c r="BL19" s="2" t="s">
        <v>320</v>
      </c>
      <c r="BP19" s="2"/>
      <c r="BQ19" s="2" t="s">
        <v>1249</v>
      </c>
      <c r="BR19" s="2" t="s">
        <v>371</v>
      </c>
      <c r="BV19" s="2"/>
      <c r="BW19" s="2" t="s">
        <v>91</v>
      </c>
      <c r="BX19" s="2" t="s">
        <v>672</v>
      </c>
    </row>
    <row r="20" spans="2:76" x14ac:dyDescent="0.3">
      <c r="B20" s="2"/>
      <c r="C20" s="2" t="s">
        <v>1247</v>
      </c>
      <c r="D20" s="2" t="s">
        <v>427</v>
      </c>
      <c r="H20" s="2"/>
      <c r="I20" s="2" t="s">
        <v>1266</v>
      </c>
      <c r="J20" s="2" t="s">
        <v>522</v>
      </c>
      <c r="N20" s="2"/>
      <c r="O20" s="2" t="s">
        <v>1264</v>
      </c>
      <c r="P20" s="2" t="s">
        <v>1080</v>
      </c>
      <c r="T20" s="2"/>
      <c r="U20" s="2" t="s">
        <v>46</v>
      </c>
      <c r="V20" s="2" t="s">
        <v>648</v>
      </c>
      <c r="Z20" s="2"/>
      <c r="AA20" s="2" t="s">
        <v>1158</v>
      </c>
      <c r="AB20" s="2" t="s">
        <v>407</v>
      </c>
      <c r="AF20" s="2"/>
      <c r="AG20" s="2" t="s">
        <v>482</v>
      </c>
      <c r="AH20" s="2" t="s">
        <v>483</v>
      </c>
      <c r="AL20" s="2"/>
      <c r="AM20" s="2" t="s">
        <v>682</v>
      </c>
      <c r="AN20" s="2" t="s">
        <v>683</v>
      </c>
      <c r="AR20" s="2"/>
      <c r="AS20" s="2" t="s">
        <v>1287</v>
      </c>
      <c r="AT20" s="2" t="s">
        <v>619</v>
      </c>
      <c r="AX20" s="2"/>
      <c r="AY20" s="2" t="s">
        <v>1258</v>
      </c>
      <c r="AZ20" s="2" t="s">
        <v>1078</v>
      </c>
      <c r="BD20" s="2"/>
      <c r="BE20" s="2" t="s">
        <v>140</v>
      </c>
      <c r="BF20" s="2" t="s">
        <v>399</v>
      </c>
      <c r="BJ20" s="2"/>
      <c r="BK20" s="2" t="s">
        <v>1265</v>
      </c>
      <c r="BL20" s="2" t="s">
        <v>505</v>
      </c>
      <c r="BP20" s="2"/>
      <c r="BQ20" s="2" t="s">
        <v>1265</v>
      </c>
      <c r="BR20" s="2" t="s">
        <v>505</v>
      </c>
      <c r="BV20" s="2"/>
      <c r="BW20" s="2" t="s">
        <v>793</v>
      </c>
      <c r="BX20" s="2" t="s">
        <v>794</v>
      </c>
    </row>
    <row r="21" spans="2:76" x14ac:dyDescent="0.3">
      <c r="B21" s="2"/>
      <c r="C21" s="2" t="s">
        <v>1291</v>
      </c>
      <c r="D21" s="2" t="s">
        <v>540</v>
      </c>
      <c r="H21" s="2"/>
      <c r="I21" s="2" t="s">
        <v>1269</v>
      </c>
      <c r="J21" s="2" t="s">
        <v>381</v>
      </c>
      <c r="N21" s="2"/>
      <c r="O21" s="2" t="s">
        <v>639</v>
      </c>
      <c r="P21" s="2" t="s">
        <v>640</v>
      </c>
      <c r="T21" s="2"/>
      <c r="U21" s="2" t="s">
        <v>1267</v>
      </c>
      <c r="V21" s="2" t="s">
        <v>1007</v>
      </c>
      <c r="Z21" s="2"/>
      <c r="AA21" s="2" t="s">
        <v>1157</v>
      </c>
      <c r="AB21" s="2" t="s">
        <v>401</v>
      </c>
      <c r="AF21" s="2"/>
      <c r="AG21" s="2" t="s">
        <v>509</v>
      </c>
      <c r="AH21" s="2" t="s">
        <v>510</v>
      </c>
      <c r="AL21" s="2"/>
      <c r="AM21" s="2" t="s">
        <v>100</v>
      </c>
      <c r="AN21" s="2" t="s">
        <v>458</v>
      </c>
      <c r="AR21" s="2"/>
      <c r="AS21" s="2" t="s">
        <v>905</v>
      </c>
      <c r="AT21" s="2" t="s">
        <v>421</v>
      </c>
      <c r="AX21" s="2"/>
      <c r="AY21" s="2" t="s">
        <v>1261</v>
      </c>
      <c r="AZ21" s="2" t="s">
        <v>689</v>
      </c>
      <c r="BD21" s="2"/>
      <c r="BE21" s="2" t="s">
        <v>1262</v>
      </c>
      <c r="BF21" s="2" t="s">
        <v>361</v>
      </c>
      <c r="BJ21" s="2"/>
      <c r="BK21" s="2" t="s">
        <v>140</v>
      </c>
      <c r="BL21" s="2" t="s">
        <v>399</v>
      </c>
      <c r="BP21" s="2"/>
      <c r="BQ21" s="2" t="s">
        <v>1256</v>
      </c>
      <c r="BR21" s="2" t="s">
        <v>433</v>
      </c>
      <c r="BV21" s="2"/>
      <c r="BW21" s="2" t="s">
        <v>1292</v>
      </c>
      <c r="BX21" s="2" t="s">
        <v>1268</v>
      </c>
    </row>
    <row r="22" spans="2:76" x14ac:dyDescent="0.3">
      <c r="B22" s="2"/>
      <c r="C22" s="2" t="s">
        <v>1293</v>
      </c>
      <c r="D22" s="2" t="s">
        <v>1022</v>
      </c>
      <c r="H22" s="2"/>
      <c r="I22" s="2" t="s">
        <v>1056</v>
      </c>
      <c r="J22" s="2" t="s">
        <v>804</v>
      </c>
      <c r="N22" s="2"/>
      <c r="O22" s="2" t="s">
        <v>1161</v>
      </c>
      <c r="P22" s="2" t="s">
        <v>511</v>
      </c>
      <c r="T22" s="2"/>
      <c r="U22" s="2" t="s">
        <v>514</v>
      </c>
      <c r="V22" s="2" t="s">
        <v>515</v>
      </c>
      <c r="Z22" s="2"/>
      <c r="AA22" s="2" t="s">
        <v>1161</v>
      </c>
      <c r="AB22" s="2" t="s">
        <v>511</v>
      </c>
      <c r="AF22" s="2"/>
      <c r="AG22" s="2" t="s">
        <v>682</v>
      </c>
      <c r="AH22" s="2" t="s">
        <v>683</v>
      </c>
      <c r="AL22" s="2"/>
      <c r="AM22" s="2" t="s">
        <v>1112</v>
      </c>
      <c r="AN22" s="2" t="s">
        <v>364</v>
      </c>
      <c r="AR22" s="2"/>
      <c r="AS22" s="2" t="s">
        <v>1145</v>
      </c>
      <c r="AT22" s="2" t="s">
        <v>780</v>
      </c>
      <c r="AX22" s="2"/>
      <c r="AY22" s="2" t="s">
        <v>228</v>
      </c>
      <c r="AZ22" s="2" t="s">
        <v>725</v>
      </c>
      <c r="BD22" s="2"/>
      <c r="BE22" s="2" t="s">
        <v>454</v>
      </c>
      <c r="BF22" s="2" t="s">
        <v>455</v>
      </c>
      <c r="BJ22" s="2"/>
      <c r="BK22" s="2" t="s">
        <v>1262</v>
      </c>
      <c r="BL22" s="2" t="s">
        <v>361</v>
      </c>
      <c r="BP22" s="2"/>
      <c r="BQ22" s="2" t="s">
        <v>1262</v>
      </c>
      <c r="BR22" s="2" t="s">
        <v>361</v>
      </c>
      <c r="BV22" s="2"/>
      <c r="BW22" s="2" t="s">
        <v>1270</v>
      </c>
      <c r="BX22" s="2" t="s">
        <v>1014</v>
      </c>
    </row>
    <row r="23" spans="2:76" x14ac:dyDescent="0.3">
      <c r="H23" s="2"/>
      <c r="I23" s="2" t="s">
        <v>1328</v>
      </c>
      <c r="J23" s="2" t="s">
        <v>765</v>
      </c>
      <c r="N23" s="2"/>
      <c r="O23" s="2" t="s">
        <v>1121</v>
      </c>
      <c r="P23" s="2" t="s">
        <v>687</v>
      </c>
      <c r="T23" s="2"/>
      <c r="U23" s="2" t="s">
        <v>639</v>
      </c>
      <c r="V23" s="2" t="s">
        <v>640</v>
      </c>
      <c r="Z23" s="2"/>
      <c r="AA23" s="2" t="s">
        <v>1139</v>
      </c>
      <c r="AB23" s="2" t="s">
        <v>611</v>
      </c>
      <c r="AF23" s="2"/>
      <c r="AG23" s="2" t="s">
        <v>1122</v>
      </c>
      <c r="AH23" s="2" t="s">
        <v>321</v>
      </c>
      <c r="AL23" s="2"/>
      <c r="AM23" s="2" t="s">
        <v>500</v>
      </c>
      <c r="AN23" s="2" t="s">
        <v>501</v>
      </c>
      <c r="AR23" s="2"/>
      <c r="AS23" s="2" t="s">
        <v>1120</v>
      </c>
      <c r="AT23" s="2" t="s">
        <v>386</v>
      </c>
      <c r="AX23" s="2"/>
      <c r="AY23" s="2" t="s">
        <v>1166</v>
      </c>
      <c r="AZ23" s="2" t="s">
        <v>782</v>
      </c>
      <c r="BD23" s="2"/>
      <c r="BE23" s="2" t="s">
        <v>436</v>
      </c>
      <c r="BF23" s="2" t="s">
        <v>437</v>
      </c>
      <c r="BJ23" s="2"/>
      <c r="BK23" s="2" t="s">
        <v>1292</v>
      </c>
      <c r="BL23" s="2" t="s">
        <v>1268</v>
      </c>
      <c r="BP23" s="2"/>
      <c r="BQ23" s="2" t="s">
        <v>91</v>
      </c>
      <c r="BR23" s="2" t="s">
        <v>672</v>
      </c>
      <c r="BV23" s="2"/>
      <c r="BW23" s="2" t="s">
        <v>506</v>
      </c>
      <c r="BX23" s="2" t="s">
        <v>507</v>
      </c>
    </row>
    <row r="24" spans="2:76" x14ac:dyDescent="0.3">
      <c r="N24" s="2"/>
      <c r="O24" s="2" t="s">
        <v>1130</v>
      </c>
      <c r="P24" s="2" t="s">
        <v>690</v>
      </c>
      <c r="T24" s="2"/>
      <c r="U24" s="2" t="s">
        <v>1158</v>
      </c>
      <c r="V24" s="2" t="s">
        <v>407</v>
      </c>
      <c r="Z24" s="2"/>
      <c r="AA24" s="2" t="s">
        <v>482</v>
      </c>
      <c r="AB24" s="2" t="s">
        <v>483</v>
      </c>
      <c r="AF24" s="2"/>
      <c r="AG24" s="2" t="s">
        <v>1112</v>
      </c>
      <c r="AH24" s="2" t="s">
        <v>364</v>
      </c>
      <c r="AL24" s="2"/>
      <c r="AM24" s="2" t="s">
        <v>1271</v>
      </c>
      <c r="AN24" s="2" t="s">
        <v>614</v>
      </c>
      <c r="AR24" s="2"/>
      <c r="AS24" s="2" t="s">
        <v>1294</v>
      </c>
      <c r="AT24" s="2" t="s">
        <v>735</v>
      </c>
      <c r="AX24" s="2"/>
      <c r="AY24" s="2" t="s">
        <v>259</v>
      </c>
      <c r="AZ24" s="2" t="s">
        <v>632</v>
      </c>
      <c r="BD24" s="2"/>
      <c r="BE24" s="2" t="s">
        <v>1263</v>
      </c>
      <c r="BF24" s="2" t="s">
        <v>809</v>
      </c>
      <c r="BJ24" s="2"/>
      <c r="BK24" s="2" t="s">
        <v>452</v>
      </c>
      <c r="BL24" s="2" t="s">
        <v>453</v>
      </c>
      <c r="BP24" s="2"/>
      <c r="BQ24" s="2" t="s">
        <v>1292</v>
      </c>
      <c r="BR24" s="2" t="s">
        <v>1268</v>
      </c>
      <c r="BV24" s="2"/>
      <c r="BW24" s="2" t="s">
        <v>1272</v>
      </c>
      <c r="BX24" s="2" t="s">
        <v>577</v>
      </c>
    </row>
    <row r="25" spans="2:76" x14ac:dyDescent="0.3">
      <c r="N25" s="2"/>
      <c r="O25" s="2" t="s">
        <v>1115</v>
      </c>
      <c r="P25" s="2" t="s">
        <v>766</v>
      </c>
      <c r="T25" s="2"/>
      <c r="U25" s="2" t="s">
        <v>1157</v>
      </c>
      <c r="V25" s="2" t="s">
        <v>401</v>
      </c>
      <c r="Z25" s="2"/>
      <c r="AA25" s="2" t="s">
        <v>509</v>
      </c>
      <c r="AB25" s="2" t="s">
        <v>510</v>
      </c>
      <c r="AF25" s="2"/>
      <c r="AG25" s="2" t="s">
        <v>474</v>
      </c>
      <c r="AH25" s="2" t="s">
        <v>475</v>
      </c>
      <c r="AL25" s="2"/>
      <c r="AM25" s="2" t="s">
        <v>92</v>
      </c>
      <c r="AN25" s="2" t="s">
        <v>413</v>
      </c>
      <c r="AR25" s="2"/>
      <c r="AS25" s="2" t="s">
        <v>670</v>
      </c>
      <c r="AT25" s="2" t="s">
        <v>671</v>
      </c>
      <c r="AX25" s="2"/>
      <c r="AY25" s="2" t="s">
        <v>1287</v>
      </c>
      <c r="AZ25" s="2" t="s">
        <v>619</v>
      </c>
      <c r="BD25" s="2"/>
      <c r="BE25" s="2" t="s">
        <v>1273</v>
      </c>
      <c r="BF25" s="2" t="s">
        <v>1085</v>
      </c>
      <c r="BJ25" s="2"/>
      <c r="BK25" s="2" t="s">
        <v>1274</v>
      </c>
      <c r="BL25" s="2" t="s">
        <v>789</v>
      </c>
      <c r="BP25" s="2"/>
      <c r="BQ25" s="2" t="s">
        <v>452</v>
      </c>
      <c r="BR25" s="2" t="s">
        <v>453</v>
      </c>
      <c r="BV25" s="2"/>
      <c r="BW25" s="2" t="s">
        <v>1275</v>
      </c>
      <c r="BX25" s="2" t="s">
        <v>996</v>
      </c>
    </row>
    <row r="26" spans="2:76" x14ac:dyDescent="0.3">
      <c r="N26" s="2"/>
      <c r="O26" s="2" t="s">
        <v>1295</v>
      </c>
      <c r="P26" s="2" t="s">
        <v>583</v>
      </c>
      <c r="T26" s="2"/>
      <c r="U26" s="2" t="s">
        <v>1161</v>
      </c>
      <c r="V26" s="2" t="s">
        <v>511</v>
      </c>
      <c r="Z26" s="2"/>
      <c r="AA26" s="2" t="s">
        <v>682</v>
      </c>
      <c r="AB26" s="2" t="s">
        <v>683</v>
      </c>
      <c r="AF26" s="2"/>
      <c r="AG26" s="2" t="s">
        <v>69</v>
      </c>
      <c r="AH26" s="2" t="s">
        <v>622</v>
      </c>
      <c r="AL26" s="2"/>
      <c r="AM26" s="2" t="s">
        <v>695</v>
      </c>
      <c r="AN26" s="2" t="s">
        <v>696</v>
      </c>
      <c r="AR26" s="2"/>
      <c r="AS26" s="2" t="s">
        <v>148</v>
      </c>
      <c r="AT26" s="2" t="s">
        <v>633</v>
      </c>
      <c r="AX26" s="2"/>
      <c r="AY26" s="2" t="s">
        <v>84</v>
      </c>
      <c r="AZ26" s="2" t="s">
        <v>481</v>
      </c>
      <c r="BD26" s="2"/>
      <c r="BE26" s="2" t="s">
        <v>1276</v>
      </c>
      <c r="BF26" s="2" t="s">
        <v>857</v>
      </c>
      <c r="BJ26" s="2"/>
      <c r="BK26" s="2" t="s">
        <v>436</v>
      </c>
      <c r="BL26" s="2" t="s">
        <v>437</v>
      </c>
      <c r="BP26" s="2"/>
      <c r="BQ26" s="2" t="s">
        <v>1163</v>
      </c>
      <c r="BR26" s="2" t="s">
        <v>582</v>
      </c>
      <c r="BV26" s="2"/>
      <c r="BW26" s="2" t="s">
        <v>606</v>
      </c>
      <c r="BX26" s="2" t="s">
        <v>607</v>
      </c>
    </row>
    <row r="27" spans="2:76" x14ac:dyDescent="0.3">
      <c r="N27" s="2"/>
      <c r="O27" s="2" t="s">
        <v>69</v>
      </c>
      <c r="P27" s="2" t="s">
        <v>622</v>
      </c>
      <c r="T27" s="2"/>
      <c r="U27" s="2" t="s">
        <v>1139</v>
      </c>
      <c r="V27" s="2" t="s">
        <v>611</v>
      </c>
      <c r="Z27" s="2"/>
      <c r="AA27" s="2" t="s">
        <v>1122</v>
      </c>
      <c r="AB27" s="2" t="s">
        <v>321</v>
      </c>
      <c r="AF27" s="2"/>
      <c r="AG27" s="2" t="s">
        <v>1271</v>
      </c>
      <c r="AH27" s="2" t="s">
        <v>614</v>
      </c>
      <c r="AR27" s="2"/>
      <c r="AS27" s="2" t="s">
        <v>1134</v>
      </c>
      <c r="AT27" s="2" t="s">
        <v>624</v>
      </c>
      <c r="AX27" s="2"/>
      <c r="AY27" s="2" t="s">
        <v>767</v>
      </c>
      <c r="AZ27" s="2" t="s">
        <v>768</v>
      </c>
      <c r="BD27" s="2"/>
      <c r="BE27" s="2" t="s">
        <v>228</v>
      </c>
      <c r="BF27" s="2" t="s">
        <v>725</v>
      </c>
      <c r="BJ27" s="2"/>
      <c r="BK27" s="2" t="s">
        <v>1276</v>
      </c>
      <c r="BL27" s="2" t="s">
        <v>857</v>
      </c>
      <c r="BP27" s="2"/>
      <c r="BQ27" s="2" t="s">
        <v>1296</v>
      </c>
      <c r="BR27" s="2" t="s">
        <v>496</v>
      </c>
      <c r="BV27" s="2"/>
      <c r="BW27" s="2" t="s">
        <v>352</v>
      </c>
      <c r="BX27" s="2" t="s">
        <v>353</v>
      </c>
    </row>
    <row r="28" spans="2:76" x14ac:dyDescent="0.3">
      <c r="N28" s="2"/>
      <c r="O28" s="2" t="s">
        <v>441</v>
      </c>
      <c r="P28" s="2" t="s">
        <v>442</v>
      </c>
      <c r="T28" s="2"/>
      <c r="U28" s="2"/>
      <c r="V28" s="2"/>
      <c r="Z28" s="2"/>
      <c r="AA28" s="2" t="s">
        <v>43</v>
      </c>
      <c r="AB28" s="2" t="s">
        <v>409</v>
      </c>
      <c r="AF28" s="2"/>
      <c r="AG28" s="2" t="s">
        <v>461</v>
      </c>
      <c r="AH28" s="2" t="s">
        <v>464</v>
      </c>
      <c r="AR28" s="2"/>
      <c r="AS28" s="2" t="s">
        <v>1123</v>
      </c>
      <c r="AT28" s="2" t="s">
        <v>800</v>
      </c>
      <c r="AX28" s="2"/>
      <c r="AY28" s="2" t="s">
        <v>905</v>
      </c>
      <c r="AZ28" s="2" t="s">
        <v>421</v>
      </c>
      <c r="BD28" s="2"/>
      <c r="BE28" s="2" t="s">
        <v>795</v>
      </c>
      <c r="BF28" s="2" t="s">
        <v>796</v>
      </c>
      <c r="BJ28" s="2"/>
      <c r="BK28" s="2" t="s">
        <v>207</v>
      </c>
      <c r="BL28" s="2" t="s">
        <v>425</v>
      </c>
      <c r="BP28" s="2"/>
      <c r="BQ28" s="2" t="s">
        <v>129</v>
      </c>
      <c r="BR28" s="2" t="s">
        <v>537</v>
      </c>
      <c r="BV28" s="2"/>
      <c r="BW28" s="2" t="s">
        <v>641</v>
      </c>
      <c r="BX28" s="2" t="s">
        <v>642</v>
      </c>
    </row>
    <row r="29" spans="2:76" x14ac:dyDescent="0.3">
      <c r="N29" s="2"/>
      <c r="O29" s="2" t="s">
        <v>1266</v>
      </c>
      <c r="P29" s="2" t="s">
        <v>522</v>
      </c>
      <c r="T29" s="2"/>
      <c r="U29" s="2" t="s">
        <v>1121</v>
      </c>
      <c r="V29" s="2" t="s">
        <v>687</v>
      </c>
      <c r="Z29" s="2"/>
      <c r="AA29" s="2" t="s">
        <v>652</v>
      </c>
      <c r="AB29" s="2" t="s">
        <v>653</v>
      </c>
      <c r="AF29" s="2"/>
      <c r="AG29" s="2" t="s">
        <v>465</v>
      </c>
      <c r="AH29" s="2" t="s">
        <v>466</v>
      </c>
      <c r="AR29" s="2"/>
      <c r="AS29" s="2" t="s">
        <v>1110</v>
      </c>
      <c r="AT29" s="2" t="s">
        <v>753</v>
      </c>
      <c r="AX29" s="2"/>
      <c r="AY29" s="2" t="s">
        <v>1297</v>
      </c>
      <c r="AZ29" s="2" t="s">
        <v>760</v>
      </c>
      <c r="BD29" s="2"/>
      <c r="BE29" s="2" t="s">
        <v>84</v>
      </c>
      <c r="BF29" s="2" t="s">
        <v>481</v>
      </c>
      <c r="BJ29" s="2"/>
      <c r="BK29" s="2" t="s">
        <v>795</v>
      </c>
      <c r="BL29" s="2" t="s">
        <v>796</v>
      </c>
      <c r="BP29" s="2"/>
      <c r="BQ29" s="2" t="s">
        <v>193</v>
      </c>
      <c r="BR29" s="2" t="s">
        <v>709</v>
      </c>
      <c r="BV29" s="2"/>
      <c r="BW29" s="2" t="s">
        <v>1162</v>
      </c>
      <c r="BX29" s="2" t="s">
        <v>1035</v>
      </c>
    </row>
    <row r="30" spans="2:76" x14ac:dyDescent="0.3">
      <c r="N30" s="2"/>
      <c r="O30" s="2" t="s">
        <v>477</v>
      </c>
      <c r="P30" s="2" t="s">
        <v>478</v>
      </c>
      <c r="T30" s="2"/>
      <c r="U30" s="2" t="s">
        <v>1130</v>
      </c>
      <c r="V30" s="2" t="s">
        <v>690</v>
      </c>
      <c r="Z30" s="2"/>
      <c r="AA30" s="2" t="s">
        <v>1112</v>
      </c>
      <c r="AB30" s="2" t="s">
        <v>364</v>
      </c>
      <c r="AF30" s="2"/>
      <c r="AG30" s="2" t="s">
        <v>1337</v>
      </c>
      <c r="AH30" s="2" t="s">
        <v>655</v>
      </c>
      <c r="AR30" s="2"/>
      <c r="AS30" s="2" t="s">
        <v>1114</v>
      </c>
      <c r="AT30" s="2" t="s">
        <v>629</v>
      </c>
      <c r="AX30" s="2"/>
      <c r="AY30" s="2" t="s">
        <v>1144</v>
      </c>
      <c r="AZ30" s="2" t="s">
        <v>810</v>
      </c>
      <c r="BD30" s="2"/>
      <c r="BE30" s="2" t="s">
        <v>260</v>
      </c>
      <c r="BF30" s="2" t="s">
        <v>438</v>
      </c>
      <c r="BJ30" s="2"/>
      <c r="BK30" s="2" t="s">
        <v>1277</v>
      </c>
      <c r="BL30" s="2" t="s">
        <v>1108</v>
      </c>
      <c r="BP30" s="2"/>
      <c r="BQ30" s="2" t="s">
        <v>1129</v>
      </c>
      <c r="BR30" s="2" t="s">
        <v>608</v>
      </c>
      <c r="BV30" s="2"/>
      <c r="BW30" s="2" t="s">
        <v>1136</v>
      </c>
      <c r="BX30" s="2" t="s">
        <v>554</v>
      </c>
    </row>
    <row r="31" spans="2:76" x14ac:dyDescent="0.3">
      <c r="N31" s="2"/>
      <c r="O31" s="2" t="s">
        <v>479</v>
      </c>
      <c r="P31" s="2" t="s">
        <v>480</v>
      </c>
      <c r="T31" s="2"/>
      <c r="U31" s="2" t="s">
        <v>1122</v>
      </c>
      <c r="V31" s="2" t="s">
        <v>321</v>
      </c>
      <c r="Z31" s="2"/>
      <c r="AA31" s="2" t="s">
        <v>474</v>
      </c>
      <c r="AB31" s="2" t="s">
        <v>475</v>
      </c>
      <c r="AR31" s="2"/>
      <c r="AS31" s="2" t="s">
        <v>1116</v>
      </c>
      <c r="AT31" s="2" t="s">
        <v>379</v>
      </c>
      <c r="AX31" s="2"/>
      <c r="AY31" s="2" t="s">
        <v>1142</v>
      </c>
      <c r="AZ31" s="2" t="s">
        <v>685</v>
      </c>
      <c r="BD31" s="2"/>
      <c r="BE31" s="2" t="s">
        <v>767</v>
      </c>
      <c r="BF31" s="2" t="s">
        <v>768</v>
      </c>
      <c r="BJ31" s="2"/>
      <c r="BK31" s="2" t="s">
        <v>84</v>
      </c>
      <c r="BL31" s="2" t="s">
        <v>481</v>
      </c>
      <c r="BP31" s="2"/>
      <c r="BQ31" s="2" t="s">
        <v>1131</v>
      </c>
      <c r="BR31" s="2" t="s">
        <v>459</v>
      </c>
      <c r="BV31" s="2"/>
      <c r="BW31" s="2" t="s">
        <v>84</v>
      </c>
      <c r="BX31" s="2" t="s">
        <v>481</v>
      </c>
    </row>
    <row r="32" spans="2:76" x14ac:dyDescent="0.3">
      <c r="N32" s="2"/>
      <c r="O32" s="2" t="s">
        <v>547</v>
      </c>
      <c r="P32" s="2" t="s">
        <v>548</v>
      </c>
      <c r="T32" s="2"/>
      <c r="U32" s="2" t="s">
        <v>43</v>
      </c>
      <c r="V32" s="2" t="s">
        <v>409</v>
      </c>
      <c r="Z32" s="2"/>
      <c r="AA32" s="2" t="s">
        <v>69</v>
      </c>
      <c r="AB32" s="2" t="s">
        <v>622</v>
      </c>
      <c r="AR32" s="2"/>
      <c r="AS32" s="2" t="s">
        <v>1113</v>
      </c>
      <c r="AT32" s="2" t="s">
        <v>383</v>
      </c>
      <c r="AX32" s="2"/>
      <c r="AY32" s="2" t="s">
        <v>1138</v>
      </c>
      <c r="AZ32" s="2" t="s">
        <v>349</v>
      </c>
      <c r="BD32" s="2"/>
      <c r="BE32" s="2" t="s">
        <v>1146</v>
      </c>
      <c r="BF32" s="2" t="s">
        <v>950</v>
      </c>
      <c r="BJ32" s="2"/>
      <c r="BK32" s="2" t="s">
        <v>1296</v>
      </c>
      <c r="BL32" s="2" t="s">
        <v>496</v>
      </c>
      <c r="BP32" s="2"/>
      <c r="BQ32" s="2" t="s">
        <v>834</v>
      </c>
      <c r="BR32" s="2" t="s">
        <v>835</v>
      </c>
      <c r="BV32" s="2"/>
      <c r="BW32" s="2" t="s">
        <v>418</v>
      </c>
      <c r="BX32" s="2" t="s">
        <v>419</v>
      </c>
    </row>
    <row r="33" spans="14:76" x14ac:dyDescent="0.3">
      <c r="N33" s="2"/>
      <c r="O33" s="2" t="s">
        <v>1053</v>
      </c>
      <c r="P33" s="2" t="s">
        <v>323</v>
      </c>
      <c r="T33" s="2"/>
      <c r="U33" s="2" t="s">
        <v>652</v>
      </c>
      <c r="V33" s="2" t="s">
        <v>653</v>
      </c>
      <c r="Z33" s="2"/>
      <c r="AA33" s="2" t="s">
        <v>1298</v>
      </c>
      <c r="AB33" s="2" t="s">
        <v>797</v>
      </c>
      <c r="AR33" s="2"/>
      <c r="AS33" s="2" t="s">
        <v>952</v>
      </c>
      <c r="AT33" s="2" t="s">
        <v>953</v>
      </c>
      <c r="AX33" s="2"/>
      <c r="AY33" s="2" t="s">
        <v>1140</v>
      </c>
      <c r="AZ33" s="2" t="s">
        <v>705</v>
      </c>
      <c r="BD33" s="2"/>
      <c r="BE33" s="2" t="s">
        <v>489</v>
      </c>
      <c r="BF33" s="2" t="s">
        <v>490</v>
      </c>
      <c r="BJ33" s="2"/>
      <c r="BK33" s="2" t="s">
        <v>129</v>
      </c>
      <c r="BL33" s="2" t="s">
        <v>537</v>
      </c>
      <c r="BP33" s="2"/>
      <c r="BQ33" s="2" t="s">
        <v>1126</v>
      </c>
      <c r="BR33" s="2" t="s">
        <v>955</v>
      </c>
      <c r="BV33" s="2"/>
      <c r="BW33" s="2" t="s">
        <v>1299</v>
      </c>
      <c r="BX33" s="2" t="s">
        <v>1016</v>
      </c>
    </row>
    <row r="34" spans="14:76" x14ac:dyDescent="0.3">
      <c r="N34" s="2"/>
      <c r="O34" s="2" t="s">
        <v>1300</v>
      </c>
      <c r="P34" s="2" t="s">
        <v>573</v>
      </c>
      <c r="T34" s="2"/>
      <c r="U34" s="2" t="s">
        <v>1115</v>
      </c>
      <c r="V34" s="2" t="s">
        <v>766</v>
      </c>
      <c r="Z34" s="2"/>
      <c r="AA34" s="2" t="s">
        <v>61</v>
      </c>
      <c r="AB34" s="2" t="s">
        <v>495</v>
      </c>
      <c r="AR34" s="2"/>
      <c r="AS34" s="2" t="s">
        <v>591</v>
      </c>
      <c r="AT34" s="2" t="s">
        <v>592</v>
      </c>
      <c r="AX34" s="2"/>
      <c r="AY34" s="2" t="s">
        <v>148</v>
      </c>
      <c r="AZ34" s="2" t="s">
        <v>633</v>
      </c>
      <c r="BD34" s="2"/>
      <c r="BE34" s="2" t="s">
        <v>250</v>
      </c>
      <c r="BF34" s="2" t="s">
        <v>469</v>
      </c>
      <c r="BJ34" s="2"/>
      <c r="BK34" s="2" t="s">
        <v>250</v>
      </c>
      <c r="BL34" s="2" t="s">
        <v>469</v>
      </c>
      <c r="BP34" s="2"/>
      <c r="BQ34" s="2" t="s">
        <v>1118</v>
      </c>
      <c r="BR34" s="2" t="s">
        <v>373</v>
      </c>
      <c r="BV34" s="2"/>
      <c r="BW34" s="2" t="s">
        <v>1129</v>
      </c>
      <c r="BX34" s="2" t="s">
        <v>608</v>
      </c>
    </row>
    <row r="35" spans="14:76" x14ac:dyDescent="0.3">
      <c r="N35" s="2"/>
      <c r="O35" s="2" t="s">
        <v>1301</v>
      </c>
      <c r="P35" s="2" t="s">
        <v>1302</v>
      </c>
      <c r="T35" s="2"/>
      <c r="U35" s="2" t="s">
        <v>69</v>
      </c>
      <c r="V35" s="2" t="s">
        <v>622</v>
      </c>
      <c r="Z35" s="2"/>
      <c r="AA35" s="2" t="s">
        <v>461</v>
      </c>
      <c r="AB35" s="2" t="s">
        <v>464</v>
      </c>
      <c r="AR35" s="2"/>
      <c r="AS35" s="2" t="s">
        <v>1064</v>
      </c>
      <c r="AT35" s="2" t="s">
        <v>988</v>
      </c>
      <c r="AX35" s="2"/>
      <c r="AY35" s="2" t="s">
        <v>1137</v>
      </c>
      <c r="AZ35" s="2" t="s">
        <v>398</v>
      </c>
      <c r="BD35" s="2"/>
      <c r="BE35" s="2" t="s">
        <v>512</v>
      </c>
      <c r="BF35" s="2" t="s">
        <v>513</v>
      </c>
      <c r="BJ35" s="2"/>
      <c r="BK35" s="2" t="s">
        <v>512</v>
      </c>
      <c r="BL35" s="2" t="s">
        <v>513</v>
      </c>
      <c r="BP35" s="2"/>
      <c r="BQ35" s="2" t="s">
        <v>168</v>
      </c>
      <c r="BR35" s="2" t="s">
        <v>502</v>
      </c>
      <c r="BV35" s="2"/>
      <c r="BW35" s="2" t="s">
        <v>1127</v>
      </c>
      <c r="BX35" s="2" t="s">
        <v>1093</v>
      </c>
    </row>
    <row r="36" spans="14:76" x14ac:dyDescent="0.3">
      <c r="N36" s="2"/>
      <c r="O36" s="2" t="s">
        <v>542</v>
      </c>
      <c r="P36" s="2" t="s">
        <v>543</v>
      </c>
      <c r="T36" s="2"/>
      <c r="U36" s="2" t="s">
        <v>441</v>
      </c>
      <c r="V36" s="2" t="s">
        <v>442</v>
      </c>
      <c r="Z36" s="2"/>
      <c r="AA36" s="2" t="s">
        <v>471</v>
      </c>
      <c r="AB36" s="2" t="s">
        <v>472</v>
      </c>
      <c r="AR36" s="2"/>
      <c r="AS36" s="2" t="s">
        <v>1063</v>
      </c>
      <c r="AT36" s="2" t="s">
        <v>986</v>
      </c>
      <c r="AX36" s="2"/>
      <c r="AY36" s="2" t="s">
        <v>1134</v>
      </c>
      <c r="AZ36" s="2" t="s">
        <v>624</v>
      </c>
      <c r="BD36" s="2"/>
      <c r="BE36" s="2" t="s">
        <v>1131</v>
      </c>
      <c r="BF36" s="2" t="s">
        <v>459</v>
      </c>
      <c r="BJ36" s="2"/>
      <c r="BK36" s="2" t="s">
        <v>1129</v>
      </c>
      <c r="BL36" s="2" t="s">
        <v>608</v>
      </c>
      <c r="BP36" s="2"/>
      <c r="BQ36" s="2" t="s">
        <v>491</v>
      </c>
      <c r="BR36" s="2" t="s">
        <v>492</v>
      </c>
      <c r="BV36" s="2"/>
      <c r="BW36" s="2" t="s">
        <v>1125</v>
      </c>
      <c r="BX36" s="2" t="s">
        <v>951</v>
      </c>
    </row>
    <row r="37" spans="14:76" x14ac:dyDescent="0.3">
      <c r="N37" s="2"/>
      <c r="O37" s="2" t="s">
        <v>1242</v>
      </c>
      <c r="P37" s="2" t="s">
        <v>1154</v>
      </c>
      <c r="T37" s="2"/>
      <c r="U37" s="2" t="s">
        <v>1298</v>
      </c>
      <c r="V37" s="2" t="s">
        <v>797</v>
      </c>
      <c r="Z37" s="2"/>
      <c r="AA37" s="2" t="s">
        <v>465</v>
      </c>
      <c r="AB37" s="2" t="s">
        <v>466</v>
      </c>
      <c r="AR37" s="2"/>
      <c r="AS37" s="2" t="s">
        <v>1061</v>
      </c>
      <c r="AT37" s="2" t="s">
        <v>575</v>
      </c>
      <c r="AX37" s="2"/>
      <c r="AY37" s="2" t="s">
        <v>1117</v>
      </c>
      <c r="AZ37" s="2" t="s">
        <v>521</v>
      </c>
      <c r="BD37" s="2"/>
      <c r="BE37" s="2" t="s">
        <v>1142</v>
      </c>
      <c r="BF37" s="2" t="s">
        <v>685</v>
      </c>
      <c r="BJ37" s="2"/>
      <c r="BK37" s="2" t="s">
        <v>1141</v>
      </c>
      <c r="BL37" s="2" t="s">
        <v>1105</v>
      </c>
      <c r="BP37" s="2"/>
      <c r="BQ37" s="2" t="s">
        <v>1303</v>
      </c>
      <c r="BR37" s="2" t="s">
        <v>699</v>
      </c>
      <c r="BV37" s="2"/>
      <c r="BW37" s="2" t="s">
        <v>1304</v>
      </c>
      <c r="BX37" s="2" t="s">
        <v>598</v>
      </c>
    </row>
    <row r="38" spans="14:76" x14ac:dyDescent="0.3">
      <c r="T38" s="2"/>
      <c r="U38" s="2" t="s">
        <v>463</v>
      </c>
      <c r="V38" s="2" t="s">
        <v>464</v>
      </c>
      <c r="Z38" s="2"/>
      <c r="AA38" s="2" t="s">
        <v>1053</v>
      </c>
      <c r="AB38" s="2" t="s">
        <v>323</v>
      </c>
      <c r="AR38" s="2"/>
      <c r="AS38" s="2" t="s">
        <v>176</v>
      </c>
      <c r="AT38" s="2" t="s">
        <v>333</v>
      </c>
      <c r="AX38" s="2"/>
      <c r="AY38" s="2" t="s">
        <v>1114</v>
      </c>
      <c r="AZ38" s="2" t="s">
        <v>629</v>
      </c>
      <c r="BD38" s="2"/>
      <c r="BE38" s="2" t="s">
        <v>1138</v>
      </c>
      <c r="BF38" s="2" t="s">
        <v>349</v>
      </c>
      <c r="BJ38" s="2"/>
      <c r="BK38" s="2" t="s">
        <v>1131</v>
      </c>
      <c r="BL38" s="2" t="s">
        <v>459</v>
      </c>
      <c r="BP38" s="2"/>
      <c r="BQ38" s="2" t="s">
        <v>137</v>
      </c>
      <c r="BR38" s="2" t="s">
        <v>485</v>
      </c>
      <c r="BV38" s="2"/>
      <c r="BW38" s="2" t="s">
        <v>1118</v>
      </c>
      <c r="BX38" s="2" t="s">
        <v>373</v>
      </c>
    </row>
    <row r="39" spans="14:76" x14ac:dyDescent="0.3">
      <c r="T39" s="2"/>
      <c r="U39" s="2" t="s">
        <v>61</v>
      </c>
      <c r="V39" s="2" t="s">
        <v>495</v>
      </c>
      <c r="Z39" s="2"/>
      <c r="AA39" s="2" t="s">
        <v>1305</v>
      </c>
      <c r="AB39" s="2" t="s">
        <v>719</v>
      </c>
      <c r="AR39" s="2"/>
      <c r="AS39" s="2" t="s">
        <v>1329</v>
      </c>
      <c r="AT39" s="2" t="s">
        <v>440</v>
      </c>
      <c r="AX39" s="2"/>
      <c r="AY39" s="2" t="s">
        <v>1111</v>
      </c>
      <c r="AZ39" s="2" t="s">
        <v>756</v>
      </c>
      <c r="BD39" s="2"/>
      <c r="BE39" s="2" t="s">
        <v>1135</v>
      </c>
      <c r="BF39" s="2" t="s">
        <v>661</v>
      </c>
      <c r="BJ39" s="2"/>
      <c r="BK39" s="2" t="s">
        <v>1138</v>
      </c>
      <c r="BL39" s="2" t="s">
        <v>349</v>
      </c>
      <c r="BP39" s="2"/>
      <c r="BQ39" s="2" t="s">
        <v>105</v>
      </c>
      <c r="BR39" s="2" t="s">
        <v>368</v>
      </c>
      <c r="BV39" s="2"/>
      <c r="BW39" s="2" t="s">
        <v>1060</v>
      </c>
      <c r="BX39" s="2" t="s">
        <v>1029</v>
      </c>
    </row>
    <row r="40" spans="14:76" x14ac:dyDescent="0.3">
      <c r="T40" s="2"/>
      <c r="U40" s="2" t="s">
        <v>477</v>
      </c>
      <c r="V40" s="2" t="s">
        <v>478</v>
      </c>
      <c r="Z40" s="2"/>
      <c r="AA40" s="2" t="s">
        <v>1331</v>
      </c>
      <c r="AB40" s="2"/>
      <c r="AR40" s="2"/>
      <c r="AS40" s="2" t="s">
        <v>1054</v>
      </c>
      <c r="AT40" s="2" t="s">
        <v>759</v>
      </c>
      <c r="AX40" s="2"/>
      <c r="AY40" s="2" t="s">
        <v>1124</v>
      </c>
      <c r="AZ40" s="2" t="s">
        <v>534</v>
      </c>
      <c r="BD40" s="2"/>
      <c r="BE40" s="2" t="s">
        <v>1143</v>
      </c>
      <c r="BF40" s="2" t="s">
        <v>468</v>
      </c>
      <c r="BJ40" s="2"/>
      <c r="BK40" s="2" t="s">
        <v>834</v>
      </c>
      <c r="BL40" s="2" t="s">
        <v>835</v>
      </c>
      <c r="BP40" s="2"/>
      <c r="BQ40" s="2" t="s">
        <v>1306</v>
      </c>
      <c r="BR40" s="2" t="s">
        <v>772</v>
      </c>
      <c r="BV40" s="2"/>
      <c r="BW40" s="2" t="s">
        <v>411</v>
      </c>
      <c r="BX40" s="2" t="s">
        <v>412</v>
      </c>
    </row>
    <row r="41" spans="14:76" x14ac:dyDescent="0.3">
      <c r="T41" s="2"/>
      <c r="U41" s="2" t="s">
        <v>479</v>
      </c>
      <c r="V41" s="2" t="s">
        <v>480</v>
      </c>
      <c r="AR41" s="2"/>
      <c r="AS41" s="2" t="s">
        <v>1057</v>
      </c>
      <c r="AT41" s="2" t="s">
        <v>625</v>
      </c>
      <c r="AX41" s="2"/>
      <c r="AY41" s="2" t="s">
        <v>1109</v>
      </c>
      <c r="AZ41" s="2" t="s">
        <v>673</v>
      </c>
      <c r="BD41" s="2"/>
      <c r="BE41" s="2" t="s">
        <v>1137</v>
      </c>
      <c r="BF41" s="2" t="s">
        <v>398</v>
      </c>
      <c r="BJ41" s="2"/>
      <c r="BK41" s="2" t="s">
        <v>1135</v>
      </c>
      <c r="BL41" s="2" t="s">
        <v>661</v>
      </c>
      <c r="BP41" s="2"/>
      <c r="BQ41" s="2" t="s">
        <v>1307</v>
      </c>
      <c r="BR41" s="2" t="s">
        <v>488</v>
      </c>
      <c r="BV41" s="2"/>
      <c r="BW41" s="2" t="s">
        <v>828</v>
      </c>
      <c r="BX41" s="2" t="s">
        <v>829</v>
      </c>
    </row>
    <row r="42" spans="14:76" x14ac:dyDescent="0.3">
      <c r="T42" s="2"/>
      <c r="U42" s="2" t="s">
        <v>471</v>
      </c>
      <c r="V42" s="2" t="s">
        <v>472</v>
      </c>
      <c r="AR42" s="2"/>
      <c r="AS42" s="2" t="s">
        <v>245</v>
      </c>
      <c r="AT42" s="2" t="s">
        <v>439</v>
      </c>
      <c r="AX42" s="2"/>
      <c r="AY42" s="2" t="s">
        <v>1119</v>
      </c>
      <c r="AZ42" s="2" t="s">
        <v>417</v>
      </c>
      <c r="BD42" s="2"/>
      <c r="BE42" s="2" t="s">
        <v>97</v>
      </c>
      <c r="BF42" s="2" t="s">
        <v>504</v>
      </c>
      <c r="BJ42" s="2"/>
      <c r="BK42" s="2" t="s">
        <v>1133</v>
      </c>
      <c r="BL42" s="2" t="s">
        <v>493</v>
      </c>
      <c r="BP42" s="2"/>
      <c r="BQ42" s="2" t="s">
        <v>1308</v>
      </c>
      <c r="BR42" s="2" t="s">
        <v>615</v>
      </c>
      <c r="BV42" s="2"/>
      <c r="BW42" s="2" t="s">
        <v>1309</v>
      </c>
      <c r="BX42" s="2" t="s">
        <v>723</v>
      </c>
    </row>
    <row r="43" spans="14:76" x14ac:dyDescent="0.3">
      <c r="T43" s="2"/>
      <c r="U43" s="2" t="s">
        <v>1053</v>
      </c>
      <c r="V43" s="2" t="s">
        <v>323</v>
      </c>
      <c r="AR43" s="2"/>
      <c r="AS43" s="2" t="s">
        <v>1291</v>
      </c>
      <c r="AT43" s="2" t="s">
        <v>540</v>
      </c>
      <c r="AX43" s="2"/>
      <c r="AY43" s="2" t="s">
        <v>1329</v>
      </c>
      <c r="AZ43" s="2" t="s">
        <v>440</v>
      </c>
      <c r="BD43" s="2"/>
      <c r="BE43" s="2" t="s">
        <v>1117</v>
      </c>
      <c r="BF43" s="2" t="s">
        <v>521</v>
      </c>
      <c r="BJ43" s="2"/>
      <c r="BK43" s="2" t="s">
        <v>1132</v>
      </c>
      <c r="BL43" s="2" t="s">
        <v>588</v>
      </c>
      <c r="BP43" s="2"/>
      <c r="BQ43" s="2" t="s">
        <v>1310</v>
      </c>
      <c r="BR43" s="2" t="s">
        <v>394</v>
      </c>
      <c r="BV43" s="2"/>
      <c r="BW43" s="2" t="s">
        <v>720</v>
      </c>
      <c r="BX43" s="2" t="s">
        <v>721</v>
      </c>
    </row>
    <row r="44" spans="14:76" x14ac:dyDescent="0.3">
      <c r="T44" s="2"/>
      <c r="U44" s="2" t="s">
        <v>1300</v>
      </c>
      <c r="V44" s="2" t="s">
        <v>573</v>
      </c>
      <c r="AR44" s="2"/>
      <c r="AS44" s="2" t="s">
        <v>1332</v>
      </c>
      <c r="AT44" s="2"/>
      <c r="AX44" s="2"/>
      <c r="AY44" s="2" t="s">
        <v>1055</v>
      </c>
      <c r="AZ44" s="2" t="s">
        <v>991</v>
      </c>
      <c r="BD44" s="2"/>
      <c r="BE44" s="2" t="s">
        <v>1311</v>
      </c>
      <c r="BF44" s="2" t="s">
        <v>671</v>
      </c>
      <c r="BJ44" s="2"/>
      <c r="BK44" s="2" t="s">
        <v>168</v>
      </c>
      <c r="BL44" s="2" t="s">
        <v>502</v>
      </c>
      <c r="BP44" s="2"/>
      <c r="BQ44" s="2" t="s">
        <v>1312</v>
      </c>
      <c r="BR44" s="2" t="s">
        <v>660</v>
      </c>
      <c r="BV44" s="2"/>
      <c r="BW44" s="2" t="s">
        <v>1307</v>
      </c>
      <c r="BX44" s="2" t="s">
        <v>488</v>
      </c>
    </row>
    <row r="45" spans="14:76" x14ac:dyDescent="0.3">
      <c r="T45" s="2"/>
      <c r="U45" s="2" t="s">
        <v>1278</v>
      </c>
      <c r="V45" s="2" t="s">
        <v>596</v>
      </c>
      <c r="AX45" s="2"/>
      <c r="AY45" s="2" t="s">
        <v>1058</v>
      </c>
      <c r="AZ45" s="2" t="s">
        <v>556</v>
      </c>
      <c r="BD45" s="2"/>
      <c r="BE45" s="2" t="s">
        <v>1111</v>
      </c>
      <c r="BF45" s="2" t="s">
        <v>756</v>
      </c>
      <c r="BJ45" s="2"/>
      <c r="BK45" s="2" t="s">
        <v>97</v>
      </c>
      <c r="BL45" s="2" t="s">
        <v>504</v>
      </c>
      <c r="BP45" s="2"/>
      <c r="BQ45" s="2" t="s">
        <v>335</v>
      </c>
      <c r="BR45" s="2" t="s">
        <v>337</v>
      </c>
      <c r="BV45" s="2"/>
      <c r="BW45" s="2" t="s">
        <v>1313</v>
      </c>
      <c r="BX45" s="2" t="s">
        <v>737</v>
      </c>
    </row>
    <row r="46" spans="14:76" x14ac:dyDescent="0.3">
      <c r="AX46" s="2"/>
      <c r="AY46" s="2" t="s">
        <v>197</v>
      </c>
      <c r="AZ46" s="2" t="s">
        <v>518</v>
      </c>
      <c r="BD46" s="2"/>
      <c r="BE46" s="2" t="s">
        <v>1109</v>
      </c>
      <c r="BF46" s="2" t="s">
        <v>673</v>
      </c>
      <c r="BJ46" s="2"/>
      <c r="BK46" s="2" t="s">
        <v>1311</v>
      </c>
      <c r="BL46" s="2" t="s">
        <v>671</v>
      </c>
      <c r="BP46" s="2"/>
      <c r="BQ46" s="2" t="s">
        <v>1338</v>
      </c>
      <c r="BR46" s="2" t="s">
        <v>435</v>
      </c>
      <c r="BV46" s="2"/>
      <c r="BW46" s="2" t="s">
        <v>1308</v>
      </c>
      <c r="BX46" s="2" t="s">
        <v>615</v>
      </c>
    </row>
    <row r="47" spans="14:76" x14ac:dyDescent="0.3">
      <c r="AX47" s="2"/>
      <c r="AY47" s="2" t="s">
        <v>1054</v>
      </c>
      <c r="AZ47" s="2" t="s">
        <v>759</v>
      </c>
      <c r="BD47" s="2"/>
      <c r="BE47" s="2" t="s">
        <v>644</v>
      </c>
      <c r="BF47" s="2" t="s">
        <v>645</v>
      </c>
      <c r="BJ47" s="2"/>
      <c r="BK47" s="2" t="s">
        <v>491</v>
      </c>
      <c r="BL47" s="2" t="s">
        <v>492</v>
      </c>
      <c r="BP47" s="2"/>
      <c r="BQ47" s="2" t="s">
        <v>1940</v>
      </c>
      <c r="BR47" s="2" t="s">
        <v>1941</v>
      </c>
      <c r="BV47" s="2"/>
      <c r="BW47" s="2" t="s">
        <v>1314</v>
      </c>
      <c r="BX47" s="2" t="s">
        <v>717</v>
      </c>
    </row>
    <row r="48" spans="14:76" x14ac:dyDescent="0.3">
      <c r="AX48" s="2"/>
      <c r="AY48" s="2" t="s">
        <v>1057</v>
      </c>
      <c r="AZ48" s="2" t="s">
        <v>625</v>
      </c>
      <c r="BD48" s="2"/>
      <c r="BE48" s="2" t="s">
        <v>207</v>
      </c>
      <c r="BF48" s="2" t="s">
        <v>425</v>
      </c>
      <c r="BJ48" s="2"/>
      <c r="BK48" s="2" t="s">
        <v>1303</v>
      </c>
      <c r="BL48" s="2" t="s">
        <v>699</v>
      </c>
      <c r="BV48" s="2"/>
      <c r="BW48" s="2" t="s">
        <v>1338</v>
      </c>
      <c r="BX48" s="2" t="s">
        <v>435</v>
      </c>
    </row>
    <row r="49" spans="50:64" x14ac:dyDescent="0.3">
      <c r="AX49" s="2"/>
      <c r="AY49" s="2" t="s">
        <v>245</v>
      </c>
      <c r="AZ49" s="2" t="s">
        <v>439</v>
      </c>
      <c r="BD49" s="2"/>
      <c r="BE49" s="2" t="s">
        <v>1128</v>
      </c>
      <c r="BF49" s="2" t="s">
        <v>992</v>
      </c>
      <c r="BJ49" s="2"/>
      <c r="BK49" s="2" t="s">
        <v>1062</v>
      </c>
      <c r="BL49" s="2" t="s">
        <v>643</v>
      </c>
    </row>
    <row r="50" spans="50:64" x14ac:dyDescent="0.3">
      <c r="AX50" s="2"/>
      <c r="AY50" s="2" t="s">
        <v>1279</v>
      </c>
      <c r="AZ50" s="2" t="s">
        <v>762</v>
      </c>
      <c r="BD50" s="2"/>
      <c r="BE50" s="2" t="s">
        <v>178</v>
      </c>
      <c r="BF50" s="2" t="s">
        <v>712</v>
      </c>
      <c r="BJ50" s="2"/>
      <c r="BK50" s="2" t="s">
        <v>1059</v>
      </c>
      <c r="BL50" s="2" t="s">
        <v>839</v>
      </c>
    </row>
    <row r="51" spans="50:64" x14ac:dyDescent="0.3">
      <c r="AX51" s="2"/>
      <c r="AY51" s="2" t="s">
        <v>1315</v>
      </c>
      <c r="AZ51" s="2" t="s">
        <v>1283</v>
      </c>
      <c r="BD51" s="2"/>
      <c r="BE51" s="2" t="s">
        <v>1280</v>
      </c>
      <c r="BF51" s="2" t="s">
        <v>600</v>
      </c>
      <c r="BJ51" s="2"/>
      <c r="BK51" s="2" t="s">
        <v>137</v>
      </c>
      <c r="BL51" s="2" t="s">
        <v>485</v>
      </c>
    </row>
    <row r="52" spans="50:64" x14ac:dyDescent="0.3">
      <c r="AX52" s="2"/>
      <c r="AY52" s="2" t="s">
        <v>1316</v>
      </c>
      <c r="AZ52" s="2" t="s">
        <v>1283</v>
      </c>
      <c r="BD52" s="2"/>
      <c r="BE52" s="2" t="s">
        <v>1303</v>
      </c>
      <c r="BF52" s="2" t="s">
        <v>699</v>
      </c>
      <c r="BJ52" s="2"/>
      <c r="BK52" s="2" t="s">
        <v>845</v>
      </c>
      <c r="BL52" s="2" t="s">
        <v>846</v>
      </c>
    </row>
    <row r="53" spans="50:64" x14ac:dyDescent="0.3">
      <c r="AX53" s="2"/>
      <c r="AY53" s="2" t="s">
        <v>153</v>
      </c>
      <c r="AZ53" s="2" t="s">
        <v>663</v>
      </c>
      <c r="BD53" s="2"/>
      <c r="BE53" s="2" t="s">
        <v>1062</v>
      </c>
      <c r="BF53" s="2" t="s">
        <v>643</v>
      </c>
      <c r="BJ53" s="2"/>
      <c r="BK53" s="2" t="s">
        <v>1306</v>
      </c>
      <c r="BL53" s="2" t="s">
        <v>772</v>
      </c>
    </row>
    <row r="54" spans="50:64" x14ac:dyDescent="0.3">
      <c r="AX54" s="2"/>
      <c r="AY54" s="2" t="s">
        <v>535</v>
      </c>
      <c r="AZ54" s="2" t="s">
        <v>536</v>
      </c>
      <c r="BD54" s="2"/>
      <c r="BE54" s="2" t="s">
        <v>1059</v>
      </c>
      <c r="BF54" s="2" t="s">
        <v>839</v>
      </c>
      <c r="BJ54" s="2"/>
      <c r="BK54" s="2" t="s">
        <v>142</v>
      </c>
      <c r="BL54" s="2" t="s">
        <v>743</v>
      </c>
    </row>
    <row r="55" spans="50:64" x14ac:dyDescent="0.3">
      <c r="AX55" s="2"/>
      <c r="AY55" s="2" t="s">
        <v>1317</v>
      </c>
      <c r="AZ55" s="2" t="s">
        <v>384</v>
      </c>
      <c r="BD55" s="2"/>
      <c r="BE55" s="2" t="s">
        <v>982</v>
      </c>
      <c r="BF55" s="2" t="s">
        <v>983</v>
      </c>
      <c r="BJ55" s="2"/>
      <c r="BK55" s="2" t="s">
        <v>1310</v>
      </c>
      <c r="BL55" s="2" t="s">
        <v>394</v>
      </c>
    </row>
    <row r="56" spans="50:64" x14ac:dyDescent="0.3">
      <c r="AX56" s="2"/>
      <c r="AY56" s="2" t="s">
        <v>1320</v>
      </c>
      <c r="AZ56" s="2" t="s">
        <v>1321</v>
      </c>
      <c r="BD56" s="2"/>
      <c r="BE56" s="2" t="s">
        <v>1055</v>
      </c>
      <c r="BF56" s="2" t="s">
        <v>991</v>
      </c>
      <c r="BJ56" s="2"/>
      <c r="BK56" s="2" t="s">
        <v>227</v>
      </c>
      <c r="BL56" s="2" t="s">
        <v>1095</v>
      </c>
    </row>
    <row r="57" spans="50:64" x14ac:dyDescent="0.3">
      <c r="AX57" s="2"/>
      <c r="AY57" s="2" t="s">
        <v>626</v>
      </c>
      <c r="AZ57" s="2" t="s">
        <v>627</v>
      </c>
      <c r="BD57" s="2"/>
      <c r="BE57" s="2" t="s">
        <v>1058</v>
      </c>
      <c r="BF57" s="2" t="s">
        <v>556</v>
      </c>
      <c r="BJ57" s="2"/>
      <c r="BK57" s="2" t="s">
        <v>335</v>
      </c>
      <c r="BL57" s="2" t="s">
        <v>337</v>
      </c>
    </row>
    <row r="58" spans="50:64" x14ac:dyDescent="0.3">
      <c r="AX58" s="2"/>
      <c r="AY58" s="2" t="s">
        <v>1330</v>
      </c>
      <c r="AZ58" s="2" t="s">
        <v>1327</v>
      </c>
      <c r="BD58" s="2"/>
      <c r="BE58" s="2" t="s">
        <v>1057</v>
      </c>
      <c r="BF58" s="2" t="s">
        <v>625</v>
      </c>
      <c r="BJ58" s="2"/>
      <c r="BK58" s="2" t="s">
        <v>1318</v>
      </c>
      <c r="BL58" s="2" t="s">
        <v>1319</v>
      </c>
    </row>
    <row r="59" spans="50:64" x14ac:dyDescent="0.3">
      <c r="AX59" s="2"/>
      <c r="AY59" s="2" t="s">
        <v>1339</v>
      </c>
      <c r="AZ59" s="2" t="s">
        <v>1149</v>
      </c>
      <c r="BD59" s="2"/>
      <c r="BE59" s="2" t="s">
        <v>1279</v>
      </c>
      <c r="BF59" s="2" t="s">
        <v>762</v>
      </c>
      <c r="BJ59" s="2"/>
      <c r="BK59" s="2" t="s">
        <v>1333</v>
      </c>
      <c r="BL59" s="2"/>
    </row>
    <row r="60" spans="50:64" x14ac:dyDescent="0.3">
      <c r="BD60" s="2"/>
      <c r="BE60" s="2" t="s">
        <v>1212</v>
      </c>
      <c r="BF60" s="2" t="s">
        <v>1181</v>
      </c>
      <c r="BJ60" s="2"/>
      <c r="BK60" s="2" t="s">
        <v>1334</v>
      </c>
      <c r="BL60" s="2"/>
    </row>
    <row r="61" spans="50:64" x14ac:dyDescent="0.3">
      <c r="BD61" s="2"/>
      <c r="BE61" s="2" t="s">
        <v>1322</v>
      </c>
      <c r="BF61" s="2" t="s">
        <v>531</v>
      </c>
      <c r="BJ61" s="2"/>
      <c r="BK61" s="2" t="s">
        <v>269</v>
      </c>
      <c r="BL61" s="2" t="s">
        <v>715</v>
      </c>
    </row>
    <row r="62" spans="50:64" x14ac:dyDescent="0.3">
      <c r="BD62" s="2"/>
      <c r="BE62" s="2" t="s">
        <v>229</v>
      </c>
      <c r="BF62" s="2" t="s">
        <v>533</v>
      </c>
    </row>
    <row r="63" spans="50:64" x14ac:dyDescent="0.3">
      <c r="BD63" s="2"/>
      <c r="BE63" s="2" t="s">
        <v>142</v>
      </c>
      <c r="BF63" s="2" t="s">
        <v>743</v>
      </c>
    </row>
    <row r="64" spans="50:64" x14ac:dyDescent="0.3">
      <c r="BD64" s="2"/>
      <c r="BE64" s="2" t="s">
        <v>1323</v>
      </c>
      <c r="BF64" s="2" t="s">
        <v>678</v>
      </c>
    </row>
    <row r="65" spans="56:58" x14ac:dyDescent="0.3">
      <c r="BD65" s="2"/>
      <c r="BE65" s="2" t="s">
        <v>1310</v>
      </c>
      <c r="BF65" s="2" t="s">
        <v>394</v>
      </c>
    </row>
    <row r="66" spans="56:58" x14ac:dyDescent="0.3">
      <c r="BD66" s="2"/>
      <c r="BE66" s="2" t="s">
        <v>1317</v>
      </c>
      <c r="BF66" s="2" t="s">
        <v>384</v>
      </c>
    </row>
    <row r="67" spans="56:58" x14ac:dyDescent="0.3">
      <c r="BD67" s="2"/>
      <c r="BE67" s="2" t="s">
        <v>1324</v>
      </c>
      <c r="BF67" s="2" t="s">
        <v>750</v>
      </c>
    </row>
    <row r="68" spans="56:58" x14ac:dyDescent="0.3">
      <c r="BD68" s="2"/>
      <c r="BE68" s="2" t="s">
        <v>1325</v>
      </c>
      <c r="BF68" s="2" t="s">
        <v>783</v>
      </c>
    </row>
    <row r="69" spans="56:58" x14ac:dyDescent="0.3">
      <c r="BD69" s="2"/>
      <c r="BE69" s="2" t="s">
        <v>1335</v>
      </c>
      <c r="BF69" s="2"/>
    </row>
    <row r="70" spans="56:58" x14ac:dyDescent="0.3">
      <c r="BD70" s="2"/>
      <c r="BE70" s="2" t="s">
        <v>1336</v>
      </c>
      <c r="BF70" s="2"/>
    </row>
    <row r="71" spans="56:58" x14ac:dyDescent="0.3">
      <c r="BD71" s="2"/>
      <c r="BE71" s="2" t="s">
        <v>269</v>
      </c>
      <c r="BF71" s="2" t="s">
        <v>715</v>
      </c>
    </row>
    <row r="72" spans="56:58" x14ac:dyDescent="0.3">
      <c r="BD72" s="2"/>
      <c r="BE72" s="2" t="s">
        <v>1942</v>
      </c>
      <c r="BF72" s="2" t="s">
        <v>791</v>
      </c>
    </row>
    <row r="73" spans="56:58" x14ac:dyDescent="0.3">
      <c r="BD73" s="2"/>
      <c r="BE73" s="2" t="s">
        <v>1943</v>
      </c>
      <c r="BF73" s="2" t="s">
        <v>792</v>
      </c>
    </row>
  </sheetData>
  <mergeCells count="13">
    <mergeCell ref="BV2:BX2"/>
    <mergeCell ref="AL2:AN2"/>
    <mergeCell ref="AR2:AT2"/>
    <mergeCell ref="AX2:AZ2"/>
    <mergeCell ref="BD2:BF2"/>
    <mergeCell ref="BJ2:BL2"/>
    <mergeCell ref="BP2:BR2"/>
    <mergeCell ref="AF2:AH2"/>
    <mergeCell ref="B2:D2"/>
    <mergeCell ref="H2:J2"/>
    <mergeCell ref="N2:P2"/>
    <mergeCell ref="T2:V2"/>
    <mergeCell ref="Z2:AB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294" r:id="rId3" name="SwapButton">
              <controlPr defaultSize="0" print="0" autoFill="0" autoPict="0" macro="[0]!Swap_Players">
                <anchor moveWithCells="1" sizeWithCells="1">
                  <from>
                    <xdr:col>0</xdr:col>
                    <xdr:colOff>0</xdr:colOff>
                    <xdr:row>1</xdr:row>
                    <xdr:rowOff>0</xdr:rowOff>
                  </from>
                  <to>
                    <xdr:col>0</xdr:col>
                    <xdr:colOff>1013460</xdr:colOff>
                    <xdr:row>2</xdr:row>
                    <xdr:rowOff>68580</xdr:rowOff>
                  </to>
                </anchor>
              </controlPr>
            </control>
          </mc:Choice>
        </mc:AlternateContent>
        <mc:AlternateContent xmlns:mc="http://schemas.openxmlformats.org/markup-compatibility/2006">
          <mc:Choice Requires="x14">
            <control shapeId="309295" r:id="rId4" name="ShuffleButton">
              <controlPr defaultSize="0" print="0" autoFill="0" autoPict="0" macro="[0]!Shuffle_Selected_Rows_Click">
                <anchor moveWithCells="1" sizeWithCells="1">
                  <from>
                    <xdr:col>0</xdr:col>
                    <xdr:colOff>0</xdr:colOff>
                    <xdr:row>3</xdr:row>
                    <xdr:rowOff>0</xdr:rowOff>
                  </from>
                  <to>
                    <xdr:col>0</xdr:col>
                    <xdr:colOff>1013460</xdr:colOff>
                    <xdr:row>4</xdr:row>
                    <xdr:rowOff>68580</xdr:rowOff>
                  </to>
                </anchor>
              </controlPr>
            </control>
          </mc:Choice>
        </mc:AlternateContent>
        <mc:AlternateContent xmlns:mc="http://schemas.openxmlformats.org/markup-compatibility/2006">
          <mc:Choice Requires="x14">
            <control shapeId="309296" r:id="rId5" name="sortButton">
              <controlPr defaultSize="0" print="0" autoFill="0" autoPict="0" macro="[0]!SortPlayerEntriesByRank">
                <anchor moveWithCells="1" sizeWithCells="1">
                  <from>
                    <xdr:col>0</xdr:col>
                    <xdr:colOff>0</xdr:colOff>
                    <xdr:row>5</xdr:row>
                    <xdr:rowOff>0</xdr:rowOff>
                  </from>
                  <to>
                    <xdr:col>0</xdr:col>
                    <xdr:colOff>1013460</xdr:colOff>
                    <xdr:row>6</xdr:row>
                    <xdr:rowOff>68580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880</vt:i4>
      </vt:variant>
    </vt:vector>
  </HeadingPairs>
  <TitlesOfParts>
    <vt:vector size="897" baseType="lpstr">
      <vt:lpstr>Draw</vt:lpstr>
      <vt:lpstr>Group Stage</vt:lpstr>
      <vt:lpstr>Qualifiers</vt:lpstr>
      <vt:lpstr>Bracket</vt:lpstr>
      <vt:lpstr>PBracket</vt:lpstr>
      <vt:lpstr>Merit List</vt:lpstr>
      <vt:lpstr>Matches</vt:lpstr>
      <vt:lpstr>Final Seeding</vt:lpstr>
      <vt:lpstr>Participants</vt:lpstr>
      <vt:lpstr>ScoreSheetTemplate</vt:lpstr>
      <vt:lpstr>PlayerEntries</vt:lpstr>
      <vt:lpstr>ScoreSheets</vt:lpstr>
      <vt:lpstr>General Inputs</vt:lpstr>
      <vt:lpstr>TODO</vt:lpstr>
      <vt:lpstr>iDSTTAData</vt:lpstr>
      <vt:lpstr>iRanking</vt:lpstr>
      <vt:lpstr>iTournamentEntries</vt:lpstr>
      <vt:lpstr>iDSTTAData!ExternalData_1</vt:lpstr>
      <vt:lpstr>iRanking!ExternalData_1</vt:lpstr>
      <vt:lpstr>iTournamentEntries!ExternalData_1</vt:lpstr>
      <vt:lpstr>PlayerEntries!ExternalData_1</vt:lpstr>
      <vt:lpstr>iDSTTAData!ExternalData_10</vt:lpstr>
      <vt:lpstr>iRanking!ExternalData_10</vt:lpstr>
      <vt:lpstr>iTournamentEntries!ExternalData_10</vt:lpstr>
      <vt:lpstr>PlayerEntries!ExternalData_10</vt:lpstr>
      <vt:lpstr>iDSTTAData!ExternalData_11</vt:lpstr>
      <vt:lpstr>iRanking!ExternalData_11</vt:lpstr>
      <vt:lpstr>iTournamentEntries!ExternalData_11</vt:lpstr>
      <vt:lpstr>PlayerEntries!ExternalData_11</vt:lpstr>
      <vt:lpstr>iDSTTAData!ExternalData_12</vt:lpstr>
      <vt:lpstr>iRanking!ExternalData_12</vt:lpstr>
      <vt:lpstr>iTournamentEntries!ExternalData_12</vt:lpstr>
      <vt:lpstr>PlayerEntries!ExternalData_12</vt:lpstr>
      <vt:lpstr>iDSTTAData!ExternalData_13</vt:lpstr>
      <vt:lpstr>iRanking!ExternalData_13</vt:lpstr>
      <vt:lpstr>iTournamentEntries!ExternalData_13</vt:lpstr>
      <vt:lpstr>PlayerEntries!ExternalData_13</vt:lpstr>
      <vt:lpstr>iDSTTAData!ExternalData_14</vt:lpstr>
      <vt:lpstr>iRanking!ExternalData_14</vt:lpstr>
      <vt:lpstr>iTournamentEntries!ExternalData_14</vt:lpstr>
      <vt:lpstr>PlayerEntries!ExternalData_14</vt:lpstr>
      <vt:lpstr>iDSTTAData!ExternalData_15</vt:lpstr>
      <vt:lpstr>iRanking!ExternalData_15</vt:lpstr>
      <vt:lpstr>iTournamentEntries!ExternalData_15</vt:lpstr>
      <vt:lpstr>PlayerEntries!ExternalData_15</vt:lpstr>
      <vt:lpstr>iDSTTAData!ExternalData_16</vt:lpstr>
      <vt:lpstr>iRanking!ExternalData_16</vt:lpstr>
      <vt:lpstr>iTournamentEntries!ExternalData_16</vt:lpstr>
      <vt:lpstr>PlayerEntries!ExternalData_16</vt:lpstr>
      <vt:lpstr>iDSTTAData!ExternalData_17</vt:lpstr>
      <vt:lpstr>iRanking!ExternalData_17</vt:lpstr>
      <vt:lpstr>iDSTTAData!ExternalData_18</vt:lpstr>
      <vt:lpstr>iRanking!ExternalData_18</vt:lpstr>
      <vt:lpstr>iDSTTAData!ExternalData_19</vt:lpstr>
      <vt:lpstr>iRanking!ExternalData_19</vt:lpstr>
      <vt:lpstr>iDSTTAData!ExternalData_2</vt:lpstr>
      <vt:lpstr>iRanking!ExternalData_2</vt:lpstr>
      <vt:lpstr>iTournamentEntries!ExternalData_2</vt:lpstr>
      <vt:lpstr>PlayerEntries!ExternalData_2</vt:lpstr>
      <vt:lpstr>iDSTTAData!ExternalData_20</vt:lpstr>
      <vt:lpstr>iRanking!ExternalData_20</vt:lpstr>
      <vt:lpstr>iDSTTAData!ExternalData_21</vt:lpstr>
      <vt:lpstr>iRanking!ExternalData_21</vt:lpstr>
      <vt:lpstr>iDSTTAData!ExternalData_22</vt:lpstr>
      <vt:lpstr>iRanking!ExternalData_22</vt:lpstr>
      <vt:lpstr>iDSTTAData!ExternalData_23</vt:lpstr>
      <vt:lpstr>iRanking!ExternalData_23</vt:lpstr>
      <vt:lpstr>iDSTTAData!ExternalData_24</vt:lpstr>
      <vt:lpstr>iRanking!ExternalData_24</vt:lpstr>
      <vt:lpstr>iDSTTAData!ExternalData_25</vt:lpstr>
      <vt:lpstr>iRanking!ExternalData_25</vt:lpstr>
      <vt:lpstr>PlayerEntries!ExternalData_2518</vt:lpstr>
      <vt:lpstr>PlayerEntries!ExternalData_2519</vt:lpstr>
      <vt:lpstr>PlayerEntries!ExternalData_2520</vt:lpstr>
      <vt:lpstr>PlayerEntries!ExternalData_2521</vt:lpstr>
      <vt:lpstr>PlayerEntries!ExternalData_2522</vt:lpstr>
      <vt:lpstr>PlayerEntries!ExternalData_2523</vt:lpstr>
      <vt:lpstr>PlayerEntries!ExternalData_2524</vt:lpstr>
      <vt:lpstr>PlayerEntries!ExternalData_2525</vt:lpstr>
      <vt:lpstr>PlayerEntries!ExternalData_2526</vt:lpstr>
      <vt:lpstr>PlayerEntries!ExternalData_2527</vt:lpstr>
      <vt:lpstr>PlayerEntries!ExternalData_2528</vt:lpstr>
      <vt:lpstr>PlayerEntries!ExternalData_2529</vt:lpstr>
      <vt:lpstr>PlayerEntries!ExternalData_2530</vt:lpstr>
      <vt:lpstr>PlayerEntries!ExternalData_2531</vt:lpstr>
      <vt:lpstr>PlayerEntries!ExternalData_2532</vt:lpstr>
      <vt:lpstr>PlayerEntries!ExternalData_2533</vt:lpstr>
      <vt:lpstr>PlayerEntries!ExternalData_2534</vt:lpstr>
      <vt:lpstr>PlayerEntries!ExternalData_2535</vt:lpstr>
      <vt:lpstr>PlayerEntries!ExternalData_2536</vt:lpstr>
      <vt:lpstr>PlayerEntries!ExternalData_2537</vt:lpstr>
      <vt:lpstr>PlayerEntries!ExternalData_2538</vt:lpstr>
      <vt:lpstr>PlayerEntries!ExternalData_2539</vt:lpstr>
      <vt:lpstr>PlayerEntries!ExternalData_2540</vt:lpstr>
      <vt:lpstr>PlayerEntries!ExternalData_2541</vt:lpstr>
      <vt:lpstr>PlayerEntries!ExternalData_2542</vt:lpstr>
      <vt:lpstr>PlayerEntries!ExternalData_2543</vt:lpstr>
      <vt:lpstr>PlayerEntries!ExternalData_2544</vt:lpstr>
      <vt:lpstr>PlayerEntries!ExternalData_2545</vt:lpstr>
      <vt:lpstr>PlayerEntries!ExternalData_2546</vt:lpstr>
      <vt:lpstr>PlayerEntries!ExternalData_2547</vt:lpstr>
      <vt:lpstr>PlayerEntries!ExternalData_2548</vt:lpstr>
      <vt:lpstr>PlayerEntries!ExternalData_2549</vt:lpstr>
      <vt:lpstr>PlayerEntries!ExternalData_2550</vt:lpstr>
      <vt:lpstr>PlayerEntries!ExternalData_2551</vt:lpstr>
      <vt:lpstr>PlayerEntries!ExternalData_2552</vt:lpstr>
      <vt:lpstr>PlayerEntries!ExternalData_2553</vt:lpstr>
      <vt:lpstr>PlayerEntries!ExternalData_2554</vt:lpstr>
      <vt:lpstr>PlayerEntries!ExternalData_2555</vt:lpstr>
      <vt:lpstr>PlayerEntries!ExternalData_2556</vt:lpstr>
      <vt:lpstr>PlayerEntries!ExternalData_2557</vt:lpstr>
      <vt:lpstr>PlayerEntries!ExternalData_2558</vt:lpstr>
      <vt:lpstr>PlayerEntries!ExternalData_2559</vt:lpstr>
      <vt:lpstr>PlayerEntries!ExternalData_2560</vt:lpstr>
      <vt:lpstr>PlayerEntries!ExternalData_2561</vt:lpstr>
      <vt:lpstr>PlayerEntries!ExternalData_2562</vt:lpstr>
      <vt:lpstr>PlayerEntries!ExternalData_2563</vt:lpstr>
      <vt:lpstr>PlayerEntries!ExternalData_2564</vt:lpstr>
      <vt:lpstr>PlayerEntries!ExternalData_2565</vt:lpstr>
      <vt:lpstr>PlayerEntries!ExternalData_2566</vt:lpstr>
      <vt:lpstr>PlayerEntries!ExternalData_2567</vt:lpstr>
      <vt:lpstr>PlayerEntries!ExternalData_2568</vt:lpstr>
      <vt:lpstr>PlayerEntries!ExternalData_2569</vt:lpstr>
      <vt:lpstr>PlayerEntries!ExternalData_2570</vt:lpstr>
      <vt:lpstr>PlayerEntries!ExternalData_2571</vt:lpstr>
      <vt:lpstr>PlayerEntries!ExternalData_2572</vt:lpstr>
      <vt:lpstr>PlayerEntries!ExternalData_2573</vt:lpstr>
      <vt:lpstr>PlayerEntries!ExternalData_2574</vt:lpstr>
      <vt:lpstr>PlayerEntries!ExternalData_2575</vt:lpstr>
      <vt:lpstr>PlayerEntries!ExternalData_2576</vt:lpstr>
      <vt:lpstr>PlayerEntries!ExternalData_2577</vt:lpstr>
      <vt:lpstr>PlayerEntries!ExternalData_2578</vt:lpstr>
      <vt:lpstr>PlayerEntries!ExternalData_2579</vt:lpstr>
      <vt:lpstr>PlayerEntries!ExternalData_2580</vt:lpstr>
      <vt:lpstr>PlayerEntries!ExternalData_2581</vt:lpstr>
      <vt:lpstr>PlayerEntries!ExternalData_2582</vt:lpstr>
      <vt:lpstr>PlayerEntries!ExternalData_2583</vt:lpstr>
      <vt:lpstr>PlayerEntries!ExternalData_2584</vt:lpstr>
      <vt:lpstr>PlayerEntries!ExternalData_2585</vt:lpstr>
      <vt:lpstr>PlayerEntries!ExternalData_2586</vt:lpstr>
      <vt:lpstr>PlayerEntries!ExternalData_2587</vt:lpstr>
      <vt:lpstr>PlayerEntries!ExternalData_2588</vt:lpstr>
      <vt:lpstr>PlayerEntries!ExternalData_2589</vt:lpstr>
      <vt:lpstr>PlayerEntries!ExternalData_2590</vt:lpstr>
      <vt:lpstr>PlayerEntries!ExternalData_2591</vt:lpstr>
      <vt:lpstr>PlayerEntries!ExternalData_2592</vt:lpstr>
      <vt:lpstr>PlayerEntries!ExternalData_2593</vt:lpstr>
      <vt:lpstr>PlayerEntries!ExternalData_2594</vt:lpstr>
      <vt:lpstr>PlayerEntries!ExternalData_2595</vt:lpstr>
      <vt:lpstr>PlayerEntries!ExternalData_2596</vt:lpstr>
      <vt:lpstr>PlayerEntries!ExternalData_2597</vt:lpstr>
      <vt:lpstr>PlayerEntries!ExternalData_2598</vt:lpstr>
      <vt:lpstr>PlayerEntries!ExternalData_2599</vt:lpstr>
      <vt:lpstr>iDSTTAData!ExternalData_26</vt:lpstr>
      <vt:lpstr>iRanking!ExternalData_26</vt:lpstr>
      <vt:lpstr>PlayerEntries!ExternalData_2600</vt:lpstr>
      <vt:lpstr>PlayerEntries!ExternalData_2601</vt:lpstr>
      <vt:lpstr>PlayerEntries!ExternalData_2602</vt:lpstr>
      <vt:lpstr>PlayerEntries!ExternalData_2603</vt:lpstr>
      <vt:lpstr>PlayerEntries!ExternalData_2604</vt:lpstr>
      <vt:lpstr>PlayerEntries!ExternalData_2605</vt:lpstr>
      <vt:lpstr>PlayerEntries!ExternalData_2606</vt:lpstr>
      <vt:lpstr>PlayerEntries!ExternalData_2607</vt:lpstr>
      <vt:lpstr>PlayerEntries!ExternalData_2608</vt:lpstr>
      <vt:lpstr>PlayerEntries!ExternalData_2609</vt:lpstr>
      <vt:lpstr>PlayerEntries!ExternalData_2610</vt:lpstr>
      <vt:lpstr>PlayerEntries!ExternalData_2611</vt:lpstr>
      <vt:lpstr>PlayerEntries!ExternalData_2612</vt:lpstr>
      <vt:lpstr>PlayerEntries!ExternalData_2613</vt:lpstr>
      <vt:lpstr>PlayerEntries!ExternalData_2614</vt:lpstr>
      <vt:lpstr>PlayerEntries!ExternalData_2615</vt:lpstr>
      <vt:lpstr>PlayerEntries!ExternalData_2616</vt:lpstr>
      <vt:lpstr>PlayerEntries!ExternalData_2617</vt:lpstr>
      <vt:lpstr>PlayerEntries!ExternalData_2618</vt:lpstr>
      <vt:lpstr>PlayerEntries!ExternalData_2619</vt:lpstr>
      <vt:lpstr>PlayerEntries!ExternalData_2620</vt:lpstr>
      <vt:lpstr>PlayerEntries!ExternalData_2621</vt:lpstr>
      <vt:lpstr>PlayerEntries!ExternalData_2622</vt:lpstr>
      <vt:lpstr>PlayerEntries!ExternalData_2623</vt:lpstr>
      <vt:lpstr>PlayerEntries!ExternalData_2624</vt:lpstr>
      <vt:lpstr>PlayerEntries!ExternalData_2625</vt:lpstr>
      <vt:lpstr>PlayerEntries!ExternalData_2626</vt:lpstr>
      <vt:lpstr>PlayerEntries!ExternalData_2627</vt:lpstr>
      <vt:lpstr>PlayerEntries!ExternalData_2628</vt:lpstr>
      <vt:lpstr>PlayerEntries!ExternalData_2629</vt:lpstr>
      <vt:lpstr>PlayerEntries!ExternalData_2630</vt:lpstr>
      <vt:lpstr>PlayerEntries!ExternalData_2631</vt:lpstr>
      <vt:lpstr>PlayerEntries!ExternalData_2632</vt:lpstr>
      <vt:lpstr>PlayerEntries!ExternalData_2633</vt:lpstr>
      <vt:lpstr>PlayerEntries!ExternalData_2634</vt:lpstr>
      <vt:lpstr>PlayerEntries!ExternalData_2635</vt:lpstr>
      <vt:lpstr>PlayerEntries!ExternalData_2636</vt:lpstr>
      <vt:lpstr>PlayerEntries!ExternalData_2637</vt:lpstr>
      <vt:lpstr>PlayerEntries!ExternalData_2638</vt:lpstr>
      <vt:lpstr>PlayerEntries!ExternalData_2639</vt:lpstr>
      <vt:lpstr>PlayerEntries!ExternalData_2640</vt:lpstr>
      <vt:lpstr>PlayerEntries!ExternalData_2641</vt:lpstr>
      <vt:lpstr>PlayerEntries!ExternalData_2642</vt:lpstr>
      <vt:lpstr>PlayerEntries!ExternalData_2643</vt:lpstr>
      <vt:lpstr>PlayerEntries!ExternalData_2644</vt:lpstr>
      <vt:lpstr>PlayerEntries!ExternalData_2645</vt:lpstr>
      <vt:lpstr>PlayerEntries!ExternalData_2646</vt:lpstr>
      <vt:lpstr>PlayerEntries!ExternalData_2647</vt:lpstr>
      <vt:lpstr>PlayerEntries!ExternalData_2648</vt:lpstr>
      <vt:lpstr>PlayerEntries!ExternalData_2649</vt:lpstr>
      <vt:lpstr>PlayerEntries!ExternalData_2650</vt:lpstr>
      <vt:lpstr>PlayerEntries!ExternalData_2651</vt:lpstr>
      <vt:lpstr>PlayerEntries!ExternalData_2652</vt:lpstr>
      <vt:lpstr>PlayerEntries!ExternalData_2653</vt:lpstr>
      <vt:lpstr>PlayerEntries!ExternalData_2654</vt:lpstr>
      <vt:lpstr>PlayerEntries!ExternalData_2655</vt:lpstr>
      <vt:lpstr>PlayerEntries!ExternalData_2656</vt:lpstr>
      <vt:lpstr>PlayerEntries!ExternalData_2657</vt:lpstr>
      <vt:lpstr>PlayerEntries!ExternalData_2658</vt:lpstr>
      <vt:lpstr>PlayerEntries!ExternalData_2659</vt:lpstr>
      <vt:lpstr>PlayerEntries!ExternalData_2660</vt:lpstr>
      <vt:lpstr>PlayerEntries!ExternalData_2661</vt:lpstr>
      <vt:lpstr>PlayerEntries!ExternalData_2662</vt:lpstr>
      <vt:lpstr>PlayerEntries!ExternalData_2663</vt:lpstr>
      <vt:lpstr>PlayerEntries!ExternalData_2664</vt:lpstr>
      <vt:lpstr>PlayerEntries!ExternalData_2665</vt:lpstr>
      <vt:lpstr>PlayerEntries!ExternalData_2666</vt:lpstr>
      <vt:lpstr>PlayerEntries!ExternalData_2667</vt:lpstr>
      <vt:lpstr>PlayerEntries!ExternalData_2668</vt:lpstr>
      <vt:lpstr>PlayerEntries!ExternalData_2669</vt:lpstr>
      <vt:lpstr>PlayerEntries!ExternalData_2670</vt:lpstr>
      <vt:lpstr>PlayerEntries!ExternalData_2671</vt:lpstr>
      <vt:lpstr>PlayerEntries!ExternalData_2672</vt:lpstr>
      <vt:lpstr>PlayerEntries!ExternalData_2673</vt:lpstr>
      <vt:lpstr>PlayerEntries!ExternalData_2674</vt:lpstr>
      <vt:lpstr>PlayerEntries!ExternalData_2675</vt:lpstr>
      <vt:lpstr>PlayerEntries!ExternalData_2676</vt:lpstr>
      <vt:lpstr>PlayerEntries!ExternalData_2677</vt:lpstr>
      <vt:lpstr>PlayerEntries!ExternalData_2678</vt:lpstr>
      <vt:lpstr>PlayerEntries!ExternalData_2679</vt:lpstr>
      <vt:lpstr>PlayerEntries!ExternalData_2680</vt:lpstr>
      <vt:lpstr>PlayerEntries!ExternalData_2681</vt:lpstr>
      <vt:lpstr>PlayerEntries!ExternalData_2682</vt:lpstr>
      <vt:lpstr>PlayerEntries!ExternalData_2683</vt:lpstr>
      <vt:lpstr>PlayerEntries!ExternalData_2684</vt:lpstr>
      <vt:lpstr>PlayerEntries!ExternalData_2685</vt:lpstr>
      <vt:lpstr>PlayerEntries!ExternalData_2686</vt:lpstr>
      <vt:lpstr>PlayerEntries!ExternalData_2687</vt:lpstr>
      <vt:lpstr>PlayerEntries!ExternalData_2688</vt:lpstr>
      <vt:lpstr>PlayerEntries!ExternalData_2689</vt:lpstr>
      <vt:lpstr>PlayerEntries!ExternalData_2690</vt:lpstr>
      <vt:lpstr>PlayerEntries!ExternalData_2691</vt:lpstr>
      <vt:lpstr>PlayerEntries!ExternalData_2692</vt:lpstr>
      <vt:lpstr>PlayerEntries!ExternalData_2693</vt:lpstr>
      <vt:lpstr>PlayerEntries!ExternalData_2694</vt:lpstr>
      <vt:lpstr>PlayerEntries!ExternalData_2695</vt:lpstr>
      <vt:lpstr>PlayerEntries!ExternalData_2696</vt:lpstr>
      <vt:lpstr>PlayerEntries!ExternalData_2697</vt:lpstr>
      <vt:lpstr>PlayerEntries!ExternalData_2698</vt:lpstr>
      <vt:lpstr>PlayerEntries!ExternalData_2699</vt:lpstr>
      <vt:lpstr>iDSTTAData!ExternalData_27</vt:lpstr>
      <vt:lpstr>iRanking!ExternalData_27</vt:lpstr>
      <vt:lpstr>PlayerEntries!ExternalData_2700</vt:lpstr>
      <vt:lpstr>PlayerEntries!ExternalData_2701</vt:lpstr>
      <vt:lpstr>PlayerEntries!ExternalData_2702</vt:lpstr>
      <vt:lpstr>PlayerEntries!ExternalData_2703</vt:lpstr>
      <vt:lpstr>PlayerEntries!ExternalData_2704</vt:lpstr>
      <vt:lpstr>PlayerEntries!ExternalData_2705</vt:lpstr>
      <vt:lpstr>PlayerEntries!ExternalData_2706</vt:lpstr>
      <vt:lpstr>PlayerEntries!ExternalData_2707</vt:lpstr>
      <vt:lpstr>PlayerEntries!ExternalData_2708</vt:lpstr>
      <vt:lpstr>PlayerEntries!ExternalData_2709</vt:lpstr>
      <vt:lpstr>PlayerEntries!ExternalData_2710</vt:lpstr>
      <vt:lpstr>PlayerEntries!ExternalData_2711</vt:lpstr>
      <vt:lpstr>PlayerEntries!ExternalData_2712</vt:lpstr>
      <vt:lpstr>PlayerEntries!ExternalData_2713</vt:lpstr>
      <vt:lpstr>PlayerEntries!ExternalData_2714</vt:lpstr>
      <vt:lpstr>PlayerEntries!ExternalData_2715</vt:lpstr>
      <vt:lpstr>PlayerEntries!ExternalData_2716</vt:lpstr>
      <vt:lpstr>PlayerEntries!ExternalData_2717</vt:lpstr>
      <vt:lpstr>PlayerEntries!ExternalData_2718</vt:lpstr>
      <vt:lpstr>PlayerEntries!ExternalData_2719</vt:lpstr>
      <vt:lpstr>PlayerEntries!ExternalData_2720</vt:lpstr>
      <vt:lpstr>PlayerEntries!ExternalData_2721</vt:lpstr>
      <vt:lpstr>PlayerEntries!ExternalData_2722</vt:lpstr>
      <vt:lpstr>PlayerEntries!ExternalData_2723</vt:lpstr>
      <vt:lpstr>PlayerEntries!ExternalData_2724</vt:lpstr>
      <vt:lpstr>PlayerEntries!ExternalData_2725</vt:lpstr>
      <vt:lpstr>PlayerEntries!ExternalData_2726</vt:lpstr>
      <vt:lpstr>PlayerEntries!ExternalData_2727</vt:lpstr>
      <vt:lpstr>PlayerEntries!ExternalData_2728</vt:lpstr>
      <vt:lpstr>PlayerEntries!ExternalData_2729</vt:lpstr>
      <vt:lpstr>PlayerEntries!ExternalData_2730</vt:lpstr>
      <vt:lpstr>PlayerEntries!ExternalData_2731</vt:lpstr>
      <vt:lpstr>PlayerEntries!ExternalData_2732</vt:lpstr>
      <vt:lpstr>PlayerEntries!ExternalData_2733</vt:lpstr>
      <vt:lpstr>PlayerEntries!ExternalData_2734</vt:lpstr>
      <vt:lpstr>PlayerEntries!ExternalData_2735</vt:lpstr>
      <vt:lpstr>PlayerEntries!ExternalData_2736</vt:lpstr>
      <vt:lpstr>PlayerEntries!ExternalData_2737</vt:lpstr>
      <vt:lpstr>PlayerEntries!ExternalData_2738</vt:lpstr>
      <vt:lpstr>PlayerEntries!ExternalData_2739</vt:lpstr>
      <vt:lpstr>PlayerEntries!ExternalData_2740</vt:lpstr>
      <vt:lpstr>PlayerEntries!ExternalData_2741</vt:lpstr>
      <vt:lpstr>PlayerEntries!ExternalData_2742</vt:lpstr>
      <vt:lpstr>PlayerEntries!ExternalData_2743</vt:lpstr>
      <vt:lpstr>PlayerEntries!ExternalData_2744</vt:lpstr>
      <vt:lpstr>PlayerEntries!ExternalData_2745</vt:lpstr>
      <vt:lpstr>PlayerEntries!ExternalData_2746</vt:lpstr>
      <vt:lpstr>PlayerEntries!ExternalData_2747</vt:lpstr>
      <vt:lpstr>PlayerEntries!ExternalData_2748</vt:lpstr>
      <vt:lpstr>PlayerEntries!ExternalData_2749</vt:lpstr>
      <vt:lpstr>PlayerEntries!ExternalData_2750</vt:lpstr>
      <vt:lpstr>PlayerEntries!ExternalData_2751</vt:lpstr>
      <vt:lpstr>PlayerEntries!ExternalData_2752</vt:lpstr>
      <vt:lpstr>PlayerEntries!ExternalData_2753</vt:lpstr>
      <vt:lpstr>PlayerEntries!ExternalData_2754</vt:lpstr>
      <vt:lpstr>PlayerEntries!ExternalData_2755</vt:lpstr>
      <vt:lpstr>PlayerEntries!ExternalData_2756</vt:lpstr>
      <vt:lpstr>PlayerEntries!ExternalData_2757</vt:lpstr>
      <vt:lpstr>PlayerEntries!ExternalData_2758</vt:lpstr>
      <vt:lpstr>PlayerEntries!ExternalData_2759</vt:lpstr>
      <vt:lpstr>PlayerEntries!ExternalData_2760</vt:lpstr>
      <vt:lpstr>PlayerEntries!ExternalData_2761</vt:lpstr>
      <vt:lpstr>PlayerEntries!ExternalData_2762</vt:lpstr>
      <vt:lpstr>PlayerEntries!ExternalData_2763</vt:lpstr>
      <vt:lpstr>PlayerEntries!ExternalData_2764</vt:lpstr>
      <vt:lpstr>PlayerEntries!ExternalData_2765</vt:lpstr>
      <vt:lpstr>PlayerEntries!ExternalData_2766</vt:lpstr>
      <vt:lpstr>PlayerEntries!ExternalData_2767</vt:lpstr>
      <vt:lpstr>PlayerEntries!ExternalData_2768</vt:lpstr>
      <vt:lpstr>PlayerEntries!ExternalData_2769</vt:lpstr>
      <vt:lpstr>PlayerEntries!ExternalData_2770</vt:lpstr>
      <vt:lpstr>PlayerEntries!ExternalData_2771</vt:lpstr>
      <vt:lpstr>PlayerEntries!ExternalData_2772</vt:lpstr>
      <vt:lpstr>PlayerEntries!ExternalData_2773</vt:lpstr>
      <vt:lpstr>PlayerEntries!ExternalData_2774</vt:lpstr>
      <vt:lpstr>PlayerEntries!ExternalData_2775</vt:lpstr>
      <vt:lpstr>PlayerEntries!ExternalData_2776</vt:lpstr>
      <vt:lpstr>PlayerEntries!ExternalData_2777</vt:lpstr>
      <vt:lpstr>PlayerEntries!ExternalData_2778</vt:lpstr>
      <vt:lpstr>PlayerEntries!ExternalData_2779</vt:lpstr>
      <vt:lpstr>PlayerEntries!ExternalData_2780</vt:lpstr>
      <vt:lpstr>PlayerEntries!ExternalData_2781</vt:lpstr>
      <vt:lpstr>PlayerEntries!ExternalData_2782</vt:lpstr>
      <vt:lpstr>PlayerEntries!ExternalData_2783</vt:lpstr>
      <vt:lpstr>PlayerEntries!ExternalData_2784</vt:lpstr>
      <vt:lpstr>PlayerEntries!ExternalData_2785</vt:lpstr>
      <vt:lpstr>PlayerEntries!ExternalData_2786</vt:lpstr>
      <vt:lpstr>PlayerEntries!ExternalData_2787</vt:lpstr>
      <vt:lpstr>PlayerEntries!ExternalData_2788</vt:lpstr>
      <vt:lpstr>PlayerEntries!ExternalData_2789</vt:lpstr>
      <vt:lpstr>PlayerEntries!ExternalData_2790</vt:lpstr>
      <vt:lpstr>PlayerEntries!ExternalData_2791</vt:lpstr>
      <vt:lpstr>PlayerEntries!ExternalData_2792</vt:lpstr>
      <vt:lpstr>PlayerEntries!ExternalData_2793</vt:lpstr>
      <vt:lpstr>PlayerEntries!ExternalData_2794</vt:lpstr>
      <vt:lpstr>PlayerEntries!ExternalData_2795</vt:lpstr>
      <vt:lpstr>PlayerEntries!ExternalData_2796</vt:lpstr>
      <vt:lpstr>PlayerEntries!ExternalData_2797</vt:lpstr>
      <vt:lpstr>PlayerEntries!ExternalData_2798</vt:lpstr>
      <vt:lpstr>PlayerEntries!ExternalData_2799</vt:lpstr>
      <vt:lpstr>iDSTTAData!ExternalData_28</vt:lpstr>
      <vt:lpstr>iRanking!ExternalData_28</vt:lpstr>
      <vt:lpstr>PlayerEntries!ExternalData_2800</vt:lpstr>
      <vt:lpstr>PlayerEntries!ExternalData_2801</vt:lpstr>
      <vt:lpstr>PlayerEntries!ExternalData_2802</vt:lpstr>
      <vt:lpstr>PlayerEntries!ExternalData_2803</vt:lpstr>
      <vt:lpstr>PlayerEntries!ExternalData_2804</vt:lpstr>
      <vt:lpstr>PlayerEntries!ExternalData_2805</vt:lpstr>
      <vt:lpstr>PlayerEntries!ExternalData_2806</vt:lpstr>
      <vt:lpstr>PlayerEntries!ExternalData_2807</vt:lpstr>
      <vt:lpstr>PlayerEntries!ExternalData_2808</vt:lpstr>
      <vt:lpstr>PlayerEntries!ExternalData_2809</vt:lpstr>
      <vt:lpstr>PlayerEntries!ExternalData_2810</vt:lpstr>
      <vt:lpstr>PlayerEntries!ExternalData_2811</vt:lpstr>
      <vt:lpstr>PlayerEntries!ExternalData_2812</vt:lpstr>
      <vt:lpstr>PlayerEntries!ExternalData_2813</vt:lpstr>
      <vt:lpstr>PlayerEntries!ExternalData_2814</vt:lpstr>
      <vt:lpstr>PlayerEntries!ExternalData_2815</vt:lpstr>
      <vt:lpstr>PlayerEntries!ExternalData_2816</vt:lpstr>
      <vt:lpstr>PlayerEntries!ExternalData_2817</vt:lpstr>
      <vt:lpstr>PlayerEntries!ExternalData_2818</vt:lpstr>
      <vt:lpstr>PlayerEntries!ExternalData_2819</vt:lpstr>
      <vt:lpstr>PlayerEntries!ExternalData_2820</vt:lpstr>
      <vt:lpstr>PlayerEntries!ExternalData_2821</vt:lpstr>
      <vt:lpstr>PlayerEntries!ExternalData_2822</vt:lpstr>
      <vt:lpstr>PlayerEntries!ExternalData_2823</vt:lpstr>
      <vt:lpstr>PlayerEntries!ExternalData_2824</vt:lpstr>
      <vt:lpstr>PlayerEntries!ExternalData_2825</vt:lpstr>
      <vt:lpstr>PlayerEntries!ExternalData_2826</vt:lpstr>
      <vt:lpstr>PlayerEntries!ExternalData_2827</vt:lpstr>
      <vt:lpstr>PlayerEntries!ExternalData_2828</vt:lpstr>
      <vt:lpstr>PlayerEntries!ExternalData_2829</vt:lpstr>
      <vt:lpstr>PlayerEntries!ExternalData_2830</vt:lpstr>
      <vt:lpstr>PlayerEntries!ExternalData_2831</vt:lpstr>
      <vt:lpstr>PlayerEntries!ExternalData_2832</vt:lpstr>
      <vt:lpstr>PlayerEntries!ExternalData_2833</vt:lpstr>
      <vt:lpstr>PlayerEntries!ExternalData_2834</vt:lpstr>
      <vt:lpstr>PlayerEntries!ExternalData_2835</vt:lpstr>
      <vt:lpstr>PlayerEntries!ExternalData_2836</vt:lpstr>
      <vt:lpstr>PlayerEntries!ExternalData_2837</vt:lpstr>
      <vt:lpstr>PlayerEntries!ExternalData_2838</vt:lpstr>
      <vt:lpstr>PlayerEntries!ExternalData_2839</vt:lpstr>
      <vt:lpstr>PlayerEntries!ExternalData_2840</vt:lpstr>
      <vt:lpstr>PlayerEntries!ExternalData_2841</vt:lpstr>
      <vt:lpstr>PlayerEntries!ExternalData_2842</vt:lpstr>
      <vt:lpstr>PlayerEntries!ExternalData_2843</vt:lpstr>
      <vt:lpstr>PlayerEntries!ExternalData_2844</vt:lpstr>
      <vt:lpstr>PlayerEntries!ExternalData_2845</vt:lpstr>
      <vt:lpstr>PlayerEntries!ExternalData_2846</vt:lpstr>
      <vt:lpstr>PlayerEntries!ExternalData_2847</vt:lpstr>
      <vt:lpstr>PlayerEntries!ExternalData_2848</vt:lpstr>
      <vt:lpstr>PlayerEntries!ExternalData_2849</vt:lpstr>
      <vt:lpstr>PlayerEntries!ExternalData_2850</vt:lpstr>
      <vt:lpstr>PlayerEntries!ExternalData_2851</vt:lpstr>
      <vt:lpstr>PlayerEntries!ExternalData_2852</vt:lpstr>
      <vt:lpstr>PlayerEntries!ExternalData_2853</vt:lpstr>
      <vt:lpstr>PlayerEntries!ExternalData_2854</vt:lpstr>
      <vt:lpstr>PlayerEntries!ExternalData_2855</vt:lpstr>
      <vt:lpstr>PlayerEntries!ExternalData_2856</vt:lpstr>
      <vt:lpstr>PlayerEntries!ExternalData_2857</vt:lpstr>
      <vt:lpstr>PlayerEntries!ExternalData_2858</vt:lpstr>
      <vt:lpstr>PlayerEntries!ExternalData_2859</vt:lpstr>
      <vt:lpstr>PlayerEntries!ExternalData_2860</vt:lpstr>
      <vt:lpstr>PlayerEntries!ExternalData_2861</vt:lpstr>
      <vt:lpstr>PlayerEntries!ExternalData_2862</vt:lpstr>
      <vt:lpstr>PlayerEntries!ExternalData_2863</vt:lpstr>
      <vt:lpstr>PlayerEntries!ExternalData_2864</vt:lpstr>
      <vt:lpstr>PlayerEntries!ExternalData_2865</vt:lpstr>
      <vt:lpstr>PlayerEntries!ExternalData_2866</vt:lpstr>
      <vt:lpstr>PlayerEntries!ExternalData_2867</vt:lpstr>
      <vt:lpstr>PlayerEntries!ExternalData_2868</vt:lpstr>
      <vt:lpstr>PlayerEntries!ExternalData_2869</vt:lpstr>
      <vt:lpstr>PlayerEntries!ExternalData_2870</vt:lpstr>
      <vt:lpstr>PlayerEntries!ExternalData_2871</vt:lpstr>
      <vt:lpstr>PlayerEntries!ExternalData_2872</vt:lpstr>
      <vt:lpstr>PlayerEntries!ExternalData_2873</vt:lpstr>
      <vt:lpstr>PlayerEntries!ExternalData_2874</vt:lpstr>
      <vt:lpstr>PlayerEntries!ExternalData_2875</vt:lpstr>
      <vt:lpstr>PlayerEntries!ExternalData_2876</vt:lpstr>
      <vt:lpstr>PlayerEntries!ExternalData_2877</vt:lpstr>
      <vt:lpstr>PlayerEntries!ExternalData_2878</vt:lpstr>
      <vt:lpstr>PlayerEntries!ExternalData_2879</vt:lpstr>
      <vt:lpstr>PlayerEntries!ExternalData_2880</vt:lpstr>
      <vt:lpstr>PlayerEntries!ExternalData_2881</vt:lpstr>
      <vt:lpstr>PlayerEntries!ExternalData_2882</vt:lpstr>
      <vt:lpstr>PlayerEntries!ExternalData_2883</vt:lpstr>
      <vt:lpstr>PlayerEntries!ExternalData_2884</vt:lpstr>
      <vt:lpstr>PlayerEntries!ExternalData_2885</vt:lpstr>
      <vt:lpstr>PlayerEntries!ExternalData_2886</vt:lpstr>
      <vt:lpstr>PlayerEntries!ExternalData_2887</vt:lpstr>
      <vt:lpstr>PlayerEntries!ExternalData_2888</vt:lpstr>
      <vt:lpstr>PlayerEntries!ExternalData_2889</vt:lpstr>
      <vt:lpstr>PlayerEntries!ExternalData_2890</vt:lpstr>
      <vt:lpstr>PlayerEntries!ExternalData_2891</vt:lpstr>
      <vt:lpstr>PlayerEntries!ExternalData_2892</vt:lpstr>
      <vt:lpstr>PlayerEntries!ExternalData_2893</vt:lpstr>
      <vt:lpstr>PlayerEntries!ExternalData_2894</vt:lpstr>
      <vt:lpstr>PlayerEntries!ExternalData_2895</vt:lpstr>
      <vt:lpstr>PlayerEntries!ExternalData_2896</vt:lpstr>
      <vt:lpstr>PlayerEntries!ExternalData_2897</vt:lpstr>
      <vt:lpstr>PlayerEntries!ExternalData_2898</vt:lpstr>
      <vt:lpstr>PlayerEntries!ExternalData_2899</vt:lpstr>
      <vt:lpstr>iDSTTAData!ExternalData_29</vt:lpstr>
      <vt:lpstr>iRanking!ExternalData_29</vt:lpstr>
      <vt:lpstr>PlayerEntries!ExternalData_2900</vt:lpstr>
      <vt:lpstr>PlayerEntries!ExternalData_2901</vt:lpstr>
      <vt:lpstr>PlayerEntries!ExternalData_2902</vt:lpstr>
      <vt:lpstr>PlayerEntries!ExternalData_2903</vt:lpstr>
      <vt:lpstr>PlayerEntries!ExternalData_2904</vt:lpstr>
      <vt:lpstr>PlayerEntries!ExternalData_2905</vt:lpstr>
      <vt:lpstr>PlayerEntries!ExternalData_2906</vt:lpstr>
      <vt:lpstr>PlayerEntries!ExternalData_2907</vt:lpstr>
      <vt:lpstr>PlayerEntries!ExternalData_2908</vt:lpstr>
      <vt:lpstr>PlayerEntries!ExternalData_2909</vt:lpstr>
      <vt:lpstr>PlayerEntries!ExternalData_2910</vt:lpstr>
      <vt:lpstr>PlayerEntries!ExternalData_2911</vt:lpstr>
      <vt:lpstr>PlayerEntries!ExternalData_2912</vt:lpstr>
      <vt:lpstr>PlayerEntries!ExternalData_2913</vt:lpstr>
      <vt:lpstr>PlayerEntries!ExternalData_2914</vt:lpstr>
      <vt:lpstr>PlayerEntries!ExternalData_2915</vt:lpstr>
      <vt:lpstr>PlayerEntries!ExternalData_2916</vt:lpstr>
      <vt:lpstr>PlayerEntries!ExternalData_2917</vt:lpstr>
      <vt:lpstr>PlayerEntries!ExternalData_2918</vt:lpstr>
      <vt:lpstr>PlayerEntries!ExternalData_2919</vt:lpstr>
      <vt:lpstr>PlayerEntries!ExternalData_2920</vt:lpstr>
      <vt:lpstr>PlayerEntries!ExternalData_2921</vt:lpstr>
      <vt:lpstr>PlayerEntries!ExternalData_2922</vt:lpstr>
      <vt:lpstr>PlayerEntries!ExternalData_2923</vt:lpstr>
      <vt:lpstr>PlayerEntries!ExternalData_2924</vt:lpstr>
      <vt:lpstr>PlayerEntries!ExternalData_2925</vt:lpstr>
      <vt:lpstr>PlayerEntries!ExternalData_2926</vt:lpstr>
      <vt:lpstr>PlayerEntries!ExternalData_2927</vt:lpstr>
      <vt:lpstr>PlayerEntries!ExternalData_2928</vt:lpstr>
      <vt:lpstr>PlayerEntries!ExternalData_2929</vt:lpstr>
      <vt:lpstr>PlayerEntries!ExternalData_2930</vt:lpstr>
      <vt:lpstr>PlayerEntries!ExternalData_2931</vt:lpstr>
      <vt:lpstr>PlayerEntries!ExternalData_2932</vt:lpstr>
      <vt:lpstr>PlayerEntries!ExternalData_2933</vt:lpstr>
      <vt:lpstr>PlayerEntries!ExternalData_2934</vt:lpstr>
      <vt:lpstr>PlayerEntries!ExternalData_2935</vt:lpstr>
      <vt:lpstr>PlayerEntries!ExternalData_2936</vt:lpstr>
      <vt:lpstr>PlayerEntries!ExternalData_2937</vt:lpstr>
      <vt:lpstr>PlayerEntries!ExternalData_2938</vt:lpstr>
      <vt:lpstr>PlayerEntries!ExternalData_2939</vt:lpstr>
      <vt:lpstr>PlayerEntries!ExternalData_2940</vt:lpstr>
      <vt:lpstr>PlayerEntries!ExternalData_2941</vt:lpstr>
      <vt:lpstr>PlayerEntries!ExternalData_2942</vt:lpstr>
      <vt:lpstr>PlayerEntries!ExternalData_2943</vt:lpstr>
      <vt:lpstr>PlayerEntries!ExternalData_2944</vt:lpstr>
      <vt:lpstr>PlayerEntries!ExternalData_2945</vt:lpstr>
      <vt:lpstr>PlayerEntries!ExternalData_2946</vt:lpstr>
      <vt:lpstr>PlayerEntries!ExternalData_2947</vt:lpstr>
      <vt:lpstr>PlayerEntries!ExternalData_2948</vt:lpstr>
      <vt:lpstr>PlayerEntries!ExternalData_2949</vt:lpstr>
      <vt:lpstr>PlayerEntries!ExternalData_2950</vt:lpstr>
      <vt:lpstr>PlayerEntries!ExternalData_2951</vt:lpstr>
      <vt:lpstr>PlayerEntries!ExternalData_2952</vt:lpstr>
      <vt:lpstr>PlayerEntries!ExternalData_2953</vt:lpstr>
      <vt:lpstr>PlayerEntries!ExternalData_2954</vt:lpstr>
      <vt:lpstr>PlayerEntries!ExternalData_2955</vt:lpstr>
      <vt:lpstr>PlayerEntries!ExternalData_2956</vt:lpstr>
      <vt:lpstr>PlayerEntries!ExternalData_2957</vt:lpstr>
      <vt:lpstr>PlayerEntries!ExternalData_2958</vt:lpstr>
      <vt:lpstr>PlayerEntries!ExternalData_2959</vt:lpstr>
      <vt:lpstr>PlayerEntries!ExternalData_2960</vt:lpstr>
      <vt:lpstr>PlayerEntries!ExternalData_2961</vt:lpstr>
      <vt:lpstr>PlayerEntries!ExternalData_2962</vt:lpstr>
      <vt:lpstr>PlayerEntries!ExternalData_2963</vt:lpstr>
      <vt:lpstr>PlayerEntries!ExternalData_2964</vt:lpstr>
      <vt:lpstr>PlayerEntries!ExternalData_2965</vt:lpstr>
      <vt:lpstr>PlayerEntries!ExternalData_2966</vt:lpstr>
      <vt:lpstr>PlayerEntries!ExternalData_2967</vt:lpstr>
      <vt:lpstr>PlayerEntries!ExternalData_2968</vt:lpstr>
      <vt:lpstr>PlayerEntries!ExternalData_2969</vt:lpstr>
      <vt:lpstr>PlayerEntries!ExternalData_2970</vt:lpstr>
      <vt:lpstr>PlayerEntries!ExternalData_2971</vt:lpstr>
      <vt:lpstr>PlayerEntries!ExternalData_2972</vt:lpstr>
      <vt:lpstr>PlayerEntries!ExternalData_2973</vt:lpstr>
      <vt:lpstr>PlayerEntries!ExternalData_2974</vt:lpstr>
      <vt:lpstr>PlayerEntries!ExternalData_2975</vt:lpstr>
      <vt:lpstr>PlayerEntries!ExternalData_2976</vt:lpstr>
      <vt:lpstr>PlayerEntries!ExternalData_2977</vt:lpstr>
      <vt:lpstr>PlayerEntries!ExternalData_2978</vt:lpstr>
      <vt:lpstr>PlayerEntries!ExternalData_2979</vt:lpstr>
      <vt:lpstr>PlayerEntries!ExternalData_2980</vt:lpstr>
      <vt:lpstr>PlayerEntries!ExternalData_2981</vt:lpstr>
      <vt:lpstr>PlayerEntries!ExternalData_2982</vt:lpstr>
      <vt:lpstr>PlayerEntries!ExternalData_2983</vt:lpstr>
      <vt:lpstr>PlayerEntries!ExternalData_2984</vt:lpstr>
      <vt:lpstr>PlayerEntries!ExternalData_2985</vt:lpstr>
      <vt:lpstr>PlayerEntries!ExternalData_2986</vt:lpstr>
      <vt:lpstr>PlayerEntries!ExternalData_2987</vt:lpstr>
      <vt:lpstr>PlayerEntries!ExternalData_2988</vt:lpstr>
      <vt:lpstr>PlayerEntries!ExternalData_2989</vt:lpstr>
      <vt:lpstr>PlayerEntries!ExternalData_2990</vt:lpstr>
      <vt:lpstr>PlayerEntries!ExternalData_2991</vt:lpstr>
      <vt:lpstr>PlayerEntries!ExternalData_2992</vt:lpstr>
      <vt:lpstr>PlayerEntries!ExternalData_2993</vt:lpstr>
      <vt:lpstr>PlayerEntries!ExternalData_2994</vt:lpstr>
      <vt:lpstr>PlayerEntries!ExternalData_2995</vt:lpstr>
      <vt:lpstr>PlayerEntries!ExternalData_2996</vt:lpstr>
      <vt:lpstr>PlayerEntries!ExternalData_2997</vt:lpstr>
      <vt:lpstr>PlayerEntries!ExternalData_2998</vt:lpstr>
      <vt:lpstr>PlayerEntries!ExternalData_2999</vt:lpstr>
      <vt:lpstr>iDSTTAData!ExternalData_3</vt:lpstr>
      <vt:lpstr>iRanking!ExternalData_3</vt:lpstr>
      <vt:lpstr>iTournamentEntries!ExternalData_3</vt:lpstr>
      <vt:lpstr>PlayerEntries!ExternalData_3</vt:lpstr>
      <vt:lpstr>iDSTTAData!ExternalData_30</vt:lpstr>
      <vt:lpstr>iRanking!ExternalData_30</vt:lpstr>
      <vt:lpstr>PlayerEntries!ExternalData_3000</vt:lpstr>
      <vt:lpstr>PlayerEntries!ExternalData_3001</vt:lpstr>
      <vt:lpstr>PlayerEntries!ExternalData_3002</vt:lpstr>
      <vt:lpstr>PlayerEntries!ExternalData_3003</vt:lpstr>
      <vt:lpstr>PlayerEntries!ExternalData_3004</vt:lpstr>
      <vt:lpstr>PlayerEntries!ExternalData_3005</vt:lpstr>
      <vt:lpstr>PlayerEntries!ExternalData_3006</vt:lpstr>
      <vt:lpstr>PlayerEntries!ExternalData_3007</vt:lpstr>
      <vt:lpstr>PlayerEntries!ExternalData_3008</vt:lpstr>
      <vt:lpstr>PlayerEntries!ExternalData_3009</vt:lpstr>
      <vt:lpstr>PlayerEntries!ExternalData_3010</vt:lpstr>
      <vt:lpstr>PlayerEntries!ExternalData_3011</vt:lpstr>
      <vt:lpstr>PlayerEntries!ExternalData_3012</vt:lpstr>
      <vt:lpstr>PlayerEntries!ExternalData_3013</vt:lpstr>
      <vt:lpstr>PlayerEntries!ExternalData_3014</vt:lpstr>
      <vt:lpstr>PlayerEntries!ExternalData_3015</vt:lpstr>
      <vt:lpstr>PlayerEntries!ExternalData_3016</vt:lpstr>
      <vt:lpstr>PlayerEntries!ExternalData_3017</vt:lpstr>
      <vt:lpstr>PlayerEntries!ExternalData_3018</vt:lpstr>
      <vt:lpstr>PlayerEntries!ExternalData_3019</vt:lpstr>
      <vt:lpstr>PlayerEntries!ExternalData_3020</vt:lpstr>
      <vt:lpstr>PlayerEntries!ExternalData_3021</vt:lpstr>
      <vt:lpstr>PlayerEntries!ExternalData_3022</vt:lpstr>
      <vt:lpstr>PlayerEntries!ExternalData_3023</vt:lpstr>
      <vt:lpstr>PlayerEntries!ExternalData_3024</vt:lpstr>
      <vt:lpstr>PlayerEntries!ExternalData_3025</vt:lpstr>
      <vt:lpstr>PlayerEntries!ExternalData_3026</vt:lpstr>
      <vt:lpstr>PlayerEntries!ExternalData_3027</vt:lpstr>
      <vt:lpstr>PlayerEntries!ExternalData_3028</vt:lpstr>
      <vt:lpstr>PlayerEntries!ExternalData_3029</vt:lpstr>
      <vt:lpstr>PlayerEntries!ExternalData_3030</vt:lpstr>
      <vt:lpstr>PlayerEntries!ExternalData_3031</vt:lpstr>
      <vt:lpstr>PlayerEntries!ExternalData_3032</vt:lpstr>
      <vt:lpstr>PlayerEntries!ExternalData_3033</vt:lpstr>
      <vt:lpstr>PlayerEntries!ExternalData_3034</vt:lpstr>
      <vt:lpstr>PlayerEntries!ExternalData_3035</vt:lpstr>
      <vt:lpstr>PlayerEntries!ExternalData_3036</vt:lpstr>
      <vt:lpstr>PlayerEntries!ExternalData_3037</vt:lpstr>
      <vt:lpstr>PlayerEntries!ExternalData_3038</vt:lpstr>
      <vt:lpstr>PlayerEntries!ExternalData_3039</vt:lpstr>
      <vt:lpstr>PlayerEntries!ExternalData_3040</vt:lpstr>
      <vt:lpstr>PlayerEntries!ExternalData_3041</vt:lpstr>
      <vt:lpstr>PlayerEntries!ExternalData_3042</vt:lpstr>
      <vt:lpstr>PlayerEntries!ExternalData_3043</vt:lpstr>
      <vt:lpstr>PlayerEntries!ExternalData_3044</vt:lpstr>
      <vt:lpstr>PlayerEntries!ExternalData_3045</vt:lpstr>
      <vt:lpstr>PlayerEntries!ExternalData_3046</vt:lpstr>
      <vt:lpstr>PlayerEntries!ExternalData_3047</vt:lpstr>
      <vt:lpstr>PlayerEntries!ExternalData_3048</vt:lpstr>
      <vt:lpstr>PlayerEntries!ExternalData_3049</vt:lpstr>
      <vt:lpstr>PlayerEntries!ExternalData_3050</vt:lpstr>
      <vt:lpstr>PlayerEntries!ExternalData_3051</vt:lpstr>
      <vt:lpstr>PlayerEntries!ExternalData_3052</vt:lpstr>
      <vt:lpstr>PlayerEntries!ExternalData_3053</vt:lpstr>
      <vt:lpstr>PlayerEntries!ExternalData_3054</vt:lpstr>
      <vt:lpstr>PlayerEntries!ExternalData_3055</vt:lpstr>
      <vt:lpstr>PlayerEntries!ExternalData_3056</vt:lpstr>
      <vt:lpstr>PlayerEntries!ExternalData_3057</vt:lpstr>
      <vt:lpstr>PlayerEntries!ExternalData_3058</vt:lpstr>
      <vt:lpstr>PlayerEntries!ExternalData_3059</vt:lpstr>
      <vt:lpstr>PlayerEntries!ExternalData_3060</vt:lpstr>
      <vt:lpstr>PlayerEntries!ExternalData_3061</vt:lpstr>
      <vt:lpstr>PlayerEntries!ExternalData_3062</vt:lpstr>
      <vt:lpstr>PlayerEntries!ExternalData_3063</vt:lpstr>
      <vt:lpstr>PlayerEntries!ExternalData_3064</vt:lpstr>
      <vt:lpstr>PlayerEntries!ExternalData_3065</vt:lpstr>
      <vt:lpstr>PlayerEntries!ExternalData_3066</vt:lpstr>
      <vt:lpstr>PlayerEntries!ExternalData_3067</vt:lpstr>
      <vt:lpstr>PlayerEntries!ExternalData_3068</vt:lpstr>
      <vt:lpstr>PlayerEntries!ExternalData_3069</vt:lpstr>
      <vt:lpstr>PlayerEntries!ExternalData_3070</vt:lpstr>
      <vt:lpstr>PlayerEntries!ExternalData_3071</vt:lpstr>
      <vt:lpstr>PlayerEntries!ExternalData_3072</vt:lpstr>
      <vt:lpstr>PlayerEntries!ExternalData_3073</vt:lpstr>
      <vt:lpstr>PlayerEntries!ExternalData_3074</vt:lpstr>
      <vt:lpstr>PlayerEntries!ExternalData_3075</vt:lpstr>
      <vt:lpstr>PlayerEntries!ExternalData_3076</vt:lpstr>
      <vt:lpstr>PlayerEntries!ExternalData_3077</vt:lpstr>
      <vt:lpstr>PlayerEntries!ExternalData_3078</vt:lpstr>
      <vt:lpstr>PlayerEntries!ExternalData_3079</vt:lpstr>
      <vt:lpstr>PlayerEntries!ExternalData_3080</vt:lpstr>
      <vt:lpstr>PlayerEntries!ExternalData_3081</vt:lpstr>
      <vt:lpstr>PlayerEntries!ExternalData_3082</vt:lpstr>
      <vt:lpstr>PlayerEntries!ExternalData_3083</vt:lpstr>
      <vt:lpstr>PlayerEntries!ExternalData_3084</vt:lpstr>
      <vt:lpstr>PlayerEntries!ExternalData_3085</vt:lpstr>
      <vt:lpstr>PlayerEntries!ExternalData_3086</vt:lpstr>
      <vt:lpstr>PlayerEntries!ExternalData_3087</vt:lpstr>
      <vt:lpstr>PlayerEntries!ExternalData_3088</vt:lpstr>
      <vt:lpstr>PlayerEntries!ExternalData_3089</vt:lpstr>
      <vt:lpstr>PlayerEntries!ExternalData_3090</vt:lpstr>
      <vt:lpstr>PlayerEntries!ExternalData_3091</vt:lpstr>
      <vt:lpstr>PlayerEntries!ExternalData_3092</vt:lpstr>
      <vt:lpstr>PlayerEntries!ExternalData_3093</vt:lpstr>
      <vt:lpstr>PlayerEntries!ExternalData_3094</vt:lpstr>
      <vt:lpstr>PlayerEntries!ExternalData_3095</vt:lpstr>
      <vt:lpstr>PlayerEntries!ExternalData_3096</vt:lpstr>
      <vt:lpstr>PlayerEntries!ExternalData_3097</vt:lpstr>
      <vt:lpstr>PlayerEntries!ExternalData_3098</vt:lpstr>
      <vt:lpstr>PlayerEntries!ExternalData_3099</vt:lpstr>
      <vt:lpstr>iDSTTAData!ExternalData_31</vt:lpstr>
      <vt:lpstr>iRanking!ExternalData_31</vt:lpstr>
      <vt:lpstr>PlayerEntries!ExternalData_3100</vt:lpstr>
      <vt:lpstr>PlayerEntries!ExternalData_3101</vt:lpstr>
      <vt:lpstr>PlayerEntries!ExternalData_3102</vt:lpstr>
      <vt:lpstr>PlayerEntries!ExternalData_3103</vt:lpstr>
      <vt:lpstr>PlayerEntries!ExternalData_3104</vt:lpstr>
      <vt:lpstr>PlayerEntries!ExternalData_3105</vt:lpstr>
      <vt:lpstr>PlayerEntries!ExternalData_3106</vt:lpstr>
      <vt:lpstr>PlayerEntries!ExternalData_3107</vt:lpstr>
      <vt:lpstr>PlayerEntries!ExternalData_3108</vt:lpstr>
      <vt:lpstr>PlayerEntries!ExternalData_3109</vt:lpstr>
      <vt:lpstr>PlayerEntries!ExternalData_3110</vt:lpstr>
      <vt:lpstr>PlayerEntries!ExternalData_3111</vt:lpstr>
      <vt:lpstr>PlayerEntries!ExternalData_3112</vt:lpstr>
      <vt:lpstr>PlayerEntries!ExternalData_3113</vt:lpstr>
      <vt:lpstr>PlayerEntries!ExternalData_3114</vt:lpstr>
      <vt:lpstr>PlayerEntries!ExternalData_3115</vt:lpstr>
      <vt:lpstr>PlayerEntries!ExternalData_3116</vt:lpstr>
      <vt:lpstr>PlayerEntries!ExternalData_3117</vt:lpstr>
      <vt:lpstr>PlayerEntries!ExternalData_3118</vt:lpstr>
      <vt:lpstr>PlayerEntries!ExternalData_3119</vt:lpstr>
      <vt:lpstr>PlayerEntries!ExternalData_3120</vt:lpstr>
      <vt:lpstr>PlayerEntries!ExternalData_3121</vt:lpstr>
      <vt:lpstr>PlayerEntries!ExternalData_3122</vt:lpstr>
      <vt:lpstr>PlayerEntries!ExternalData_3123</vt:lpstr>
      <vt:lpstr>PlayerEntries!ExternalData_3124</vt:lpstr>
      <vt:lpstr>PlayerEntries!ExternalData_3125</vt:lpstr>
      <vt:lpstr>PlayerEntries!ExternalData_3126</vt:lpstr>
      <vt:lpstr>PlayerEntries!ExternalData_3127</vt:lpstr>
      <vt:lpstr>PlayerEntries!ExternalData_3128</vt:lpstr>
      <vt:lpstr>PlayerEntries!ExternalData_3129</vt:lpstr>
      <vt:lpstr>PlayerEntries!ExternalData_3130</vt:lpstr>
      <vt:lpstr>PlayerEntries!ExternalData_3131</vt:lpstr>
      <vt:lpstr>PlayerEntries!ExternalData_3132</vt:lpstr>
      <vt:lpstr>PlayerEntries!ExternalData_3133</vt:lpstr>
      <vt:lpstr>PlayerEntries!ExternalData_3134</vt:lpstr>
      <vt:lpstr>PlayerEntries!ExternalData_3135</vt:lpstr>
      <vt:lpstr>PlayerEntries!ExternalData_3136</vt:lpstr>
      <vt:lpstr>PlayerEntries!ExternalData_3137</vt:lpstr>
      <vt:lpstr>PlayerEntries!ExternalData_3138</vt:lpstr>
      <vt:lpstr>PlayerEntries!ExternalData_3139</vt:lpstr>
      <vt:lpstr>PlayerEntries!ExternalData_3140</vt:lpstr>
      <vt:lpstr>PlayerEntries!ExternalData_3141</vt:lpstr>
      <vt:lpstr>PlayerEntries!ExternalData_3142</vt:lpstr>
      <vt:lpstr>PlayerEntries!ExternalData_3143</vt:lpstr>
      <vt:lpstr>PlayerEntries!ExternalData_3144</vt:lpstr>
      <vt:lpstr>PlayerEntries!ExternalData_3145</vt:lpstr>
      <vt:lpstr>PlayerEntries!ExternalData_3146</vt:lpstr>
      <vt:lpstr>PlayerEntries!ExternalData_3147</vt:lpstr>
      <vt:lpstr>PlayerEntries!ExternalData_3148</vt:lpstr>
      <vt:lpstr>PlayerEntries!ExternalData_3149</vt:lpstr>
      <vt:lpstr>PlayerEntries!ExternalData_3150</vt:lpstr>
      <vt:lpstr>PlayerEntries!ExternalData_3151</vt:lpstr>
      <vt:lpstr>PlayerEntries!ExternalData_3152</vt:lpstr>
      <vt:lpstr>PlayerEntries!ExternalData_3153</vt:lpstr>
      <vt:lpstr>PlayerEntries!ExternalData_3154</vt:lpstr>
      <vt:lpstr>PlayerEntries!ExternalData_3155</vt:lpstr>
      <vt:lpstr>PlayerEntries!ExternalData_3156</vt:lpstr>
      <vt:lpstr>PlayerEntries!ExternalData_3157</vt:lpstr>
      <vt:lpstr>PlayerEntries!ExternalData_3158</vt:lpstr>
      <vt:lpstr>PlayerEntries!ExternalData_3159</vt:lpstr>
      <vt:lpstr>PlayerEntries!ExternalData_3160</vt:lpstr>
      <vt:lpstr>PlayerEntries!ExternalData_3161</vt:lpstr>
      <vt:lpstr>PlayerEntries!ExternalData_3162</vt:lpstr>
      <vt:lpstr>PlayerEntries!ExternalData_3163</vt:lpstr>
      <vt:lpstr>PlayerEntries!ExternalData_3164</vt:lpstr>
      <vt:lpstr>PlayerEntries!ExternalData_3165</vt:lpstr>
      <vt:lpstr>PlayerEntries!ExternalData_3166</vt:lpstr>
      <vt:lpstr>PlayerEntries!ExternalData_3167</vt:lpstr>
      <vt:lpstr>PlayerEntries!ExternalData_3168</vt:lpstr>
      <vt:lpstr>PlayerEntries!ExternalData_3169</vt:lpstr>
      <vt:lpstr>PlayerEntries!ExternalData_3170</vt:lpstr>
      <vt:lpstr>PlayerEntries!ExternalData_3171</vt:lpstr>
      <vt:lpstr>PlayerEntries!ExternalData_3172</vt:lpstr>
      <vt:lpstr>PlayerEntries!ExternalData_3173</vt:lpstr>
      <vt:lpstr>PlayerEntries!ExternalData_3174</vt:lpstr>
      <vt:lpstr>PlayerEntries!ExternalData_3175</vt:lpstr>
      <vt:lpstr>PlayerEntries!ExternalData_3176</vt:lpstr>
      <vt:lpstr>PlayerEntries!ExternalData_3177</vt:lpstr>
      <vt:lpstr>PlayerEntries!ExternalData_3178</vt:lpstr>
      <vt:lpstr>PlayerEntries!ExternalData_3179</vt:lpstr>
      <vt:lpstr>PlayerEntries!ExternalData_3180</vt:lpstr>
      <vt:lpstr>PlayerEntries!ExternalData_3181</vt:lpstr>
      <vt:lpstr>PlayerEntries!ExternalData_3182</vt:lpstr>
      <vt:lpstr>PlayerEntries!ExternalData_3183</vt:lpstr>
      <vt:lpstr>PlayerEntries!ExternalData_3184</vt:lpstr>
      <vt:lpstr>iDSTTAData!ExternalData_32</vt:lpstr>
      <vt:lpstr>iRanking!ExternalData_32</vt:lpstr>
      <vt:lpstr>iDSTTAData!ExternalData_33</vt:lpstr>
      <vt:lpstr>iRanking!ExternalData_33</vt:lpstr>
      <vt:lpstr>iDSTTAData!ExternalData_34</vt:lpstr>
      <vt:lpstr>iRanking!ExternalData_34</vt:lpstr>
      <vt:lpstr>iDSTTAData!ExternalData_35</vt:lpstr>
      <vt:lpstr>iRanking!ExternalData_35</vt:lpstr>
      <vt:lpstr>iDSTTAData!ExternalData_36</vt:lpstr>
      <vt:lpstr>iRanking!ExternalData_36</vt:lpstr>
      <vt:lpstr>iDSTTAData!ExternalData_37</vt:lpstr>
      <vt:lpstr>iRanking!ExternalData_37</vt:lpstr>
      <vt:lpstr>iDSTTAData!ExternalData_38</vt:lpstr>
      <vt:lpstr>iRanking!ExternalData_38</vt:lpstr>
      <vt:lpstr>iDSTTAData!ExternalData_39</vt:lpstr>
      <vt:lpstr>iRanking!ExternalData_39</vt:lpstr>
      <vt:lpstr>iDSTTAData!ExternalData_4</vt:lpstr>
      <vt:lpstr>iRanking!ExternalData_4</vt:lpstr>
      <vt:lpstr>iTournamentEntries!ExternalData_4</vt:lpstr>
      <vt:lpstr>PlayerEntries!ExternalData_4</vt:lpstr>
      <vt:lpstr>iDSTTAData!ExternalData_40</vt:lpstr>
      <vt:lpstr>iRanking!ExternalData_40</vt:lpstr>
      <vt:lpstr>iDSTTAData!ExternalData_41</vt:lpstr>
      <vt:lpstr>iRanking!ExternalData_41</vt:lpstr>
      <vt:lpstr>iDSTTAData!ExternalData_42</vt:lpstr>
      <vt:lpstr>iRanking!ExternalData_42</vt:lpstr>
      <vt:lpstr>iDSTTAData!ExternalData_43</vt:lpstr>
      <vt:lpstr>iRanking!ExternalData_43</vt:lpstr>
      <vt:lpstr>iDSTTAData!ExternalData_44</vt:lpstr>
      <vt:lpstr>iRanking!ExternalData_44</vt:lpstr>
      <vt:lpstr>iDSTTAData!ExternalData_45</vt:lpstr>
      <vt:lpstr>iRanking!ExternalData_45</vt:lpstr>
      <vt:lpstr>iDSTTAData!ExternalData_46</vt:lpstr>
      <vt:lpstr>iRanking!ExternalData_46</vt:lpstr>
      <vt:lpstr>iDSTTAData!ExternalData_47</vt:lpstr>
      <vt:lpstr>iRanking!ExternalData_47</vt:lpstr>
      <vt:lpstr>iDSTTAData!ExternalData_48</vt:lpstr>
      <vt:lpstr>iRanking!ExternalData_48</vt:lpstr>
      <vt:lpstr>iDSTTAData!ExternalData_49</vt:lpstr>
      <vt:lpstr>iRanking!ExternalData_49</vt:lpstr>
      <vt:lpstr>iDSTTAData!ExternalData_5</vt:lpstr>
      <vt:lpstr>iRanking!ExternalData_5</vt:lpstr>
      <vt:lpstr>iTournamentEntries!ExternalData_5</vt:lpstr>
      <vt:lpstr>PlayerEntries!ExternalData_5</vt:lpstr>
      <vt:lpstr>iDSTTAData!ExternalData_50</vt:lpstr>
      <vt:lpstr>iRanking!ExternalData_50</vt:lpstr>
      <vt:lpstr>iDSTTAData!ExternalData_51</vt:lpstr>
      <vt:lpstr>iRanking!ExternalData_51</vt:lpstr>
      <vt:lpstr>iDSTTAData!ExternalData_52</vt:lpstr>
      <vt:lpstr>iRanking!ExternalData_52</vt:lpstr>
      <vt:lpstr>iDSTTAData!ExternalData_53</vt:lpstr>
      <vt:lpstr>iRanking!ExternalData_53</vt:lpstr>
      <vt:lpstr>iDSTTAData!ExternalData_54</vt:lpstr>
      <vt:lpstr>iRanking!ExternalData_54</vt:lpstr>
      <vt:lpstr>iDSTTAData!ExternalData_55</vt:lpstr>
      <vt:lpstr>iRanking!ExternalData_55</vt:lpstr>
      <vt:lpstr>iDSTTAData!ExternalData_56</vt:lpstr>
      <vt:lpstr>iRanking!ExternalData_56</vt:lpstr>
      <vt:lpstr>iDSTTAData!ExternalData_57</vt:lpstr>
      <vt:lpstr>iRanking!ExternalData_57</vt:lpstr>
      <vt:lpstr>iDSTTAData!ExternalData_58</vt:lpstr>
      <vt:lpstr>iRanking!ExternalData_58</vt:lpstr>
      <vt:lpstr>iDSTTAData!ExternalData_59</vt:lpstr>
      <vt:lpstr>iRanking!ExternalData_59</vt:lpstr>
      <vt:lpstr>iDSTTAData!ExternalData_6</vt:lpstr>
      <vt:lpstr>iRanking!ExternalData_6</vt:lpstr>
      <vt:lpstr>iTournamentEntries!ExternalData_6</vt:lpstr>
      <vt:lpstr>PlayerEntries!ExternalData_6</vt:lpstr>
      <vt:lpstr>iDSTTAData!ExternalData_60</vt:lpstr>
      <vt:lpstr>iRanking!ExternalData_60</vt:lpstr>
      <vt:lpstr>iDSTTAData!ExternalData_61</vt:lpstr>
      <vt:lpstr>iRanking!ExternalData_61</vt:lpstr>
      <vt:lpstr>iDSTTAData!ExternalData_62</vt:lpstr>
      <vt:lpstr>iRanking!ExternalData_62</vt:lpstr>
      <vt:lpstr>iDSTTAData!ExternalData_63</vt:lpstr>
      <vt:lpstr>iRanking!ExternalData_63</vt:lpstr>
      <vt:lpstr>iDSTTAData!ExternalData_64</vt:lpstr>
      <vt:lpstr>iRanking!ExternalData_64</vt:lpstr>
      <vt:lpstr>iDSTTAData!ExternalData_65</vt:lpstr>
      <vt:lpstr>iRanking!ExternalData_65</vt:lpstr>
      <vt:lpstr>iDSTTAData!ExternalData_66</vt:lpstr>
      <vt:lpstr>iRanking!ExternalData_66</vt:lpstr>
      <vt:lpstr>iDSTTAData!ExternalData_67</vt:lpstr>
      <vt:lpstr>iRanking!ExternalData_67</vt:lpstr>
      <vt:lpstr>iDSTTAData!ExternalData_68</vt:lpstr>
      <vt:lpstr>iRanking!ExternalData_68</vt:lpstr>
      <vt:lpstr>iDSTTAData!ExternalData_69</vt:lpstr>
      <vt:lpstr>iRanking!ExternalData_69</vt:lpstr>
      <vt:lpstr>iDSTTAData!ExternalData_7</vt:lpstr>
      <vt:lpstr>iRanking!ExternalData_7</vt:lpstr>
      <vt:lpstr>iTournamentEntries!ExternalData_7</vt:lpstr>
      <vt:lpstr>PlayerEntries!ExternalData_7</vt:lpstr>
      <vt:lpstr>iDSTTAData!ExternalData_70</vt:lpstr>
      <vt:lpstr>iRanking!ExternalData_70</vt:lpstr>
      <vt:lpstr>iDSTTAData!ExternalData_71</vt:lpstr>
      <vt:lpstr>iRanking!ExternalData_71</vt:lpstr>
      <vt:lpstr>PlayerEntries!ExternalData_71</vt:lpstr>
      <vt:lpstr>iDSTTAData!ExternalData_72</vt:lpstr>
      <vt:lpstr>iRanking!ExternalData_72</vt:lpstr>
      <vt:lpstr>PlayerEntries!ExternalData_72</vt:lpstr>
      <vt:lpstr>iDSTTAData!ExternalData_73</vt:lpstr>
      <vt:lpstr>iRanking!ExternalData_73</vt:lpstr>
      <vt:lpstr>PlayerEntries!ExternalData_73</vt:lpstr>
      <vt:lpstr>iDSTTAData!ExternalData_74</vt:lpstr>
      <vt:lpstr>iRanking!ExternalData_74</vt:lpstr>
      <vt:lpstr>iDSTTAData!ExternalData_75</vt:lpstr>
      <vt:lpstr>iRanking!ExternalData_75</vt:lpstr>
      <vt:lpstr>iDSTTAData!ExternalData_76</vt:lpstr>
      <vt:lpstr>iRanking!ExternalData_76</vt:lpstr>
      <vt:lpstr>iDSTTAData!ExternalData_77</vt:lpstr>
      <vt:lpstr>iRanking!ExternalData_77</vt:lpstr>
      <vt:lpstr>iDSTTAData!ExternalData_78</vt:lpstr>
      <vt:lpstr>iRanking!ExternalData_78</vt:lpstr>
      <vt:lpstr>iDSTTAData!ExternalData_79</vt:lpstr>
      <vt:lpstr>iRanking!ExternalData_79</vt:lpstr>
      <vt:lpstr>iDSTTAData!ExternalData_8</vt:lpstr>
      <vt:lpstr>iRanking!ExternalData_8</vt:lpstr>
      <vt:lpstr>iTournamentEntries!ExternalData_8</vt:lpstr>
      <vt:lpstr>PlayerEntries!ExternalData_8</vt:lpstr>
      <vt:lpstr>iDSTTAData!ExternalData_80</vt:lpstr>
      <vt:lpstr>iDSTTAData!ExternalData_81</vt:lpstr>
      <vt:lpstr>iDSTTAData!ExternalData_82</vt:lpstr>
      <vt:lpstr>iDSTTAData!ExternalData_83</vt:lpstr>
      <vt:lpstr>iDSTTAData!ExternalData_84</vt:lpstr>
      <vt:lpstr>iDSTTAData!ExternalData_85</vt:lpstr>
      <vt:lpstr>iDSTTAData!ExternalData_86</vt:lpstr>
      <vt:lpstr>iDSTTAData!ExternalData_87</vt:lpstr>
      <vt:lpstr>iDSTTAData!ExternalData_88</vt:lpstr>
      <vt:lpstr>iDSTTAData!ExternalData_89</vt:lpstr>
      <vt:lpstr>iDSTTAData!ExternalData_9</vt:lpstr>
      <vt:lpstr>iRanking!ExternalData_9</vt:lpstr>
      <vt:lpstr>iTournamentEntries!ExternalData_9</vt:lpstr>
      <vt:lpstr>PlayerEntries!ExternalData_9</vt:lpstr>
      <vt:lpstr>iDSTTAData!ExternalData_90</vt:lpstr>
      <vt:lpstr>iDSTTAData!ExternalData_91</vt:lpstr>
      <vt:lpstr>iDSTTAData!ExternalData_92</vt:lpstr>
      <vt:lpstr>Bracket!Print_Area</vt:lpstr>
      <vt:lpstr>Draw!Print_Area</vt:lpstr>
      <vt:lpstr>PBracket!Print_Area</vt:lpstr>
      <vt:lpstr>ScoreSheetTemplate!Print_Area</vt:lpstr>
      <vt:lpstr>Bracket!Print_Titles</vt:lpstr>
      <vt:lpstr>Draw!Print_Titles</vt:lpstr>
      <vt:lpstr>PBracket!Print_Titles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Ashish Hari</dc:creator>
  <cp:lastModifiedBy>Ashish Hari</cp:lastModifiedBy>
  <cp:lastPrinted>2025-04-04T18:17:35Z</cp:lastPrinted>
  <dcterms:created xsi:type="dcterms:W3CDTF">2015-06-05T18:17:20Z</dcterms:created>
  <dcterms:modified xsi:type="dcterms:W3CDTF">2025-04-05T08:23:24Z</dcterms:modified>
</cp:coreProperties>
</file>